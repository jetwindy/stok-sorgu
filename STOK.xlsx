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G6240" i="13" l="1"/>
  <c r="DE6235" i="13" l="1"/>
  <c r="C6219" i="13" l="1"/>
  <c r="EA6223" i="13" l="1"/>
  <c r="DK6223" i="13"/>
  <c r="DE6223" i="13"/>
  <c r="CS6223" i="13"/>
  <c r="AN6223" i="13"/>
  <c r="Z6223" i="13"/>
  <c r="C6206" i="13" l="1"/>
  <c r="C6196" i="13" l="1"/>
  <c r="C6197" i="13"/>
  <c r="C6186" i="13" l="1"/>
  <c r="C6180" i="13" l="1"/>
  <c r="C6179" i="13"/>
  <c r="C6181" i="13"/>
  <c r="EA6185" i="13" l="1"/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82" i="13"/>
  <c r="C6183" i="13"/>
  <c r="C6184" i="13"/>
  <c r="C6185" i="13"/>
  <c r="C6187" i="13"/>
  <c r="C6188" i="13"/>
  <c r="C6189" i="13"/>
  <c r="C6190" i="13"/>
  <c r="C6191" i="13"/>
  <c r="C6192" i="13"/>
  <c r="C6194" i="13"/>
  <c r="C6195" i="13"/>
  <c r="C6193" i="13"/>
  <c r="C6198" i="13"/>
  <c r="C6199" i="13"/>
  <c r="C6200" i="13"/>
  <c r="C6201" i="13"/>
  <c r="C6202" i="13"/>
  <c r="C6203" i="13"/>
  <c r="C6204" i="13"/>
  <c r="C6205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C6505" i="13"/>
  <c r="C6506" i="13"/>
  <c r="C6507" i="13"/>
  <c r="C6508" i="13"/>
  <c r="C6509" i="13"/>
  <c r="C6510" i="13"/>
  <c r="C6511" i="13"/>
  <c r="C6512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X6" i="13"/>
  <c r="W6" i="13"/>
  <c r="G104" i="12" l="1"/>
  <c r="E104" i="12" s="1"/>
  <c r="K14" i="12"/>
  <c r="I11" i="22"/>
  <c r="H66" i="12"/>
  <c r="E66" i="12" s="1"/>
  <c r="F61" i="22"/>
  <c r="J61" i="22" s="1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EK6" i="13"/>
  <c r="E34" i="22" s="1"/>
  <c r="EJ6" i="13"/>
  <c r="D34" i="22" s="1"/>
  <c r="EF6" i="13"/>
  <c r="E33" i="22" s="1"/>
  <c r="EE6" i="13"/>
  <c r="D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AT6" i="13"/>
  <c r="H17" i="22" s="1"/>
  <c r="AS6" i="13"/>
  <c r="G17" i="22" s="1"/>
  <c r="AQ6" i="13"/>
  <c r="E17" i="22" s="1"/>
  <c r="AP6" i="13"/>
  <c r="D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Q6" i="13"/>
  <c r="H9" i="22" s="1"/>
  <c r="O6" i="13"/>
  <c r="E9" i="22" s="1"/>
  <c r="L6" i="13"/>
  <c r="E8" i="22" s="1"/>
  <c r="J8" i="22" s="1"/>
  <c r="K6" i="13"/>
  <c r="J33" i="22" l="1"/>
  <c r="J34" i="22"/>
  <c r="J35" i="22"/>
  <c r="J47" i="22"/>
  <c r="J9" i="22"/>
  <c r="J11" i="22"/>
  <c r="J17" i="22"/>
  <c r="J18" i="22"/>
  <c r="J20" i="22"/>
  <c r="J22" i="22"/>
  <c r="J24" i="22"/>
  <c r="J13" i="22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<sst xmlns="http://schemas.openxmlformats.org/spreadsheetml/2006/main" count="7456" uniqueCount="304">
  <si>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</si>
  <si>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</si>
  <si>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</si>
  <si>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</si>
  <si>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</si>
  <si>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</si>
  <si>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</si>
  <si>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</si>
  <si>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</si>
  <si>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</si>
  <si>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</si>
  <si>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</si>
  <si>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</si>
  <si>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</si>
  <si>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</si>
  <si>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</si>
  <si>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</si>
  <si>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</si>
  <si>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</si>
  <si>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</si>
  <si>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</si>
  <si>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</si>
  <si>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</si>
  <si>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</si>
  <si>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</si>
  <si>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</si>
  <si>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</si>
  <si>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</si>
  <si>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</si>
  <si>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</si>
  <si>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</si>
  <si>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</si>
  <si>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</si>
  <si>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</si>
  <si>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</si>
  <si>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</si>
  <si>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</si>
  <si>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</si>
  <si>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</si>
  <si>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</si>
  <si>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</si>
  <si>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</si>
  <si>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</si>
  <si>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</si>
  <si>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</si>
  <si>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</si>
  <si>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</si>
  <si>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</si>
  <si>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</si>
  <si>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</si>
  <si>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</si>
  <si>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</si>
  <si>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</si>
  <si>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</si>
  <si>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</si>
  <si>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</si>
  <si>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</si>
  <si>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</si>
  <si>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</si>
  <si>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</si>
  <si>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</si>
  <si>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</si>
  <si>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</si>
  <si>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</si>
  <si>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</si>
  <si>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</si>
  <si>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</si>
  <si>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</si>
  <si>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</si>
  <si>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</si>
  <si>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</si>
  <si>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</si>
  <si>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</si>
  <si>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</si>
  <si>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</si>
  <si>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</si>
  <si>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</si>
  <si>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</si>
  <si>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</si>
  <si>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</si>
  <si>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</si>
  <si>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</si>
  <si>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</si>
  <si>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</si>
  <si>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</si>
  <si>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</si>
  <si>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</si>
  <si>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</si>
  <si>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</si>
  <si>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</si>
  <si>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</si>
  <si>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</si>
  <si>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</si>
  <si>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</si>
  <si>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</si>
  <si>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</si>
  <si>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</si>
  <si>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</si>
  <si>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</si>
  <si>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</si>
  <si>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</si>
  <si>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</si>
  <si>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</si>
  <si>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</si>
  <si>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</si>
  <si>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</si>
  <si>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</si>
  <si>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</si>
  <si>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</si>
  <si>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</si>
  <si>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</si>
  <si>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</si>
  <si>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</si>
  <si>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</si>
  <si>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</si>
  <si>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</si>
  <si>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</si>
  <si>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</si>
  <si>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</si>
  <si>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</si>
  <si>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</si>
  <si>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</si>
  <si>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</si>
  <si>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</si>
  <si>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</si>
  <si>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</si>
  <si>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</si>
  <si>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</si>
  <si>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</si>
  <si>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</si>
  <si>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</si>
  <si>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</si>
  <si>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</si>
  <si>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</si>
  <si>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</si>
  <si>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</si>
  <si>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</si>
  <si>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</si>
  <si>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</si>
  <si>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</si>
  <si>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</si>
  <si>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</si>
  <si>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</si>
  <si>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</si>
  <si>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</si>
  <si>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</si>
  <si>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</si>
  <si>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</si>
  <si>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</si>
  <si>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</si>
  <si>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</si>
  <si>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</si>
  <si>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</si>
  <si>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</si>
  <si>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</si>
  <si>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</si>
  <si>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</si>
  <si>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</si>
  <si>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</si>
  <si>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</si>
  <si>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</si>
  <si>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</si>
  <si>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</si>
  <si>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</si>
  <si>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</si>
  <si>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</si>
  <si>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</si>
  <si>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</si>
  <si>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</si>
  <si>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</si>
  <si>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</si>
  <si>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</si>
  <si>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</si>
  <si>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</si>
  <si>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</si>
  <si>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</si>
  <si>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</si>
  <si>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</si>
  <si>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</si>
  <si>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</si>
  <si>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</si>
  <si>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</si>
  <si>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</si>
  <si>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</si>
  <si>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</si>
  <si>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</si>
  <si>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</si>
  <si>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</si>
  <si>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</si>
  <si>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</si>
  <si>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</si>
  <si>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</si>
  <si>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</si>
  <si>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</si>
  <si>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</si>
  <si>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</si>
  <si>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</si>
  <si>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</si>
  <si>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</si>
  <si>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</si>
  <si>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</si>
  <si>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</si>
  <si>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</si>
  <si>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</si>
  <si>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</si>
  <si>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</si>
  <si>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</si>
  <si>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</si>
  <si>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</si>
  <si>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</si>
  <si>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</si>
  <si>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</si>
  <si>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</si>
  <si>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</si>
  <si>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</si>
  <si>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</si>
  <si>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</si>
  <si>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</si>
  <si>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</si>
  <si>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</si>
  <si>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</si>
  <si>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</si>
  <si>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</si>
  <si>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</si>
  <si>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</si>
  <si>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</si>
  <si>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</si>
  <si>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</si>
  <si>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</si>
  <si>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</si>
  <si>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</si>
  <si>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</si>
  <si>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</si>
  <si>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</si>
  <si>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</si>
  <si>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</si>
  <si>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</si>
  <si>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</si>
  <si>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</si>
  <si>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</si>
  <si>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</si>
  <si>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</si>
  <si>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</si>
  <si>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</si>
  <si>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</si>
  <si>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</si>
  <si>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</si>
  <si>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</si>
  <si>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</si>
  <si>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</si>
  <si>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</si>
  <si>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</si>
  <si>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</si>
  <si>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</si>
  <si>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</si>
  <si>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</si>
  <si>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</si>
  <si>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</si>
  <si>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</si>
  <si>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</si>
  <si>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</si>
  <si>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</si>
  <si>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</si>
  <si>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</si>
  <si>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</si>
  <si>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</si>
  <si>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</si>
  <si>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</si>
  <si>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</si>
  <si>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</si>
  <si>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</si>
  <si>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</si>
  <si>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</si>
  <si>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</si>
  <si>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</si>
  <si>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</si>
  <si>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</si>
  <si>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</si>
  <si>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</si>
  <si>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</si>
  <si>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</si>
  <si>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</si>
  <si>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</si>
  <si>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</si>
  <si>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</si>
  <si>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</si>
  <si>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</si>
  <si>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</si>
  <si>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</si>
  <si>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</si>
  <si>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</si>
  <si>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</si>
  <si>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</si>
  <si>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</si>
  <si>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</si>
  <si>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</si>
  <si>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</si>
  <si>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</si>
  <si>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</si>
  <si>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</si>
  <si>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</si>
  <si>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</si>
  <si>
    <t>KEREM AKBULUT</t>
  </si>
  <si>
    <t>YBS POMPA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</si>
</sst>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40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  <xf numFmtId="0" fontId="14" fillId="0" borderId="25" xfId="7" applyNumberFormat="1" applyFill="1" applyBorder="1" applyAlignment="1">
      <alignment horizontal="center" vertical="center"/>
    </xf>
    <xf numFmtId="2" fontId="14" fillId="0" borderId="25" xfId="7" applyNumberFormat="1" applyFill="1" applyBorder="1" applyAlignment="1">
      <alignment horizontal="center" vertical="center"/>
    </xf>
    <xf numFmtId="165" fontId="14" fillId="0" borderId="25" xfId="7" applyNumberFormat="1" applyFill="1" applyBorder="1" applyAlignment="1">
      <alignment horizontal="center"/>
    </xf>
    <xf numFmtId="165" fontId="14" fillId="0" borderId="45" xfId="7" applyNumberFormat="1" applyFill="1" applyBorder="1" applyAlignment="1">
      <alignment horizontal="center" vertical="center"/>
    </xf>
    <xf numFmtId="165" fontId="14" fillId="0" borderId="42" xfId="7" applyNumberFormat="1" applyFill="1" applyBorder="1" applyAlignment="1">
      <alignment horizontal="center"/>
    </xf>
    <xf numFmtId="165" fontId="14" fillId="0" borderId="50" xfId="7" applyNumberFormat="1" applyFill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97" t="s">
        <v>0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  <c r="S1" s="398"/>
      <c r="T1" s="398"/>
      <c r="U1" s="398"/>
      <c r="V1" s="398"/>
      <c r="W1" s="398"/>
      <c r="X1" s="398"/>
      <c r="Y1" s="398"/>
      <c r="Z1" s="398"/>
      <c r="AA1" s="398"/>
      <c r="AB1" s="398"/>
      <c r="AC1" s="398"/>
    </row>
    <row r="2" spans="1:29" x14ac:dyDescent="0.25">
      <c r="A2" s="399"/>
      <c r="B2" s="396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396"/>
      <c r="Q2" s="396"/>
      <c r="R2" s="396"/>
      <c r="S2" s="396"/>
      <c r="T2" s="396"/>
      <c r="U2" s="396"/>
      <c r="V2" s="396"/>
      <c r="W2" s="396"/>
      <c r="X2" s="396"/>
      <c r="Y2" s="396"/>
      <c r="Z2" s="396"/>
      <c r="AA2" s="396"/>
      <c r="AB2" s="396"/>
      <c r="AC2" s="396"/>
    </row>
    <row r="3" spans="1:29" x14ac:dyDescent="0.25">
      <c r="A3" s="3">
        <v>1.8</v>
      </c>
      <c r="B3" s="394"/>
      <c r="C3" s="2">
        <v>2.2000000000000002</v>
      </c>
      <c r="D3" s="394"/>
      <c r="E3" s="2">
        <v>2.2999999999999998</v>
      </c>
      <c r="F3" s="394"/>
      <c r="G3" s="2">
        <v>2.4500000000000002</v>
      </c>
      <c r="H3" s="394"/>
      <c r="I3" s="2"/>
      <c r="J3" s="394"/>
      <c r="K3" s="2"/>
      <c r="L3" s="394"/>
      <c r="M3" s="2"/>
      <c r="N3" s="394"/>
      <c r="O3" s="2"/>
      <c r="P3" s="394"/>
      <c r="Q3" s="2"/>
      <c r="R3" s="394"/>
      <c r="S3" s="2"/>
      <c r="T3" s="394"/>
      <c r="U3" s="2"/>
      <c r="V3" s="394"/>
      <c r="W3" s="2"/>
      <c r="X3" s="394"/>
      <c r="Y3" s="2"/>
      <c r="Z3" s="394"/>
      <c r="AA3" s="2"/>
      <c r="AB3" s="396"/>
    </row>
    <row r="4" spans="1:29" ht="6" customHeight="1" x14ac:dyDescent="0.25">
      <c r="A4" s="4"/>
      <c r="B4" s="395"/>
      <c r="C4" s="5"/>
      <c r="D4" s="395"/>
      <c r="E4" s="5"/>
      <c r="F4" s="395"/>
      <c r="G4" s="5"/>
      <c r="H4" s="395"/>
      <c r="I4" s="5"/>
      <c r="J4" s="395"/>
      <c r="K4" s="5"/>
      <c r="L4" s="395"/>
      <c r="M4" s="5"/>
      <c r="N4" s="395"/>
      <c r="O4" s="5"/>
      <c r="P4" s="395"/>
      <c r="Q4" s="5"/>
      <c r="R4" s="395"/>
      <c r="S4" s="5"/>
      <c r="T4" s="395"/>
      <c r="U4" s="5"/>
      <c r="V4" s="395"/>
      <c r="W4" s="5"/>
      <c r="X4" s="395"/>
      <c r="Y4" s="5"/>
      <c r="Z4" s="395"/>
      <c r="AA4" s="5"/>
      <c r="AB4" s="396"/>
    </row>
    <row r="5" spans="1:29" x14ac:dyDescent="0.25">
      <c r="A5" s="6">
        <v>2035.8</v>
      </c>
      <c r="B5" s="395"/>
      <c r="C5" s="7">
        <v>2018.1</v>
      </c>
      <c r="D5" s="395"/>
      <c r="E5" s="7">
        <v>2056.1</v>
      </c>
      <c r="F5" s="395"/>
      <c r="G5" s="7">
        <v>1995.7</v>
      </c>
      <c r="H5" s="395"/>
      <c r="I5" s="7"/>
      <c r="J5" s="395"/>
      <c r="K5" s="7"/>
      <c r="L5" s="395"/>
      <c r="M5" s="7"/>
      <c r="N5" s="395"/>
      <c r="O5" s="7"/>
      <c r="P5" s="395"/>
      <c r="Q5" s="7"/>
      <c r="R5" s="395"/>
      <c r="S5" s="7"/>
      <c r="T5" s="395"/>
      <c r="U5" s="7"/>
      <c r="V5" s="395"/>
      <c r="W5" s="7"/>
      <c r="X5" s="395"/>
      <c r="Y5" s="7"/>
      <c r="Z5" s="395"/>
      <c r="AA5" s="7"/>
      <c r="AB5" s="396"/>
    </row>
    <row r="6" spans="1:29" x14ac:dyDescent="0.25">
      <c r="A6" s="6"/>
      <c r="B6" s="395"/>
      <c r="C6" s="7"/>
      <c r="D6" s="395"/>
      <c r="E6" s="7"/>
      <c r="F6" s="395"/>
      <c r="G6" s="7"/>
      <c r="H6" s="395"/>
      <c r="I6" s="7"/>
      <c r="J6" s="395"/>
      <c r="K6" s="7"/>
      <c r="L6" s="395"/>
      <c r="M6" s="7"/>
      <c r="N6" s="395"/>
      <c r="O6" s="7"/>
      <c r="P6" s="395"/>
      <c r="Q6" s="7"/>
      <c r="R6" s="395"/>
      <c r="S6" s="7"/>
      <c r="T6" s="395"/>
      <c r="U6" s="7"/>
      <c r="V6" s="395"/>
      <c r="W6" s="7"/>
      <c r="X6" s="395"/>
      <c r="Y6" s="7"/>
      <c r="Z6" s="395"/>
      <c r="AA6" s="7"/>
      <c r="AB6" s="396"/>
    </row>
    <row r="7" spans="1:29" x14ac:dyDescent="0.25">
      <c r="A7" s="6"/>
      <c r="B7" s="395"/>
      <c r="C7" s="7"/>
      <c r="D7" s="395"/>
      <c r="E7" s="7"/>
      <c r="F7" s="395"/>
      <c r="G7" s="7"/>
      <c r="H7" s="395"/>
      <c r="I7" s="7"/>
      <c r="J7" s="395"/>
      <c r="K7" s="7"/>
      <c r="L7" s="395"/>
      <c r="M7" s="7"/>
      <c r="N7" s="395"/>
      <c r="O7" s="7"/>
      <c r="P7" s="395"/>
      <c r="Q7" s="7"/>
      <c r="R7" s="395"/>
      <c r="S7" s="7"/>
      <c r="T7" s="395"/>
      <c r="U7" s="7"/>
      <c r="V7" s="395"/>
      <c r="W7" s="7"/>
      <c r="X7" s="395"/>
      <c r="Y7" s="7"/>
      <c r="Z7" s="395"/>
      <c r="AA7" s="7"/>
      <c r="AB7" s="396"/>
    </row>
    <row r="8" spans="1:29" x14ac:dyDescent="0.25">
      <c r="A8" s="6"/>
      <c r="B8" s="395"/>
      <c r="C8" s="7"/>
      <c r="D8" s="395"/>
      <c r="E8" s="7"/>
      <c r="F8" s="395"/>
      <c r="G8" s="7"/>
      <c r="H8" s="395"/>
      <c r="I8" s="7"/>
      <c r="J8" s="395"/>
      <c r="K8" s="7"/>
      <c r="L8" s="395"/>
      <c r="M8" s="7"/>
      <c r="N8" s="395"/>
      <c r="O8" s="7"/>
      <c r="P8" s="395"/>
      <c r="Q8" s="7"/>
      <c r="R8" s="395"/>
      <c r="S8" s="7"/>
      <c r="T8" s="395"/>
      <c r="U8" s="7"/>
      <c r="V8" s="395"/>
      <c r="W8" s="7"/>
      <c r="X8" s="395"/>
      <c r="Y8" s="7"/>
      <c r="Z8" s="395"/>
      <c r="AA8" s="7"/>
      <c r="AB8" s="396"/>
    </row>
    <row r="9" spans="1:29" x14ac:dyDescent="0.25">
      <c r="A9" s="6"/>
      <c r="B9" s="395"/>
      <c r="C9" s="7"/>
      <c r="D9" s="395"/>
      <c r="E9" s="7"/>
      <c r="F9" s="395"/>
      <c r="G9" s="7"/>
      <c r="H9" s="395"/>
      <c r="I9" s="7"/>
      <c r="J9" s="395"/>
      <c r="K9" s="7"/>
      <c r="L9" s="395"/>
      <c r="M9" s="7"/>
      <c r="N9" s="395"/>
      <c r="O9" s="7"/>
      <c r="P9" s="395"/>
      <c r="Q9" s="7"/>
      <c r="R9" s="395"/>
      <c r="S9" s="7"/>
      <c r="T9" s="395"/>
      <c r="U9" s="7"/>
      <c r="V9" s="395"/>
      <c r="W9" s="7"/>
      <c r="X9" s="395"/>
      <c r="Y9" s="7"/>
      <c r="Z9" s="395"/>
      <c r="AA9" s="7"/>
      <c r="AB9" s="396"/>
    </row>
    <row r="10" spans="1:29" x14ac:dyDescent="0.25">
      <c r="A10" s="6"/>
      <c r="B10" s="395"/>
      <c r="C10" s="7"/>
      <c r="D10" s="395"/>
      <c r="E10" s="7"/>
      <c r="F10" s="395"/>
      <c r="G10" s="7"/>
      <c r="H10" s="395"/>
      <c r="I10" s="7"/>
      <c r="J10" s="395"/>
      <c r="K10" s="7"/>
      <c r="L10" s="395"/>
      <c r="M10" s="7"/>
      <c r="N10" s="395"/>
      <c r="O10" s="7"/>
      <c r="P10" s="395"/>
      <c r="Q10" s="7"/>
      <c r="R10" s="395"/>
      <c r="S10" s="7"/>
      <c r="T10" s="395"/>
      <c r="U10" s="7"/>
      <c r="V10" s="395"/>
      <c r="W10" s="7"/>
      <c r="X10" s="395"/>
      <c r="Y10" s="7"/>
      <c r="Z10" s="395"/>
      <c r="AA10" s="7"/>
      <c r="AB10" s="396"/>
    </row>
    <row r="11" spans="1:29" x14ac:dyDescent="0.25">
      <c r="A11" s="6"/>
      <c r="B11" s="395"/>
      <c r="C11" s="7"/>
      <c r="D11" s="395"/>
      <c r="E11" s="7"/>
      <c r="F11" s="395"/>
      <c r="G11" s="7"/>
      <c r="H11" s="395"/>
      <c r="I11" s="7"/>
      <c r="J11" s="395"/>
      <c r="K11" s="7"/>
      <c r="L11" s="395"/>
      <c r="M11" s="7"/>
      <c r="N11" s="395"/>
      <c r="O11" s="7"/>
      <c r="P11" s="395"/>
      <c r="Q11" s="7"/>
      <c r="R11" s="395"/>
      <c r="S11" s="7"/>
      <c r="T11" s="395"/>
      <c r="U11" s="7"/>
      <c r="V11" s="395"/>
      <c r="W11" s="7"/>
      <c r="X11" s="395"/>
      <c r="Y11" s="7"/>
      <c r="Z11" s="395"/>
      <c r="AA11" s="7"/>
      <c r="AB11" s="396"/>
    </row>
    <row r="12" spans="1:29" x14ac:dyDescent="0.25">
      <c r="A12" s="6"/>
      <c r="B12" s="395"/>
      <c r="C12" s="7"/>
      <c r="D12" s="395"/>
      <c r="E12" s="7"/>
      <c r="F12" s="395"/>
      <c r="G12" s="7"/>
      <c r="H12" s="395"/>
      <c r="I12" s="7"/>
      <c r="J12" s="395"/>
      <c r="K12" s="7"/>
      <c r="L12" s="395"/>
      <c r="M12" s="7"/>
      <c r="N12" s="395"/>
      <c r="O12" s="7"/>
      <c r="P12" s="395"/>
      <c r="Q12" s="7"/>
      <c r="R12" s="395"/>
      <c r="S12" s="7"/>
      <c r="T12" s="395"/>
      <c r="U12" s="7"/>
      <c r="V12" s="395"/>
      <c r="W12" s="7"/>
      <c r="X12" s="395"/>
      <c r="Y12" s="7"/>
      <c r="Z12" s="395"/>
      <c r="AA12" s="7"/>
      <c r="AB12" s="396"/>
    </row>
    <row r="13" spans="1:29" x14ac:dyDescent="0.25">
      <c r="A13" s="6"/>
      <c r="B13" s="395"/>
      <c r="C13" s="7"/>
      <c r="D13" s="395"/>
      <c r="E13" s="7"/>
      <c r="F13" s="395"/>
      <c r="G13" s="7"/>
      <c r="H13" s="395"/>
      <c r="I13" s="7"/>
      <c r="J13" s="395"/>
      <c r="K13" s="7"/>
      <c r="L13" s="395"/>
      <c r="M13" s="7"/>
      <c r="N13" s="395"/>
      <c r="O13" s="7"/>
      <c r="P13" s="395"/>
      <c r="Q13" s="7"/>
      <c r="R13" s="395"/>
      <c r="S13" s="7"/>
      <c r="T13" s="395"/>
      <c r="U13" s="7"/>
      <c r="V13" s="395"/>
      <c r="W13" s="7"/>
      <c r="X13" s="395"/>
      <c r="Y13" s="7"/>
      <c r="Z13" s="395"/>
      <c r="AA13" s="7"/>
      <c r="AB13" s="396"/>
    </row>
    <row r="14" spans="1:29" x14ac:dyDescent="0.25">
      <c r="A14" s="6"/>
      <c r="B14" s="395"/>
      <c r="C14" s="7"/>
      <c r="D14" s="395"/>
      <c r="E14" s="7"/>
      <c r="F14" s="395"/>
      <c r="G14" s="7"/>
      <c r="H14" s="395"/>
      <c r="I14" s="7"/>
      <c r="J14" s="395"/>
      <c r="K14" s="7"/>
      <c r="L14" s="395"/>
      <c r="M14" s="7"/>
      <c r="N14" s="395"/>
      <c r="O14" s="7"/>
      <c r="P14" s="395"/>
      <c r="Q14" s="7"/>
      <c r="R14" s="395"/>
      <c r="S14" s="7"/>
      <c r="T14" s="395"/>
      <c r="U14" s="7"/>
      <c r="V14" s="395"/>
      <c r="W14" s="7"/>
      <c r="X14" s="395"/>
      <c r="Y14" s="7"/>
      <c r="Z14" s="395"/>
      <c r="AA14" s="7"/>
      <c r="AB14" s="396"/>
    </row>
    <row r="15" spans="1:29" x14ac:dyDescent="0.25">
      <c r="A15" s="6"/>
      <c r="B15" s="395"/>
      <c r="C15" s="7"/>
      <c r="D15" s="395"/>
      <c r="E15" s="7"/>
      <c r="F15" s="395"/>
      <c r="G15" s="7"/>
      <c r="H15" s="395"/>
      <c r="I15" s="7"/>
      <c r="J15" s="395"/>
      <c r="K15" s="7"/>
      <c r="L15" s="395"/>
      <c r="M15" s="7"/>
      <c r="N15" s="395"/>
      <c r="O15" s="7"/>
      <c r="P15" s="395"/>
      <c r="Q15" s="7"/>
      <c r="R15" s="395"/>
      <c r="S15" s="7"/>
      <c r="T15" s="395"/>
      <c r="U15" s="7"/>
      <c r="V15" s="395"/>
      <c r="W15" s="7"/>
      <c r="X15" s="395"/>
      <c r="Y15" s="7"/>
      <c r="Z15" s="395"/>
      <c r="AA15" s="7"/>
      <c r="AB15" s="396"/>
    </row>
    <row r="16" spans="1:29" x14ac:dyDescent="0.25">
      <c r="A16" s="6"/>
      <c r="B16" s="395"/>
      <c r="C16" s="7"/>
      <c r="D16" s="395"/>
      <c r="E16" s="7"/>
      <c r="F16" s="395"/>
      <c r="G16" s="7"/>
      <c r="H16" s="395"/>
      <c r="I16" s="7"/>
      <c r="J16" s="395"/>
      <c r="K16" s="7"/>
      <c r="L16" s="395"/>
      <c r="M16" s="7"/>
      <c r="N16" s="395"/>
      <c r="O16" s="7"/>
      <c r="P16" s="395"/>
      <c r="Q16" s="7"/>
      <c r="R16" s="395"/>
      <c r="S16" s="7"/>
      <c r="T16" s="395"/>
      <c r="U16" s="7"/>
      <c r="V16" s="395"/>
      <c r="W16" s="7"/>
      <c r="X16" s="395"/>
      <c r="Y16" s="7"/>
      <c r="Z16" s="395"/>
      <c r="AA16" s="7"/>
      <c r="AB16" s="396"/>
    </row>
    <row r="17" spans="1:28" x14ac:dyDescent="0.25">
      <c r="A17" s="6"/>
      <c r="B17" s="395"/>
      <c r="C17" s="7"/>
      <c r="D17" s="395"/>
      <c r="E17" s="7"/>
      <c r="F17" s="395"/>
      <c r="G17" s="7"/>
      <c r="H17" s="395"/>
      <c r="I17" s="7"/>
      <c r="J17" s="395"/>
      <c r="K17" s="7"/>
      <c r="L17" s="395"/>
      <c r="M17" s="7"/>
      <c r="N17" s="395"/>
      <c r="O17" s="7"/>
      <c r="P17" s="395"/>
      <c r="Q17" s="7"/>
      <c r="R17" s="395"/>
      <c r="S17" s="7"/>
      <c r="T17" s="395"/>
      <c r="U17" s="7"/>
      <c r="V17" s="395"/>
      <c r="W17" s="7"/>
      <c r="X17" s="395"/>
      <c r="Y17" s="7"/>
      <c r="Z17" s="395"/>
      <c r="AA17" s="7"/>
      <c r="AB17" s="396"/>
    </row>
    <row r="18" spans="1:28" x14ac:dyDescent="0.25">
      <c r="A18" s="6"/>
      <c r="B18" s="395"/>
      <c r="C18" s="7"/>
      <c r="D18" s="395"/>
      <c r="E18" s="7"/>
      <c r="F18" s="395"/>
      <c r="G18" s="7"/>
      <c r="H18" s="395"/>
      <c r="I18" s="7"/>
      <c r="J18" s="395"/>
      <c r="K18" s="7"/>
      <c r="L18" s="395"/>
      <c r="M18" s="7"/>
      <c r="N18" s="395"/>
      <c r="O18" s="7"/>
      <c r="P18" s="395"/>
      <c r="Q18" s="7"/>
      <c r="R18" s="395"/>
      <c r="S18" s="7"/>
      <c r="T18" s="395"/>
      <c r="U18" s="7"/>
      <c r="V18" s="395"/>
      <c r="W18" s="7"/>
      <c r="X18" s="395"/>
      <c r="Y18" s="7"/>
      <c r="Z18" s="395"/>
      <c r="AA18" s="7"/>
      <c r="AB18" s="396"/>
    </row>
    <row r="19" spans="1:28" x14ac:dyDescent="0.25">
      <c r="A19" s="6"/>
      <c r="B19" s="395"/>
      <c r="C19" s="7"/>
      <c r="D19" s="395"/>
      <c r="E19" s="7"/>
      <c r="F19" s="395"/>
      <c r="G19" s="7"/>
      <c r="H19" s="395"/>
      <c r="I19" s="7"/>
      <c r="J19" s="395"/>
      <c r="K19" s="7"/>
      <c r="L19" s="395"/>
      <c r="M19" s="7"/>
      <c r="N19" s="395"/>
      <c r="O19" s="7"/>
      <c r="P19" s="395"/>
      <c r="Q19" s="7"/>
      <c r="R19" s="395"/>
      <c r="S19" s="7"/>
      <c r="T19" s="395"/>
      <c r="U19" s="7"/>
      <c r="V19" s="395"/>
      <c r="W19" s="7"/>
      <c r="X19" s="395"/>
      <c r="Y19" s="7"/>
      <c r="Z19" s="395"/>
      <c r="AA19" s="7"/>
      <c r="AB19" s="396"/>
    </row>
    <row r="20" spans="1:28" x14ac:dyDescent="0.25">
      <c r="A20" s="6"/>
      <c r="B20" s="395"/>
      <c r="C20" s="7"/>
      <c r="D20" s="395"/>
      <c r="E20" s="7"/>
      <c r="F20" s="395"/>
      <c r="G20" s="7"/>
      <c r="H20" s="395"/>
      <c r="I20" s="7"/>
      <c r="J20" s="395"/>
      <c r="K20" s="7"/>
      <c r="L20" s="395"/>
      <c r="M20" s="7"/>
      <c r="N20" s="395"/>
      <c r="O20" s="7"/>
      <c r="P20" s="395"/>
      <c r="Q20" s="7"/>
      <c r="R20" s="395"/>
      <c r="S20" s="7"/>
      <c r="T20" s="395"/>
      <c r="U20" s="7"/>
      <c r="V20" s="395"/>
      <c r="W20" s="7"/>
      <c r="X20" s="395"/>
      <c r="Y20" s="7"/>
      <c r="Z20" s="395"/>
      <c r="AA20" s="7"/>
      <c r="AB20" s="396"/>
    </row>
    <row r="21" spans="1:28" ht="15.75" customHeight="1" x14ac:dyDescent="0.25">
      <c r="A21" s="6"/>
      <c r="B21" s="395"/>
      <c r="C21" s="7"/>
      <c r="D21" s="395"/>
      <c r="E21" s="7"/>
      <c r="F21" s="395"/>
      <c r="G21" s="7"/>
      <c r="H21" s="395"/>
      <c r="I21" s="7"/>
      <c r="J21" s="395"/>
      <c r="K21" s="7"/>
      <c r="L21" s="395"/>
      <c r="M21" s="7"/>
      <c r="N21" s="395"/>
      <c r="O21" s="7"/>
      <c r="P21" s="395"/>
      <c r="Q21" s="7"/>
      <c r="R21" s="395"/>
      <c r="S21" s="7"/>
      <c r="T21" s="395"/>
      <c r="U21" s="7"/>
      <c r="V21" s="395"/>
      <c r="W21" s="7"/>
      <c r="X21" s="395"/>
      <c r="Y21" s="7"/>
      <c r="Z21" s="395"/>
      <c r="AA21" s="7"/>
      <c r="AB21" s="396"/>
    </row>
    <row r="22" spans="1:28" ht="15.75" customHeight="1" x14ac:dyDescent="0.25">
      <c r="A22" s="6"/>
      <c r="B22" s="395"/>
      <c r="C22" s="7"/>
      <c r="D22" s="395"/>
      <c r="E22" s="7"/>
      <c r="F22" s="395"/>
      <c r="G22" s="7"/>
      <c r="H22" s="395"/>
      <c r="I22" s="7"/>
      <c r="J22" s="395"/>
      <c r="K22" s="7"/>
      <c r="L22" s="395"/>
      <c r="M22" s="7"/>
      <c r="N22" s="395"/>
      <c r="O22" s="7"/>
      <c r="P22" s="395"/>
      <c r="Q22" s="7"/>
      <c r="R22" s="395"/>
      <c r="S22" s="7"/>
      <c r="T22" s="395"/>
      <c r="U22" s="7"/>
      <c r="V22" s="395"/>
      <c r="W22" s="7"/>
      <c r="X22" s="395"/>
      <c r="Y22" s="7"/>
      <c r="Z22" s="395"/>
      <c r="AA22" s="7"/>
      <c r="AB22" s="396"/>
    </row>
    <row r="23" spans="1:28" ht="15.75" customHeight="1" x14ac:dyDescent="0.25">
      <c r="A23" s="6"/>
      <c r="B23" s="395"/>
      <c r="C23" s="7"/>
      <c r="D23" s="395"/>
      <c r="E23" s="7"/>
      <c r="F23" s="395"/>
      <c r="G23" s="7"/>
      <c r="H23" s="395"/>
      <c r="I23" s="7"/>
      <c r="J23" s="395"/>
      <c r="K23" s="7"/>
      <c r="L23" s="395"/>
      <c r="M23" s="7"/>
      <c r="N23" s="395"/>
      <c r="O23" s="7"/>
      <c r="P23" s="395"/>
      <c r="Q23" s="7"/>
      <c r="R23" s="395"/>
      <c r="S23" s="7"/>
      <c r="T23" s="395"/>
      <c r="U23" s="7"/>
      <c r="V23" s="395"/>
      <c r="W23" s="7"/>
      <c r="X23" s="395"/>
      <c r="Y23" s="7"/>
      <c r="Z23" s="395"/>
      <c r="AA23" s="7"/>
      <c r="AB23" s="396"/>
    </row>
    <row r="24" spans="1:28" ht="15.75" customHeight="1" x14ac:dyDescent="0.25">
      <c r="A24" s="6"/>
      <c r="B24" s="395"/>
      <c r="C24" s="7"/>
      <c r="D24" s="395"/>
      <c r="E24" s="7"/>
      <c r="F24" s="395"/>
      <c r="G24" s="7"/>
      <c r="H24" s="395"/>
      <c r="I24" s="7"/>
      <c r="J24" s="395"/>
      <c r="K24" s="7"/>
      <c r="L24" s="395"/>
      <c r="M24" s="7"/>
      <c r="N24" s="395"/>
      <c r="O24" s="7"/>
      <c r="P24" s="395"/>
      <c r="Q24" s="7"/>
      <c r="R24" s="395"/>
      <c r="S24" s="7"/>
      <c r="T24" s="395"/>
      <c r="U24" s="7"/>
      <c r="V24" s="395"/>
      <c r="W24" s="7"/>
      <c r="X24" s="395"/>
      <c r="Y24" s="7"/>
      <c r="Z24" s="395"/>
      <c r="AA24" s="7"/>
      <c r="AB24" s="396"/>
    </row>
    <row r="25" spans="1:28" ht="15.75" customHeight="1" x14ac:dyDescent="0.25">
      <c r="A25" s="6"/>
      <c r="B25" s="395"/>
      <c r="C25" s="7"/>
      <c r="D25" s="395"/>
      <c r="E25" s="7"/>
      <c r="F25" s="395"/>
      <c r="G25" s="7"/>
      <c r="H25" s="395"/>
      <c r="I25" s="7"/>
      <c r="J25" s="395"/>
      <c r="K25" s="7"/>
      <c r="L25" s="395"/>
      <c r="M25" s="7"/>
      <c r="N25" s="395"/>
      <c r="O25" s="7"/>
      <c r="P25" s="395"/>
      <c r="Q25" s="7"/>
      <c r="R25" s="395"/>
      <c r="S25" s="7"/>
      <c r="T25" s="395"/>
      <c r="U25" s="7"/>
      <c r="V25" s="395"/>
      <c r="W25" s="7"/>
      <c r="X25" s="395"/>
      <c r="Y25" s="7"/>
      <c r="Z25" s="395"/>
      <c r="AA25" s="7"/>
      <c r="AB25" s="396"/>
    </row>
    <row r="26" spans="1:28" ht="15.75" customHeight="1" x14ac:dyDescent="0.25">
      <c r="A26" s="6"/>
      <c r="B26" s="395"/>
      <c r="C26" s="7"/>
      <c r="D26" s="395"/>
      <c r="E26" s="7"/>
      <c r="F26" s="395"/>
      <c r="G26" s="7"/>
      <c r="H26" s="395"/>
      <c r="I26" s="7"/>
      <c r="J26" s="395"/>
      <c r="K26" s="7"/>
      <c r="L26" s="395"/>
      <c r="M26" s="7"/>
      <c r="N26" s="395"/>
      <c r="O26" s="7"/>
      <c r="P26" s="395"/>
      <c r="Q26" s="7"/>
      <c r="R26" s="395"/>
      <c r="S26" s="7"/>
      <c r="T26" s="395"/>
      <c r="U26" s="7"/>
      <c r="V26" s="395"/>
      <c r="W26" s="7"/>
      <c r="X26" s="395"/>
      <c r="Y26" s="7"/>
      <c r="Z26" s="395"/>
      <c r="AA26" s="7"/>
      <c r="AB26" s="396"/>
    </row>
    <row r="27" spans="1:28" ht="15.75" customHeight="1" x14ac:dyDescent="0.25">
      <c r="A27" s="6"/>
      <c r="B27" s="395"/>
      <c r="C27" s="7"/>
      <c r="D27" s="395"/>
      <c r="E27" s="7"/>
      <c r="F27" s="395"/>
      <c r="G27" s="7"/>
      <c r="H27" s="395"/>
      <c r="I27" s="7"/>
      <c r="J27" s="395"/>
      <c r="K27" s="7"/>
      <c r="L27" s="395"/>
      <c r="M27" s="7"/>
      <c r="N27" s="395"/>
      <c r="O27" s="7"/>
      <c r="P27" s="395"/>
      <c r="Q27" s="7"/>
      <c r="R27" s="395"/>
      <c r="S27" s="7"/>
      <c r="T27" s="395"/>
      <c r="U27" s="7"/>
      <c r="V27" s="395"/>
      <c r="W27" s="7"/>
      <c r="X27" s="395"/>
      <c r="Y27" s="7"/>
      <c r="Z27" s="395"/>
      <c r="AA27" s="7"/>
      <c r="AB27" s="396"/>
    </row>
    <row r="28" spans="1:28" ht="15.75" customHeight="1" x14ac:dyDescent="0.25">
      <c r="A28" s="6"/>
      <c r="B28" s="395"/>
      <c r="C28" s="7"/>
      <c r="D28" s="395"/>
      <c r="E28" s="7"/>
      <c r="F28" s="395"/>
      <c r="G28" s="7"/>
      <c r="H28" s="395"/>
      <c r="I28" s="7"/>
      <c r="J28" s="395"/>
      <c r="K28" s="7"/>
      <c r="L28" s="395"/>
      <c r="M28" s="7"/>
      <c r="N28" s="395"/>
      <c r="O28" s="7"/>
      <c r="P28" s="395"/>
      <c r="Q28" s="7"/>
      <c r="R28" s="395"/>
      <c r="S28" s="7"/>
      <c r="T28" s="395"/>
      <c r="U28" s="7"/>
      <c r="V28" s="395"/>
      <c r="W28" s="7"/>
      <c r="X28" s="395"/>
      <c r="Y28" s="7"/>
      <c r="Z28" s="395"/>
      <c r="AA28" s="7"/>
      <c r="AB28" s="396"/>
    </row>
    <row r="29" spans="1:28" ht="15.75" customHeight="1" x14ac:dyDescent="0.25">
      <c r="A29" s="6"/>
      <c r="B29" s="395"/>
      <c r="C29" s="7"/>
      <c r="D29" s="395"/>
      <c r="E29" s="7"/>
      <c r="F29" s="395"/>
      <c r="G29" s="7"/>
      <c r="H29" s="395"/>
      <c r="I29" s="7"/>
      <c r="J29" s="395"/>
      <c r="K29" s="7"/>
      <c r="L29" s="395"/>
      <c r="M29" s="7"/>
      <c r="N29" s="395"/>
      <c r="O29" s="7"/>
      <c r="P29" s="395"/>
      <c r="Q29" s="7"/>
      <c r="R29" s="395"/>
      <c r="S29" s="7"/>
      <c r="T29" s="395"/>
      <c r="U29" s="7"/>
      <c r="V29" s="395"/>
      <c r="W29" s="7"/>
      <c r="X29" s="395"/>
      <c r="Y29" s="7"/>
      <c r="Z29" s="395"/>
      <c r="AA29" s="7"/>
      <c r="AB29" s="396"/>
    </row>
    <row r="30" spans="1:28" ht="15.75" customHeight="1" x14ac:dyDescent="0.25">
      <c r="A30" s="6"/>
      <c r="B30" s="395"/>
      <c r="C30" s="7"/>
      <c r="D30" s="395"/>
      <c r="E30" s="7"/>
      <c r="F30" s="395"/>
      <c r="G30" s="7"/>
      <c r="H30" s="395"/>
      <c r="I30" s="7"/>
      <c r="J30" s="395"/>
      <c r="K30" s="7"/>
      <c r="L30" s="395"/>
      <c r="M30" s="7"/>
      <c r="N30" s="395"/>
      <c r="O30" s="7"/>
      <c r="P30" s="395"/>
      <c r="Q30" s="7"/>
      <c r="R30" s="395"/>
      <c r="S30" s="7"/>
      <c r="T30" s="395"/>
      <c r="U30" s="7"/>
      <c r="V30" s="395"/>
      <c r="W30" s="7"/>
      <c r="X30" s="395"/>
      <c r="Y30" s="7"/>
      <c r="Z30" s="395"/>
      <c r="AA30" s="7"/>
      <c r="AB30" s="396"/>
    </row>
    <row r="31" spans="1:28" ht="15.75" customHeight="1" x14ac:dyDescent="0.25">
      <c r="A31" s="6"/>
      <c r="B31" s="395"/>
      <c r="C31" s="7"/>
      <c r="D31" s="395"/>
      <c r="E31" s="7"/>
      <c r="F31" s="395"/>
      <c r="G31" s="7"/>
      <c r="H31" s="395"/>
      <c r="I31" s="7"/>
      <c r="J31" s="395"/>
      <c r="K31" s="7"/>
      <c r="L31" s="395"/>
      <c r="M31" s="7"/>
      <c r="N31" s="395"/>
      <c r="O31" s="7"/>
      <c r="P31" s="395"/>
      <c r="Q31" s="7"/>
      <c r="R31" s="395"/>
      <c r="S31" s="7"/>
      <c r="T31" s="395"/>
      <c r="U31" s="7"/>
      <c r="V31" s="395"/>
      <c r="W31" s="7"/>
      <c r="X31" s="395"/>
      <c r="Y31" s="7"/>
      <c r="Z31" s="395"/>
      <c r="AA31" s="7"/>
      <c r="AB31" s="396"/>
    </row>
    <row r="32" spans="1:28" ht="15.75" customHeight="1" x14ac:dyDescent="0.25">
      <c r="A32" s="6"/>
      <c r="B32" s="395"/>
      <c r="C32" s="7"/>
      <c r="D32" s="395"/>
      <c r="E32" s="7"/>
      <c r="F32" s="395"/>
      <c r="G32" s="7"/>
      <c r="H32" s="395"/>
      <c r="I32" s="7"/>
      <c r="J32" s="395"/>
      <c r="K32" s="7"/>
      <c r="L32" s="395"/>
      <c r="M32" s="7"/>
      <c r="N32" s="395"/>
      <c r="O32" s="7"/>
      <c r="P32" s="395"/>
      <c r="Q32" s="7"/>
      <c r="R32" s="395"/>
      <c r="S32" s="7"/>
      <c r="T32" s="395"/>
      <c r="U32" s="7"/>
      <c r="V32" s="395"/>
      <c r="W32" s="7"/>
      <c r="X32" s="395"/>
      <c r="Y32" s="7"/>
      <c r="Z32" s="395"/>
      <c r="AA32" s="7"/>
      <c r="AB32" s="396"/>
    </row>
    <row r="33" spans="1:30" ht="15.75" customHeight="1" x14ac:dyDescent="0.25">
      <c r="A33" s="6"/>
      <c r="B33" s="395"/>
      <c r="C33" s="7"/>
      <c r="D33" s="395"/>
      <c r="E33" s="7"/>
      <c r="F33" s="395"/>
      <c r="G33" s="7"/>
      <c r="H33" s="395"/>
      <c r="I33" s="7"/>
      <c r="J33" s="395"/>
      <c r="K33" s="7"/>
      <c r="L33" s="395"/>
      <c r="M33" s="7"/>
      <c r="N33" s="395"/>
      <c r="O33" s="7"/>
      <c r="P33" s="395"/>
      <c r="Q33" s="7"/>
      <c r="R33" s="395"/>
      <c r="S33" s="7"/>
      <c r="T33" s="395"/>
      <c r="U33" s="7"/>
      <c r="V33" s="395"/>
      <c r="W33" s="7"/>
      <c r="X33" s="395"/>
      <c r="Y33" s="7"/>
      <c r="Z33" s="395"/>
      <c r="AA33" s="7"/>
      <c r="AB33" s="396"/>
    </row>
    <row r="34" spans="1:30" ht="15.75" customHeight="1" x14ac:dyDescent="0.25">
      <c r="A34" s="6"/>
      <c r="B34" s="395"/>
      <c r="C34" s="7"/>
      <c r="D34" s="395"/>
      <c r="E34" s="7"/>
      <c r="F34" s="395"/>
      <c r="G34" s="7"/>
      <c r="H34" s="395"/>
      <c r="I34" s="7"/>
      <c r="J34" s="395"/>
      <c r="K34" s="7"/>
      <c r="L34" s="395"/>
      <c r="M34" s="7"/>
      <c r="N34" s="395"/>
      <c r="O34" s="7"/>
      <c r="P34" s="395"/>
      <c r="Q34" s="7"/>
      <c r="R34" s="395"/>
      <c r="S34" s="7"/>
      <c r="T34" s="395"/>
      <c r="U34" s="7"/>
      <c r="V34" s="395"/>
      <c r="W34" s="7"/>
      <c r="X34" s="395"/>
      <c r="Y34" s="7"/>
      <c r="Z34" s="395"/>
      <c r="AA34" s="7"/>
      <c r="AB34" s="396"/>
    </row>
    <row r="35" spans="1:30" ht="15.75" customHeight="1" x14ac:dyDescent="0.25">
      <c r="A35" s="6"/>
      <c r="B35" s="395"/>
      <c r="C35" s="7"/>
      <c r="D35" s="395"/>
      <c r="E35" s="7"/>
      <c r="F35" s="395"/>
      <c r="G35" s="7"/>
      <c r="H35" s="395"/>
      <c r="I35" s="7"/>
      <c r="J35" s="395"/>
      <c r="K35" s="7"/>
      <c r="L35" s="395"/>
      <c r="M35" s="7"/>
      <c r="N35" s="395"/>
      <c r="O35" s="7"/>
      <c r="P35" s="395"/>
      <c r="Q35" s="7"/>
      <c r="R35" s="395"/>
      <c r="S35" s="7"/>
      <c r="T35" s="395"/>
      <c r="U35" s="7"/>
      <c r="V35" s="395"/>
      <c r="W35" s="7"/>
      <c r="X35" s="395"/>
      <c r="Y35" s="7"/>
      <c r="Z35" s="395"/>
      <c r="AA35" s="7"/>
      <c r="AB35" s="396"/>
    </row>
    <row r="36" spans="1:30" ht="15.75" customHeight="1" x14ac:dyDescent="0.25">
      <c r="A36" s="4"/>
      <c r="B36" s="395"/>
      <c r="C36" s="5"/>
      <c r="D36" s="395"/>
      <c r="E36" s="5"/>
      <c r="F36" s="395"/>
      <c r="G36" s="5"/>
      <c r="H36" s="395"/>
      <c r="I36" s="5"/>
      <c r="J36" s="395"/>
      <c r="K36" s="5"/>
      <c r="L36" s="395"/>
      <c r="M36" s="5"/>
      <c r="N36" s="395"/>
      <c r="O36" s="5"/>
      <c r="P36" s="395"/>
      <c r="Q36" s="5"/>
      <c r="R36" s="395"/>
      <c r="S36" s="5"/>
      <c r="T36" s="395"/>
      <c r="U36" s="5"/>
      <c r="V36" s="395"/>
      <c r="W36" s="5"/>
      <c r="X36" s="395"/>
      <c r="Y36" s="5"/>
      <c r="Z36" s="395"/>
      <c r="AA36" s="5"/>
      <c r="AB36" s="396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88">
        <f>SUM(A38:AC38)</f>
        <v>8105.7</v>
      </c>
      <c r="B40" s="389"/>
      <c r="C40" s="389"/>
      <c r="D40" s="390"/>
    </row>
    <row r="41" spans="1:30" ht="15.75" customHeight="1" x14ac:dyDescent="0.25">
      <c r="A41" s="391"/>
      <c r="B41" s="392"/>
      <c r="C41" s="392"/>
      <c r="D41" s="393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404" t="s">
        <v>86</v>
      </c>
      <c r="B1" s="405"/>
      <c r="C1" s="405"/>
      <c r="D1" s="405"/>
      <c r="E1" s="405"/>
      <c r="F1" s="405"/>
      <c r="G1" s="405"/>
      <c r="H1" s="405"/>
      <c r="I1" s="405"/>
      <c r="J1" s="405"/>
      <c r="K1" s="40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416" t="s">
        <v>128</v>
      </c>
      <c r="B2" s="417"/>
      <c r="C2" s="418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22" t="s">
        <v>7</v>
      </c>
      <c r="C3" s="423"/>
      <c r="D3" s="299">
        <v>102</v>
      </c>
      <c r="E3" s="300">
        <f>SUM(F3:K3)</f>
        <v>25.675000000000001</v>
      </c>
      <c r="F3" s="301"/>
      <c r="G3" s="302"/>
      <c r="H3" s="302"/>
      <c r="I3" s="302"/>
      <c r="J3" s="302"/>
      <c r="K3" s="303">
        <f>'STOK DETAY'!D6</f>
        <v>25.675000000000001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24" t="s">
        <v>7</v>
      </c>
      <c r="C4" s="425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24" t="s">
        <v>7</v>
      </c>
      <c r="C5" s="425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29" t="s">
        <v>7</v>
      </c>
      <c r="C6" s="430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413" t="s">
        <v>4</v>
      </c>
      <c r="B7" s="414"/>
      <c r="C7" s="414"/>
      <c r="D7" s="415"/>
      <c r="E7" s="316">
        <f t="shared" si="0"/>
        <v>25.675000000000001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25.675000000000001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33" t="s">
        <v>55</v>
      </c>
      <c r="B8" s="434"/>
      <c r="C8" s="435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0</v>
      </c>
      <c r="F12" s="329">
        <f>'STOK DETAY'!N6</f>
        <v>0</v>
      </c>
      <c r="G12" s="330">
        <f>'STOK DETAY'!O6</f>
        <v>0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93.21</v>
      </c>
      <c r="F13" s="333"/>
      <c r="G13" s="330"/>
      <c r="H13" s="330">
        <f>'STOK DETAY'!S6</f>
        <v>93.21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14.455</v>
      </c>
      <c r="F15" s="329">
        <f>'STOK DETAY'!X6</f>
        <v>0</v>
      </c>
      <c r="G15" s="330">
        <f>'STOK DETAY'!Y6</f>
        <v>0</v>
      </c>
      <c r="H15" s="330">
        <f>'STOK DETAY'!Z6</f>
        <v>14.455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38.564999999999998</v>
      </c>
      <c r="F16" s="329">
        <f>'STOK DETAY'!AA6</f>
        <v>0</v>
      </c>
      <c r="G16" s="330">
        <f>'STOK DETAY'!AB6</f>
        <v>0</v>
      </c>
      <c r="H16" s="330">
        <f>'STOK DETAY'!AC6</f>
        <v>38.564999999999998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16.21</v>
      </c>
      <c r="F17" s="329">
        <f>'STOK DETAY'!AE6</f>
        <v>0</v>
      </c>
      <c r="G17" s="330">
        <f>'STOK DETAY'!AF6</f>
        <v>0</v>
      </c>
      <c r="H17" s="330">
        <f>'STOK DETAY'!AG6</f>
        <v>16.21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82.93</v>
      </c>
      <c r="F19" s="329">
        <f>'STOK DETAY'!AL6</f>
        <v>0</v>
      </c>
      <c r="G19" s="330">
        <f>'STOK DETAY'!AM6</f>
        <v>0</v>
      </c>
      <c r="H19" s="330">
        <f>'STOK DETAY'!AN6</f>
        <v>82.93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7.94</v>
      </c>
      <c r="F20" s="329">
        <f>'STOK DETAY'!AP6</f>
        <v>0</v>
      </c>
      <c r="G20" s="330">
        <f>'STOK DETAY'!AQ6</f>
        <v>0</v>
      </c>
      <c r="H20" s="330">
        <f>'STOK DETAY'!AR6</f>
        <v>7.94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0</v>
      </c>
      <c r="F21" s="329">
        <f>'STOK DETAY'!AU6</f>
        <v>0</v>
      </c>
      <c r="G21" s="330">
        <f>'STOK DETAY'!AV6</f>
        <v>0</v>
      </c>
      <c r="H21" s="330">
        <f>'STOK DETAY'!AW6</f>
        <v>0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0</v>
      </c>
      <c r="F22" s="329">
        <f>'STOK DETAY'!BA6</f>
        <v>0</v>
      </c>
      <c r="G22" s="330">
        <f>'STOK DETAY'!BB6</f>
        <v>0</v>
      </c>
      <c r="H22" s="330">
        <f>'STOK DETAY'!BC6</f>
        <v>0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0</v>
      </c>
      <c r="F23" s="329">
        <f>'STOK DETAY'!BG6</f>
        <v>0</v>
      </c>
      <c r="G23" s="330">
        <f>'STOK DETAY'!BH6</f>
        <v>0</v>
      </c>
      <c r="H23" s="330">
        <f>'STOK DETAY'!BI6</f>
        <v>0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0</v>
      </c>
      <c r="F24" s="329">
        <f>'STOK DETAY'!BM6</f>
        <v>0</v>
      </c>
      <c r="G24" s="330">
        <f>'STOK DETAY'!BN6</f>
        <v>0</v>
      </c>
      <c r="H24" s="330">
        <f>'STOK DETAY'!BO6</f>
        <v>0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25.74</v>
      </c>
      <c r="F25" s="329">
        <f>'STOK DETAY'!BS6</f>
        <v>0</v>
      </c>
      <c r="G25" s="330">
        <f>'STOK DETAY'!BT6</f>
        <v>0</v>
      </c>
      <c r="H25" s="330">
        <f>'STOK DETAY'!BU6</f>
        <v>0</v>
      </c>
      <c r="I25" s="330">
        <f>'STOK DETAY'!BV6</f>
        <v>0</v>
      </c>
      <c r="J25" s="330">
        <f>'STOK DETAY'!BW6</f>
        <v>0</v>
      </c>
      <c r="K25" s="331">
        <f>'STOK DETAY'!BX6</f>
        <v>25.74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0</v>
      </c>
      <c r="F26" s="329">
        <f>'STOK DETAY'!BY6</f>
        <v>0</v>
      </c>
      <c r="G26" s="330">
        <f>'STOK DETAY'!BZ6</f>
        <v>0</v>
      </c>
      <c r="H26" s="330">
        <f>'STOK DETAY'!CA6</f>
        <v>0</v>
      </c>
      <c r="I26" s="330">
        <f>'STOK DETAY'!CB6</f>
        <v>0</v>
      </c>
      <c r="J26" s="330">
        <f>'STOK DETAY'!CC6</f>
        <v>0</v>
      </c>
      <c r="K26" s="331">
        <f>'STOK DETAY'!CD6</f>
        <v>0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0</v>
      </c>
      <c r="F28" s="329">
        <f>'STOK DETAY'!CK6</f>
        <v>0</v>
      </c>
      <c r="G28" s="330">
        <f>'STOK DETAY'!CL6</f>
        <v>0</v>
      </c>
      <c r="H28" s="330">
        <f>'STOK DETAY'!CM6</f>
        <v>0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0</v>
      </c>
      <c r="F29" s="329">
        <f>'STOK DETAY'!CQ6</f>
        <v>0</v>
      </c>
      <c r="G29" s="330">
        <f>'STOK DETAY'!CR6</f>
        <v>0</v>
      </c>
      <c r="H29" s="330">
        <f>'STOK DETAY'!CS6</f>
        <v>0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0</v>
      </c>
      <c r="F30" s="329">
        <f>'STOK DETAY'!CW6</f>
        <v>0</v>
      </c>
      <c r="G30" s="330">
        <f>'STOK DETAY'!CX6</f>
        <v>0</v>
      </c>
      <c r="H30" s="330">
        <f>'STOK DETAY'!CY6</f>
        <v>0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34.340000000000003</v>
      </c>
      <c r="F31" s="329">
        <f>'STOK DETAY'!DC6</f>
        <v>0</v>
      </c>
      <c r="G31" s="330">
        <f>'STOK DETAY'!DD6</f>
        <v>0</v>
      </c>
      <c r="H31" s="330">
        <f>'STOK DETAY'!DE6</f>
        <v>34.340000000000003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34.72</v>
      </c>
      <c r="F32" s="329">
        <f>'STOK DETAY'!DI6</f>
        <v>0</v>
      </c>
      <c r="G32" s="330">
        <f>'STOK DETAY'!DJ6</f>
        <v>0</v>
      </c>
      <c r="H32" s="330">
        <f>'STOK DETAY'!DK6</f>
        <v>34.72</v>
      </c>
      <c r="I32" s="330">
        <f>'STOK DETAY'!DL6</f>
        <v>0</v>
      </c>
      <c r="J32" s="330">
        <f>'STOK DETAY'!DM6</f>
        <v>0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8.5250000000000004</v>
      </c>
      <c r="F33" s="329">
        <f>'STOK DETAY'!DN6</f>
        <v>0</v>
      </c>
      <c r="G33" s="330">
        <f>'STOK DETAY'!DO6</f>
        <v>8.5250000000000004</v>
      </c>
      <c r="H33" s="330">
        <f>'STOK DETAY'!DP6</f>
        <v>0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0</v>
      </c>
      <c r="F35" s="329">
        <f>'STOK DETAY'!DY6</f>
        <v>0</v>
      </c>
      <c r="G35" s="330">
        <f>'STOK DETAY'!DZ6</f>
        <v>0</v>
      </c>
      <c r="H35" s="330">
        <f>'STOK DETAY'!EA6</f>
        <v>0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221.58500000000001</v>
      </c>
      <c r="F36" s="329">
        <f>'STOK DETAY'!EE6</f>
        <v>0</v>
      </c>
      <c r="G36" s="330">
        <f>'STOK DETAY'!EF6</f>
        <v>0</v>
      </c>
      <c r="H36" s="330">
        <f>'STOK DETAY'!EG6</f>
        <v>211.39500000000001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413" t="s">
        <v>4</v>
      </c>
      <c r="B57" s="414"/>
      <c r="C57" s="414"/>
      <c r="D57" s="415"/>
      <c r="E57" s="316">
        <f>SUM(F57:K57)</f>
        <v>1243.58</v>
      </c>
      <c r="F57" s="317">
        <f t="shared" ref="F57:K57" si="3">SUM(F9:F56)</f>
        <v>9.1999999999999993</v>
      </c>
      <c r="G57" s="318">
        <f t="shared" si="3"/>
        <v>8.5250000000000004</v>
      </c>
      <c r="H57" s="318">
        <f t="shared" si="3"/>
        <v>863.32500000000005</v>
      </c>
      <c r="I57" s="318">
        <f t="shared" si="3"/>
        <v>1.75</v>
      </c>
      <c r="J57" s="318">
        <f t="shared" si="3"/>
        <v>335.04</v>
      </c>
      <c r="K57" s="319">
        <f t="shared" si="3"/>
        <v>25.74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416" t="s">
        <v>30</v>
      </c>
      <c r="B58" s="417"/>
      <c r="C58" s="418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54.058</v>
      </c>
      <c r="F59" s="329">
        <f>'STOK DETAY'!GJ6</f>
        <v>0</v>
      </c>
      <c r="G59" s="330"/>
      <c r="H59" s="330">
        <f>'STOK DETAY'!GK6</f>
        <v>54.058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0</v>
      </c>
      <c r="F70" s="329">
        <f>'STOK DETAY'!HE6</f>
        <v>0</v>
      </c>
      <c r="G70" s="330"/>
      <c r="H70" s="330">
        <f>'STOK DETAY'!HF6</f>
        <v>0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0</v>
      </c>
      <c r="F75" s="329">
        <f>'STOK DETAY'!HO6</f>
        <v>0</v>
      </c>
      <c r="G75" s="330"/>
      <c r="H75" s="330">
        <f>'STOK DETAY'!HP6</f>
        <v>0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410" t="s">
        <v>4</v>
      </c>
      <c r="B89" s="411"/>
      <c r="C89" s="411"/>
      <c r="D89" s="412"/>
      <c r="E89" s="316">
        <f>SUM(F89:K89)</f>
        <v>581.00300000000004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209.983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416" t="s">
        <v>10</v>
      </c>
      <c r="B90" s="417"/>
      <c r="C90" s="419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402"/>
      <c r="C91" s="403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400"/>
      <c r="C92" s="401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400"/>
      <c r="C93" s="401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400"/>
      <c r="C94" s="401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400"/>
      <c r="C95" s="401"/>
      <c r="D95" s="340">
        <v>101</v>
      </c>
      <c r="E95" s="306">
        <f t="shared" si="6"/>
        <v>404.44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404.44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400"/>
      <c r="C96" s="401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400"/>
      <c r="C97" s="401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400"/>
      <c r="C98" s="401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400"/>
      <c r="C99" s="401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400"/>
      <c r="C100" s="401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400"/>
      <c r="C101" s="401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31"/>
      <c r="C102" s="432"/>
      <c r="D102" s="346">
        <v>511</v>
      </c>
      <c r="E102" s="306">
        <f>SUM(F102:K102)</f>
        <v>0</v>
      </c>
      <c r="F102" s="345"/>
      <c r="G102" s="330">
        <f>'STOK DETAY'!IV6</f>
        <v>0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20"/>
      <c r="C103" s="421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26" t="s">
        <v>4</v>
      </c>
      <c r="B104" s="427"/>
      <c r="C104" s="427"/>
      <c r="D104" s="428"/>
      <c r="E104" s="316">
        <f>SUM(F104:K104)</f>
        <v>588.66999999999996</v>
      </c>
      <c r="F104" s="317">
        <f>SUM(F91:F103)</f>
        <v>0</v>
      </c>
      <c r="G104" s="318">
        <f t="shared" ref="G104:K104" si="7">SUM(G91:G103)</f>
        <v>184.23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404.44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407" t="s">
        <v>1</v>
      </c>
      <c r="B105" s="408"/>
      <c r="C105" s="408"/>
      <c r="D105" s="409"/>
      <c r="E105" s="351">
        <f>SUM(F105:K105)</f>
        <v>2438.9279999999999</v>
      </c>
      <c r="F105" s="352">
        <f t="shared" ref="F105:K105" si="8">F7+F57+F89+F104</f>
        <v>366.9</v>
      </c>
      <c r="G105" s="353">
        <f t="shared" si="8"/>
        <v>192.755</v>
      </c>
      <c r="H105" s="353">
        <f t="shared" si="8"/>
        <v>1073.308</v>
      </c>
      <c r="I105" s="353">
        <f t="shared" si="8"/>
        <v>1.75</v>
      </c>
      <c r="J105" s="353">
        <f t="shared" si="8"/>
        <v>335.04</v>
      </c>
      <c r="K105" s="354">
        <f t="shared" si="8"/>
        <v>469.17500000000001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12"/>
  <sheetViews>
    <sheetView showGridLines="0" zoomScaleNormal="100" workbookViewId="0">
      <pane ySplit="6" topLeftCell="A6215" activePane="bottomLeft" state="frozen"/>
      <selection activeCell="C37" sqref="C37"/>
      <selection pane="bottomLeft" activeCell="B6243" sqref="B6243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4" width="12.7109375" style="386" customWidth="1"/>
    <col min="5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74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106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106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106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106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82" customWidth="1"/>
    <col min="77" max="77" width="12.7109375" style="42" customWidth="1"/>
    <col min="78" max="78" width="12.7109375" style="69" customWidth="1"/>
    <col min="79" max="79" width="12.7109375" style="106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82" customWidth="1"/>
    <col min="89" max="89" width="12.7109375" style="42" customWidth="1"/>
    <col min="90" max="90" width="12.7109375" style="69" customWidth="1"/>
    <col min="91" max="91" width="12.7109375" style="106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106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106" customWidth="1"/>
    <col min="116" max="116" width="12.7109375" style="121" customWidth="1"/>
    <col min="117" max="117" width="12.7109375" style="46" customWidth="1"/>
    <col min="118" max="118" width="12.7109375" style="42" customWidth="1"/>
    <col min="119" max="119" width="12.7109375" style="375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92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92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5" width="12.7109375" style="262" customWidth="1"/>
    <col min="256" max="256" width="12.7109375" style="378" customWidth="1"/>
    <col min="257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38" t="s">
        <v>86</v>
      </c>
      <c r="B1" s="438"/>
      <c r="C1" s="101" t="s">
        <v>157</v>
      </c>
      <c r="D1" s="382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70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102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102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102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102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81" t="s">
        <v>115</v>
      </c>
      <c r="BY1" s="39" t="s">
        <v>2</v>
      </c>
      <c r="BZ1" s="65" t="s">
        <v>3</v>
      </c>
      <c r="CA1" s="102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81" t="s">
        <v>115</v>
      </c>
      <c r="CK1" s="39" t="s">
        <v>2</v>
      </c>
      <c r="CL1" s="65" t="s">
        <v>3</v>
      </c>
      <c r="CM1" s="102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102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102" t="s">
        <v>113</v>
      </c>
      <c r="DL1" s="117" t="s">
        <v>5</v>
      </c>
      <c r="DM1" s="43" t="s">
        <v>6</v>
      </c>
      <c r="DN1" s="39" t="s">
        <v>2</v>
      </c>
      <c r="DO1" s="370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89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89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376" t="s">
        <v>232</v>
      </c>
      <c r="IW1" s="257" t="s">
        <v>232</v>
      </c>
    </row>
    <row r="2" spans="1:257" s="24" customFormat="1" ht="20.100000000000001" customHeight="1" x14ac:dyDescent="0.25">
      <c r="A2" s="438"/>
      <c r="B2" s="438"/>
      <c r="C2" s="101" t="s">
        <v>158</v>
      </c>
      <c r="D2" s="382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70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102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102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102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102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81" t="s">
        <v>7</v>
      </c>
      <c r="BY2" s="39" t="s">
        <v>7</v>
      </c>
      <c r="BZ2" s="65" t="s">
        <v>7</v>
      </c>
      <c r="CA2" s="102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81" t="s">
        <v>7</v>
      </c>
      <c r="CK2" s="39" t="s">
        <v>7</v>
      </c>
      <c r="CL2" s="65" t="s">
        <v>7</v>
      </c>
      <c r="CM2" s="102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102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102" t="s">
        <v>7</v>
      </c>
      <c r="DL2" s="117" t="s">
        <v>7</v>
      </c>
      <c r="DM2" s="43" t="s">
        <v>7</v>
      </c>
      <c r="DN2" s="39" t="s">
        <v>7</v>
      </c>
      <c r="DO2" s="370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89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89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376" t="s">
        <v>232</v>
      </c>
      <c r="IW2" s="257" t="s">
        <v>232</v>
      </c>
    </row>
    <row r="3" spans="1:257" s="24" customFormat="1" ht="20.100000000000001" customHeight="1" x14ac:dyDescent="0.25">
      <c r="A3" s="438"/>
      <c r="B3" s="438"/>
      <c r="C3" s="101" t="s">
        <v>159</v>
      </c>
      <c r="D3" s="382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70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102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102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102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102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81" t="s">
        <v>55</v>
      </c>
      <c r="BY3" s="39" t="s">
        <v>55</v>
      </c>
      <c r="BZ3" s="65" t="s">
        <v>55</v>
      </c>
      <c r="CA3" s="102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81" t="s">
        <v>55</v>
      </c>
      <c r="CK3" s="39" t="s">
        <v>55</v>
      </c>
      <c r="CL3" s="65" t="s">
        <v>55</v>
      </c>
      <c r="CM3" s="102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102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102" t="s">
        <v>55</v>
      </c>
      <c r="DL3" s="117" t="s">
        <v>55</v>
      </c>
      <c r="DM3" s="43" t="s">
        <v>55</v>
      </c>
      <c r="DN3" s="39" t="s">
        <v>55</v>
      </c>
      <c r="DO3" s="370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89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89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376" t="s">
        <v>10</v>
      </c>
      <c r="IW3" s="257" t="s">
        <v>10</v>
      </c>
    </row>
    <row r="4" spans="1:257" s="25" customFormat="1" ht="30" customHeight="1" x14ac:dyDescent="0.25">
      <c r="A4" s="438"/>
      <c r="B4" s="438"/>
      <c r="C4" s="101" t="s">
        <v>160</v>
      </c>
      <c r="D4" s="383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71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103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103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103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103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51">
        <v>0.8</v>
      </c>
      <c r="BY4" s="40">
        <v>0.85</v>
      </c>
      <c r="BZ4" s="66">
        <v>0.85</v>
      </c>
      <c r="CA4" s="103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51">
        <v>0.9</v>
      </c>
      <c r="CK4" s="40">
        <v>0.95</v>
      </c>
      <c r="CL4" s="66">
        <v>0.95</v>
      </c>
      <c r="CM4" s="103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103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103">
        <v>1.1499999999999999</v>
      </c>
      <c r="DL4" s="118">
        <v>1.1499999999999999</v>
      </c>
      <c r="DM4" s="44">
        <v>1.1499999999999999</v>
      </c>
      <c r="DN4" s="40">
        <v>1.2</v>
      </c>
      <c r="DO4" s="371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90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90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377">
        <v>1.8</v>
      </c>
      <c r="IW4" s="259">
        <v>3.5</v>
      </c>
    </row>
    <row r="5" spans="1:257" ht="6.75" customHeight="1" x14ac:dyDescent="0.65">
      <c r="A5" s="438"/>
      <c r="B5" s="438"/>
      <c r="C5" s="99"/>
      <c r="D5" s="152"/>
      <c r="E5" s="143"/>
      <c r="F5" s="143"/>
      <c r="G5" s="143"/>
      <c r="H5" s="82"/>
      <c r="I5" s="82"/>
      <c r="J5" s="108"/>
      <c r="K5" s="41"/>
      <c r="L5" s="67"/>
      <c r="M5" s="91"/>
      <c r="N5" s="41"/>
      <c r="O5" s="67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72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104"/>
      <c r="AX5" s="119"/>
      <c r="AY5" s="124"/>
      <c r="AZ5" s="113"/>
      <c r="BA5" s="41"/>
      <c r="BB5" s="67"/>
      <c r="BC5" s="104"/>
      <c r="BD5" s="119"/>
      <c r="BE5" s="124"/>
      <c r="BF5" s="113"/>
      <c r="BG5" s="41"/>
      <c r="BH5" s="67"/>
      <c r="BI5" s="104"/>
      <c r="BJ5" s="119"/>
      <c r="BK5" s="124"/>
      <c r="BL5" s="113"/>
      <c r="BM5" s="87"/>
      <c r="BN5" s="67"/>
      <c r="BO5" s="104"/>
      <c r="BP5" s="119"/>
      <c r="BQ5" s="124"/>
      <c r="BR5" s="113"/>
      <c r="BS5" s="41"/>
      <c r="BT5" s="67"/>
      <c r="BU5" s="72"/>
      <c r="BV5" s="119"/>
      <c r="BW5" s="124"/>
      <c r="BX5" s="152"/>
      <c r="BY5" s="41"/>
      <c r="BZ5" s="67"/>
      <c r="CA5" s="104"/>
      <c r="CB5" s="119"/>
      <c r="CC5" s="124"/>
      <c r="CD5" s="152"/>
      <c r="CE5" s="41"/>
      <c r="CF5" s="67"/>
      <c r="CG5" s="104"/>
      <c r="CH5" s="119"/>
      <c r="CI5" s="124"/>
      <c r="CJ5" s="152"/>
      <c r="CK5" s="41"/>
      <c r="CL5" s="67"/>
      <c r="CM5" s="104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104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104"/>
      <c r="DL5" s="119"/>
      <c r="DM5" s="45"/>
      <c r="DN5" s="41"/>
      <c r="DO5" s="372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91"/>
      <c r="HG5" s="41"/>
      <c r="HH5" s="104"/>
      <c r="HI5" s="152"/>
      <c r="HJ5" s="77"/>
      <c r="HK5" s="49"/>
      <c r="HL5" s="41"/>
      <c r="HM5" s="104"/>
      <c r="HN5" s="113"/>
      <c r="HO5" s="41"/>
      <c r="HP5" s="91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2438.9279999999999</v>
      </c>
      <c r="D6" s="213">
        <f t="shared" ref="D6:BO6" si="0">SUM(D8:D1048576)</f>
        <v>25.675000000000001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217">
        <f t="shared" si="0"/>
        <v>0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93.21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14.455</v>
      </c>
      <c r="AA6" s="216">
        <f t="shared" si="0"/>
        <v>0</v>
      </c>
      <c r="AB6" s="217">
        <f t="shared" si="0"/>
        <v>0</v>
      </c>
      <c r="AC6" s="220">
        <f t="shared" si="0"/>
        <v>38.564999999999998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0">
        <f t="shared" si="0"/>
        <v>16.21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82.93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7.94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8">
        <f t="shared" si="0"/>
        <v>0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8">
        <f t="shared" si="0"/>
        <v>0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8">
        <f t="shared" si="0"/>
        <v>0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8">
        <f t="shared" si="0"/>
        <v>0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0">
        <f t="shared" si="1"/>
        <v>0</v>
      </c>
      <c r="BV6" s="222">
        <f t="shared" si="1"/>
        <v>0</v>
      </c>
      <c r="BW6" s="223">
        <f t="shared" si="1"/>
        <v>0</v>
      </c>
      <c r="BX6" s="213">
        <f t="shared" si="1"/>
        <v>25.74</v>
      </c>
      <c r="BY6" s="216">
        <f t="shared" si="1"/>
        <v>0</v>
      </c>
      <c r="BZ6" s="217">
        <f t="shared" si="1"/>
        <v>0</v>
      </c>
      <c r="CA6" s="228">
        <f t="shared" si="1"/>
        <v>0</v>
      </c>
      <c r="CB6" s="222">
        <f t="shared" si="1"/>
        <v>0</v>
      </c>
      <c r="CC6" s="223">
        <f t="shared" si="1"/>
        <v>0</v>
      </c>
      <c r="CD6" s="387">
        <f t="shared" si="1"/>
        <v>0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3">
        <f t="shared" si="1"/>
        <v>0</v>
      </c>
      <c r="CK6" s="216">
        <f t="shared" si="1"/>
        <v>0</v>
      </c>
      <c r="CL6" s="217">
        <f t="shared" si="1"/>
        <v>0</v>
      </c>
      <c r="CM6" s="228">
        <f t="shared" si="1"/>
        <v>0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0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8">
        <f t="shared" si="1"/>
        <v>0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34.340000000000003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8">
        <f t="shared" si="1"/>
        <v>34.72</v>
      </c>
      <c r="DL6" s="222">
        <f t="shared" si="1"/>
        <v>0</v>
      </c>
      <c r="DM6" s="224">
        <f t="shared" si="1"/>
        <v>0</v>
      </c>
      <c r="DN6" s="216">
        <f t="shared" si="1"/>
        <v>0</v>
      </c>
      <c r="DO6" s="373">
        <f t="shared" si="1"/>
        <v>8.5250000000000004</v>
      </c>
      <c r="DP6" s="220">
        <f t="shared" si="1"/>
        <v>0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0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211.39500000000001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54.058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8">
        <f t="shared" si="3"/>
        <v>0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8">
        <f t="shared" si="3"/>
        <v>0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404.44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379">
        <f t="shared" si="3"/>
        <v>0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385"/>
      <c r="E7" s="144"/>
      <c r="F7" s="144"/>
      <c r="G7" s="144"/>
      <c r="H7" s="83"/>
      <c r="I7" s="83"/>
      <c r="J7" s="109"/>
      <c r="K7" s="60"/>
      <c r="L7" s="68"/>
      <c r="M7" s="94"/>
      <c r="N7" s="60"/>
      <c r="O7" s="68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73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105"/>
      <c r="AX7" s="120"/>
      <c r="AY7" s="125"/>
      <c r="AZ7" s="114"/>
      <c r="BA7" s="60"/>
      <c r="BB7" s="68"/>
      <c r="BC7" s="105"/>
      <c r="BD7" s="120"/>
      <c r="BE7" s="125"/>
      <c r="BF7" s="114"/>
      <c r="BG7" s="60"/>
      <c r="BH7" s="68"/>
      <c r="BI7" s="105"/>
      <c r="BJ7" s="120"/>
      <c r="BK7" s="125"/>
      <c r="BL7" s="114"/>
      <c r="BM7" s="93"/>
      <c r="BN7" s="68"/>
      <c r="BO7" s="105"/>
      <c r="BP7" s="120"/>
      <c r="BQ7" s="125"/>
      <c r="BR7" s="114"/>
      <c r="BS7" s="60"/>
      <c r="BT7" s="68"/>
      <c r="BU7" s="73"/>
      <c r="BV7" s="120"/>
      <c r="BW7" s="125"/>
      <c r="BX7" s="290"/>
      <c r="BY7" s="60"/>
      <c r="BZ7" s="68"/>
      <c r="CA7" s="105"/>
      <c r="CB7" s="120"/>
      <c r="CC7" s="125"/>
      <c r="CD7" s="290"/>
      <c r="CE7" s="60"/>
      <c r="CF7" s="68"/>
      <c r="CG7" s="105"/>
      <c r="CH7" s="120"/>
      <c r="CI7" s="125"/>
      <c r="CJ7" s="290"/>
      <c r="CK7" s="60"/>
      <c r="CL7" s="68"/>
      <c r="CM7" s="105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105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105"/>
      <c r="DL7" s="120"/>
      <c r="DM7" s="59"/>
      <c r="DN7" s="60"/>
      <c r="DO7" s="374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94"/>
      <c r="HG7" s="60"/>
      <c r="HH7" s="105"/>
      <c r="HI7" s="290"/>
      <c r="HJ7" s="78"/>
      <c r="HK7" s="62"/>
      <c r="HL7" s="60"/>
      <c r="HM7" s="105"/>
      <c r="HN7" s="114"/>
      <c r="HO7" s="60"/>
      <c r="HP7" s="94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1"/>
      <c r="IN7" s="362"/>
      <c r="IO7" s="287"/>
      <c r="IP7" s="266"/>
      <c r="IQ7" s="266"/>
      <c r="IR7" s="266"/>
      <c r="IS7" s="266"/>
      <c r="IT7" s="266"/>
      <c r="IU7" s="266"/>
      <c r="IV7" s="380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384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67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72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104"/>
      <c r="AX8" s="119"/>
      <c r="AY8" s="124"/>
      <c r="AZ8" s="113">
        <v>17.079999999999998</v>
      </c>
      <c r="BA8" s="41">
        <v>121.93</v>
      </c>
      <c r="BB8" s="67">
        <v>0</v>
      </c>
      <c r="BC8" s="104"/>
      <c r="BD8" s="119"/>
      <c r="BE8" s="124"/>
      <c r="BF8" s="113">
        <v>22.81</v>
      </c>
      <c r="BG8" s="41">
        <v>8.43</v>
      </c>
      <c r="BH8" s="67"/>
      <c r="BI8" s="104"/>
      <c r="BJ8" s="119"/>
      <c r="BK8" s="124"/>
      <c r="BL8" s="113">
        <v>42.34</v>
      </c>
      <c r="BM8" s="87">
        <v>76.819999999999993</v>
      </c>
      <c r="BN8" s="67">
        <v>34.104999999999997</v>
      </c>
      <c r="BO8" s="104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52">
        <v>0</v>
      </c>
      <c r="BY8" s="41">
        <v>662.91</v>
      </c>
      <c r="BZ8" s="67">
        <v>0</v>
      </c>
      <c r="CA8" s="104"/>
      <c r="CB8" s="119"/>
      <c r="CC8" s="124">
        <f>16.27-8.73</f>
        <v>7.54</v>
      </c>
      <c r="CD8" s="152"/>
      <c r="CE8" s="41">
        <v>365.38</v>
      </c>
      <c r="CF8" s="67">
        <v>0</v>
      </c>
      <c r="CG8" s="104"/>
      <c r="CH8" s="119"/>
      <c r="CI8" s="124"/>
      <c r="CJ8" s="152">
        <v>0</v>
      </c>
      <c r="CK8" s="41">
        <v>325.45999999999998</v>
      </c>
      <c r="CL8" s="67">
        <v>0</v>
      </c>
      <c r="CM8" s="104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104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104"/>
      <c r="DL8" s="119"/>
      <c r="DM8" s="45">
        <v>67.69</v>
      </c>
      <c r="DN8" s="41">
        <v>387.94</v>
      </c>
      <c r="DO8" s="372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91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91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384"/>
      <c r="E9" s="143"/>
      <c r="F9" s="143"/>
      <c r="G9" s="143"/>
      <c r="H9" s="82"/>
      <c r="I9" s="82"/>
      <c r="J9" s="108"/>
      <c r="K9" s="41"/>
      <c r="L9" s="67"/>
      <c r="M9" s="91"/>
      <c r="N9" s="41"/>
      <c r="O9" s="67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72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104"/>
      <c r="AX9" s="119"/>
      <c r="AY9" s="124"/>
      <c r="AZ9" s="113"/>
      <c r="BA9" s="41"/>
      <c r="BB9" s="67"/>
      <c r="BC9" s="104"/>
      <c r="BD9" s="119"/>
      <c r="BE9" s="124"/>
      <c r="BF9" s="113"/>
      <c r="BG9" s="41"/>
      <c r="BH9" s="67"/>
      <c r="BI9" s="104"/>
      <c r="BJ9" s="119"/>
      <c r="BK9" s="124"/>
      <c r="BL9" s="113"/>
      <c r="BM9" s="87"/>
      <c r="BN9" s="67"/>
      <c r="BO9" s="104"/>
      <c r="BP9" s="119"/>
      <c r="BQ9" s="124"/>
      <c r="BR9" s="113"/>
      <c r="BS9" s="41"/>
      <c r="BT9" s="67"/>
      <c r="BU9" s="72"/>
      <c r="BV9" s="119"/>
      <c r="BW9" s="124"/>
      <c r="BX9" s="152"/>
      <c r="BY9" s="41"/>
      <c r="BZ9" s="67"/>
      <c r="CA9" s="104"/>
      <c r="CB9" s="119"/>
      <c r="CC9" s="124"/>
      <c r="CD9" s="152"/>
      <c r="CE9" s="41"/>
      <c r="CF9" s="67"/>
      <c r="CG9" s="104"/>
      <c r="CH9" s="119"/>
      <c r="CI9" s="124"/>
      <c r="CJ9" s="152"/>
      <c r="CK9" s="41"/>
      <c r="CL9" s="67"/>
      <c r="CM9" s="104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104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104"/>
      <c r="DL9" s="119"/>
      <c r="DM9" s="45"/>
      <c r="DN9" s="41"/>
      <c r="DO9" s="372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91"/>
      <c r="HG9" s="41"/>
      <c r="HH9" s="104"/>
      <c r="HI9" s="152"/>
      <c r="HJ9" s="77"/>
      <c r="HK9" s="49"/>
      <c r="HL9" s="41"/>
      <c r="HM9" s="104"/>
      <c r="HN9" s="113"/>
      <c r="HO9" s="41"/>
      <c r="HP9" s="91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384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67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72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104"/>
      <c r="AX10" s="119"/>
      <c r="AY10" s="124"/>
      <c r="AZ10" s="113"/>
      <c r="BA10" s="41"/>
      <c r="BB10" s="67"/>
      <c r="BC10" s="104"/>
      <c r="BD10" s="119"/>
      <c r="BE10" s="124"/>
      <c r="BF10" s="113"/>
      <c r="BG10" s="41"/>
      <c r="BH10" s="67"/>
      <c r="BI10" s="104"/>
      <c r="BJ10" s="119"/>
      <c r="BK10" s="124"/>
      <c r="BL10" s="113"/>
      <c r="BM10" s="87"/>
      <c r="BN10" s="67"/>
      <c r="BO10" s="104"/>
      <c r="BP10" s="119"/>
      <c r="BQ10" s="124"/>
      <c r="BR10" s="113"/>
      <c r="BS10" s="41"/>
      <c r="BT10" s="67"/>
      <c r="BU10" s="72"/>
      <c r="BV10" s="119"/>
      <c r="BW10" s="124"/>
      <c r="BX10" s="152"/>
      <c r="BY10" s="41"/>
      <c r="BZ10" s="67"/>
      <c r="CA10" s="104"/>
      <c r="CB10" s="119"/>
      <c r="CC10" s="124"/>
      <c r="CD10" s="152"/>
      <c r="CE10" s="41"/>
      <c r="CF10" s="67"/>
      <c r="CG10" s="104"/>
      <c r="CH10" s="119"/>
      <c r="CI10" s="124"/>
      <c r="CJ10" s="152"/>
      <c r="CK10" s="41"/>
      <c r="CL10" s="67"/>
      <c r="CM10" s="104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104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104"/>
      <c r="DL10" s="119"/>
      <c r="DM10" s="45"/>
      <c r="DN10" s="41"/>
      <c r="DO10" s="372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91"/>
      <c r="HG10" s="41"/>
      <c r="HH10" s="104"/>
      <c r="HI10" s="152"/>
      <c r="HJ10" s="77"/>
      <c r="HK10" s="49"/>
      <c r="HL10" s="41"/>
      <c r="HM10" s="104"/>
      <c r="HN10" s="113"/>
      <c r="HO10" s="41"/>
      <c r="HP10" s="91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384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67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72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104"/>
      <c r="AX11" s="119"/>
      <c r="AY11" s="124"/>
      <c r="AZ11" s="113"/>
      <c r="BA11" s="41"/>
      <c r="BB11" s="67"/>
      <c r="BC11" s="104"/>
      <c r="BD11" s="119"/>
      <c r="BE11" s="124"/>
      <c r="BF11" s="113"/>
      <c r="BG11" s="41"/>
      <c r="BH11" s="67"/>
      <c r="BI11" s="104"/>
      <c r="BJ11" s="119"/>
      <c r="BK11" s="124"/>
      <c r="BL11" s="113"/>
      <c r="BM11" s="87"/>
      <c r="BN11" s="67"/>
      <c r="BO11" s="104"/>
      <c r="BP11" s="119"/>
      <c r="BQ11" s="124"/>
      <c r="BR11" s="113"/>
      <c r="BS11" s="41"/>
      <c r="BT11" s="67"/>
      <c r="BU11" s="72"/>
      <c r="BV11" s="119"/>
      <c r="BW11" s="124"/>
      <c r="BX11" s="152"/>
      <c r="BY11" s="41"/>
      <c r="BZ11" s="67"/>
      <c r="CA11" s="104"/>
      <c r="CB11" s="119"/>
      <c r="CC11" s="124"/>
      <c r="CD11" s="152"/>
      <c r="CE11" s="41"/>
      <c r="CF11" s="67"/>
      <c r="CG11" s="104"/>
      <c r="CH11" s="119"/>
      <c r="CI11" s="124"/>
      <c r="CJ11" s="152"/>
      <c r="CK11" s="41"/>
      <c r="CL11" s="67"/>
      <c r="CM11" s="104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104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104"/>
      <c r="DL11" s="119"/>
      <c r="DM11" s="45"/>
      <c r="DN11" s="41"/>
      <c r="DO11" s="372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91"/>
      <c r="HG11" s="41"/>
      <c r="HH11" s="104"/>
      <c r="HI11" s="152"/>
      <c r="HJ11" s="77"/>
      <c r="HK11" s="49"/>
      <c r="HL11" s="41"/>
      <c r="HM11" s="104"/>
      <c r="HN11" s="113"/>
      <c r="HO11" s="41"/>
      <c r="HP11" s="91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384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67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72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104"/>
      <c r="AX12" s="119"/>
      <c r="AY12" s="124"/>
      <c r="AZ12" s="113"/>
      <c r="BA12" s="41"/>
      <c r="BB12" s="67"/>
      <c r="BC12" s="104"/>
      <c r="BD12" s="119"/>
      <c r="BE12" s="124"/>
      <c r="BF12" s="113"/>
      <c r="BG12" s="41"/>
      <c r="BH12" s="67"/>
      <c r="BI12" s="104"/>
      <c r="BJ12" s="119"/>
      <c r="BK12" s="124"/>
      <c r="BL12" s="113"/>
      <c r="BM12" s="87"/>
      <c r="BN12" s="67"/>
      <c r="BO12" s="104"/>
      <c r="BP12" s="119"/>
      <c r="BQ12" s="124"/>
      <c r="BR12" s="113"/>
      <c r="BS12" s="41"/>
      <c r="BT12" s="67"/>
      <c r="BU12" s="72"/>
      <c r="BV12" s="119"/>
      <c r="BW12" s="124"/>
      <c r="BX12" s="152"/>
      <c r="BY12" s="41"/>
      <c r="BZ12" s="67"/>
      <c r="CA12" s="104"/>
      <c r="CB12" s="119"/>
      <c r="CC12" s="124"/>
      <c r="CD12" s="152"/>
      <c r="CE12" s="41"/>
      <c r="CF12" s="67"/>
      <c r="CG12" s="104"/>
      <c r="CH12" s="119"/>
      <c r="CI12" s="124"/>
      <c r="CJ12" s="152"/>
      <c r="CK12" s="41"/>
      <c r="CL12" s="67"/>
      <c r="CM12" s="104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104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104"/>
      <c r="DL12" s="119"/>
      <c r="DM12" s="45"/>
      <c r="DN12" s="41"/>
      <c r="DO12" s="372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91"/>
      <c r="HG12" s="41"/>
      <c r="HH12" s="104"/>
      <c r="HI12" s="152"/>
      <c r="HJ12" s="77"/>
      <c r="HK12" s="49"/>
      <c r="HL12" s="41"/>
      <c r="HM12" s="104"/>
      <c r="HN12" s="113"/>
      <c r="HO12" s="41"/>
      <c r="HP12" s="91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384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67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72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104"/>
      <c r="AX13" s="119"/>
      <c r="AY13" s="124"/>
      <c r="AZ13" s="113"/>
      <c r="BA13" s="41"/>
      <c r="BB13" s="67"/>
      <c r="BC13" s="104"/>
      <c r="BD13" s="119"/>
      <c r="BE13" s="124"/>
      <c r="BF13" s="113"/>
      <c r="BG13" s="41"/>
      <c r="BH13" s="67"/>
      <c r="BI13" s="104"/>
      <c r="BJ13" s="119"/>
      <c r="BK13" s="124"/>
      <c r="BL13" s="113"/>
      <c r="BM13" s="87"/>
      <c r="BN13" s="67"/>
      <c r="BO13" s="104"/>
      <c r="BP13" s="119"/>
      <c r="BQ13" s="124"/>
      <c r="BR13" s="113"/>
      <c r="BS13" s="41"/>
      <c r="BT13" s="67"/>
      <c r="BU13" s="72"/>
      <c r="BV13" s="119"/>
      <c r="BW13" s="124"/>
      <c r="BX13" s="152"/>
      <c r="BY13" s="41"/>
      <c r="BZ13" s="67"/>
      <c r="CA13" s="104"/>
      <c r="CB13" s="119"/>
      <c r="CC13" s="124"/>
      <c r="CD13" s="152"/>
      <c r="CE13" s="41"/>
      <c r="CF13" s="67"/>
      <c r="CG13" s="104"/>
      <c r="CH13" s="119"/>
      <c r="CI13" s="124"/>
      <c r="CJ13" s="152"/>
      <c r="CK13" s="41"/>
      <c r="CL13" s="67"/>
      <c r="CM13" s="104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104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104"/>
      <c r="DL13" s="119"/>
      <c r="DM13" s="45"/>
      <c r="DN13" s="41">
        <v>-34.299999999999997</v>
      </c>
      <c r="DO13" s="372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91"/>
      <c r="HG13" s="41"/>
      <c r="HH13" s="104"/>
      <c r="HI13" s="152"/>
      <c r="HJ13" s="77"/>
      <c r="HK13" s="49"/>
      <c r="HL13" s="41"/>
      <c r="HM13" s="104"/>
      <c r="HN13" s="113"/>
      <c r="HO13" s="41"/>
      <c r="HP13" s="91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384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67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72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104"/>
      <c r="AX14" s="119"/>
      <c r="AY14" s="124"/>
      <c r="AZ14" s="113"/>
      <c r="BA14" s="41">
        <v>-8.7899999999999991</v>
      </c>
      <c r="BB14" s="67"/>
      <c r="BC14" s="104"/>
      <c r="BD14" s="119"/>
      <c r="BE14" s="124"/>
      <c r="BF14" s="113"/>
      <c r="BG14" s="41">
        <v>-8.43</v>
      </c>
      <c r="BH14" s="67"/>
      <c r="BI14" s="104"/>
      <c r="BJ14" s="119"/>
      <c r="BK14" s="124"/>
      <c r="BL14" s="113"/>
      <c r="BM14" s="87">
        <v>-8.77</v>
      </c>
      <c r="BN14" s="67"/>
      <c r="BO14" s="104"/>
      <c r="BP14" s="119"/>
      <c r="BQ14" s="124"/>
      <c r="BR14" s="113"/>
      <c r="BS14" s="41"/>
      <c r="BT14" s="67">
        <v>-8.27</v>
      </c>
      <c r="BU14" s="72"/>
      <c r="BV14" s="119"/>
      <c r="BW14" s="124"/>
      <c r="BX14" s="152"/>
      <c r="BY14" s="41"/>
      <c r="BZ14" s="67"/>
      <c r="CA14" s="104"/>
      <c r="CB14" s="119"/>
      <c r="CC14" s="124"/>
      <c r="CD14" s="152"/>
      <c r="CE14" s="41"/>
      <c r="CF14" s="67"/>
      <c r="CG14" s="104"/>
      <c r="CH14" s="119"/>
      <c r="CI14" s="124"/>
      <c r="CJ14" s="152"/>
      <c r="CK14" s="41"/>
      <c r="CL14" s="67"/>
      <c r="CM14" s="104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104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104"/>
      <c r="DL14" s="119"/>
      <c r="DM14" s="45"/>
      <c r="DN14" s="41"/>
      <c r="DO14" s="372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91"/>
      <c r="HG14" s="41"/>
      <c r="HH14" s="104"/>
      <c r="HI14" s="152"/>
      <c r="HJ14" s="77"/>
      <c r="HK14" s="49"/>
      <c r="HL14" s="41"/>
      <c r="HM14" s="104"/>
      <c r="HN14" s="113"/>
      <c r="HO14" s="41"/>
      <c r="HP14" s="91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384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67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72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104"/>
      <c r="AX15" s="119"/>
      <c r="AY15" s="124"/>
      <c r="AZ15" s="113"/>
      <c r="BA15" s="41"/>
      <c r="BB15" s="67"/>
      <c r="BC15" s="104"/>
      <c r="BD15" s="119"/>
      <c r="BE15" s="124"/>
      <c r="BF15" s="113"/>
      <c r="BG15" s="41"/>
      <c r="BH15" s="67">
        <v>1010.05</v>
      </c>
      <c r="BI15" s="104"/>
      <c r="BJ15" s="119"/>
      <c r="BK15" s="124"/>
      <c r="BL15" s="113"/>
      <c r="BM15" s="87"/>
      <c r="BN15" s="67">
        <v>1004.44</v>
      </c>
      <c r="BO15" s="104"/>
      <c r="BP15" s="119"/>
      <c r="BQ15" s="124"/>
      <c r="BR15" s="113"/>
      <c r="BS15" s="41"/>
      <c r="BT15" s="67">
        <v>499.99</v>
      </c>
      <c r="BU15" s="72"/>
      <c r="BV15" s="119"/>
      <c r="BW15" s="124"/>
      <c r="BX15" s="152"/>
      <c r="BY15" s="41"/>
      <c r="BZ15" s="67">
        <v>503.08</v>
      </c>
      <c r="CA15" s="104"/>
      <c r="CB15" s="119"/>
      <c r="CC15" s="124"/>
      <c r="CD15" s="152"/>
      <c r="CE15" s="41"/>
      <c r="CF15" s="67">
        <v>509.55</v>
      </c>
      <c r="CG15" s="104"/>
      <c r="CH15" s="119"/>
      <c r="CI15" s="124"/>
      <c r="CJ15" s="152"/>
      <c r="CK15" s="41"/>
      <c r="CL15" s="67">
        <v>504.61</v>
      </c>
      <c r="CM15" s="104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104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104"/>
      <c r="DL15" s="119"/>
      <c r="DM15" s="45"/>
      <c r="DN15" s="41"/>
      <c r="DO15" s="372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91"/>
      <c r="HG15" s="41"/>
      <c r="HH15" s="104"/>
      <c r="HI15" s="152"/>
      <c r="HJ15" s="77"/>
      <c r="HK15" s="49"/>
      <c r="HL15" s="41"/>
      <c r="HM15" s="104"/>
      <c r="HN15" s="113"/>
      <c r="HO15" s="41"/>
      <c r="HP15" s="91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384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67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72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104"/>
      <c r="AX16" s="119"/>
      <c r="AY16" s="124"/>
      <c r="AZ16" s="113"/>
      <c r="BA16" s="41"/>
      <c r="BB16" s="67"/>
      <c r="BC16" s="104"/>
      <c r="BD16" s="119"/>
      <c r="BE16" s="124"/>
      <c r="BF16" s="113"/>
      <c r="BG16" s="41"/>
      <c r="BH16" s="67">
        <v>-102.30500000000001</v>
      </c>
      <c r="BI16" s="104"/>
      <c r="BJ16" s="119"/>
      <c r="BK16" s="124"/>
      <c r="BL16" s="113"/>
      <c r="BM16" s="87">
        <v>-58.45</v>
      </c>
      <c r="BN16" s="67">
        <v>-34</v>
      </c>
      <c r="BO16" s="104"/>
      <c r="BP16" s="119"/>
      <c r="BQ16" s="124"/>
      <c r="BR16" s="113"/>
      <c r="BS16" s="41"/>
      <c r="BT16" s="67"/>
      <c r="BU16" s="72"/>
      <c r="BV16" s="119"/>
      <c r="BW16" s="124"/>
      <c r="BX16" s="152"/>
      <c r="BY16" s="41"/>
      <c r="BZ16" s="67"/>
      <c r="CA16" s="104"/>
      <c r="CB16" s="119"/>
      <c r="CC16" s="124"/>
      <c r="CD16" s="152"/>
      <c r="CE16" s="41"/>
      <c r="CF16" s="67"/>
      <c r="CG16" s="104"/>
      <c r="CH16" s="119"/>
      <c r="CI16" s="124"/>
      <c r="CJ16" s="152"/>
      <c r="CK16" s="41"/>
      <c r="CL16" s="67"/>
      <c r="CM16" s="104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104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104"/>
      <c r="DL16" s="119"/>
      <c r="DM16" s="45"/>
      <c r="DN16" s="41"/>
      <c r="DO16" s="372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91"/>
      <c r="HG16" s="41"/>
      <c r="HH16" s="104"/>
      <c r="HI16" s="152"/>
      <c r="HJ16" s="77"/>
      <c r="HK16" s="49"/>
      <c r="HL16" s="41"/>
      <c r="HM16" s="104"/>
      <c r="HN16" s="113"/>
      <c r="HO16" s="41"/>
      <c r="HP16" s="91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384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67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72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104"/>
      <c r="AX17" s="119"/>
      <c r="AY17" s="124"/>
      <c r="AZ17" s="113"/>
      <c r="BA17" s="41"/>
      <c r="BB17" s="67"/>
      <c r="BC17" s="104"/>
      <c r="BD17" s="119"/>
      <c r="BE17" s="124"/>
      <c r="BF17" s="113"/>
      <c r="BG17" s="41"/>
      <c r="BH17" s="67"/>
      <c r="BI17" s="104"/>
      <c r="BJ17" s="119"/>
      <c r="BK17" s="124"/>
      <c r="BL17" s="113"/>
      <c r="BM17" s="87"/>
      <c r="BN17" s="67"/>
      <c r="BO17" s="104"/>
      <c r="BP17" s="119"/>
      <c r="BQ17" s="124"/>
      <c r="BR17" s="113"/>
      <c r="BS17" s="41"/>
      <c r="BT17" s="67"/>
      <c r="BU17" s="72"/>
      <c r="BV17" s="119"/>
      <c r="BW17" s="124"/>
      <c r="BX17" s="152"/>
      <c r="BY17" s="41"/>
      <c r="BZ17" s="67"/>
      <c r="CA17" s="104"/>
      <c r="CB17" s="119"/>
      <c r="CC17" s="124"/>
      <c r="CD17" s="152"/>
      <c r="CE17" s="41"/>
      <c r="CF17" s="67"/>
      <c r="CG17" s="104"/>
      <c r="CH17" s="119"/>
      <c r="CI17" s="124"/>
      <c r="CJ17" s="152"/>
      <c r="CK17" s="41"/>
      <c r="CL17" s="67"/>
      <c r="CM17" s="104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104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104"/>
      <c r="DL17" s="119"/>
      <c r="DM17" s="45"/>
      <c r="DN17" s="41"/>
      <c r="DO17" s="372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91"/>
      <c r="HG17" s="41"/>
      <c r="HH17" s="104"/>
      <c r="HI17" s="152"/>
      <c r="HJ17" s="77"/>
      <c r="HK17" s="49"/>
      <c r="HL17" s="41"/>
      <c r="HM17" s="104"/>
      <c r="HN17" s="113"/>
      <c r="HO17" s="41"/>
      <c r="HP17" s="91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384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67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72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104"/>
      <c r="AX18" s="119"/>
      <c r="AY18" s="124"/>
      <c r="AZ18" s="113"/>
      <c r="BA18" s="41"/>
      <c r="BB18" s="67"/>
      <c r="BC18" s="104"/>
      <c r="BD18" s="119"/>
      <c r="BE18" s="124"/>
      <c r="BF18" s="113"/>
      <c r="BG18" s="41"/>
      <c r="BH18" s="67"/>
      <c r="BI18" s="104"/>
      <c r="BJ18" s="119"/>
      <c r="BK18" s="124"/>
      <c r="BL18" s="113"/>
      <c r="BM18" s="87"/>
      <c r="BN18" s="67"/>
      <c r="BO18" s="104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52"/>
      <c r="BY18" s="41"/>
      <c r="BZ18" s="67"/>
      <c r="CA18" s="104"/>
      <c r="CB18" s="119"/>
      <c r="CC18" s="124"/>
      <c r="CD18" s="152"/>
      <c r="CE18" s="41"/>
      <c r="CF18" s="67"/>
      <c r="CG18" s="104"/>
      <c r="CH18" s="119"/>
      <c r="CI18" s="124"/>
      <c r="CJ18" s="152"/>
      <c r="CK18" s="41"/>
      <c r="CL18" s="67"/>
      <c r="CM18" s="104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104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104"/>
      <c r="DL18" s="119"/>
      <c r="DM18" s="45"/>
      <c r="DN18" s="41"/>
      <c r="DO18" s="372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91"/>
      <c r="HG18" s="41"/>
      <c r="HH18" s="104"/>
      <c r="HI18" s="152"/>
      <c r="HJ18" s="77"/>
      <c r="HK18" s="49"/>
      <c r="HL18" s="41"/>
      <c r="HM18" s="104"/>
      <c r="HN18" s="113"/>
      <c r="HO18" s="41"/>
      <c r="HP18" s="91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384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67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72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104"/>
      <c r="AX19" s="119"/>
      <c r="AY19" s="124"/>
      <c r="AZ19" s="113"/>
      <c r="BA19" s="41">
        <v>-8.7899999999999991</v>
      </c>
      <c r="BB19" s="67"/>
      <c r="BC19" s="104"/>
      <c r="BD19" s="119"/>
      <c r="BE19" s="124"/>
      <c r="BF19" s="113"/>
      <c r="BG19" s="41"/>
      <c r="BH19" s="67">
        <v>-8.5950000000000006</v>
      </c>
      <c r="BI19" s="104"/>
      <c r="BJ19" s="119"/>
      <c r="BK19" s="124"/>
      <c r="BL19" s="113"/>
      <c r="BM19" s="87"/>
      <c r="BN19" s="67"/>
      <c r="BO19" s="104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52"/>
      <c r="BY19" s="41"/>
      <c r="BZ19" s="67"/>
      <c r="CA19" s="104"/>
      <c r="CB19" s="119"/>
      <c r="CC19" s="124"/>
      <c r="CD19" s="152"/>
      <c r="CE19" s="41"/>
      <c r="CF19" s="67"/>
      <c r="CG19" s="104"/>
      <c r="CH19" s="119"/>
      <c r="CI19" s="124"/>
      <c r="CJ19" s="152"/>
      <c r="CK19" s="41"/>
      <c r="CL19" s="67"/>
      <c r="CM19" s="104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104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104"/>
      <c r="DL19" s="119"/>
      <c r="DM19" s="45"/>
      <c r="DN19" s="41"/>
      <c r="DO19" s="372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91"/>
      <c r="HG19" s="41"/>
      <c r="HH19" s="104"/>
      <c r="HI19" s="152"/>
      <c r="HJ19" s="77"/>
      <c r="HK19" s="49"/>
      <c r="HL19" s="41"/>
      <c r="HM19" s="104"/>
      <c r="HN19" s="113"/>
      <c r="HO19" s="41"/>
      <c r="HP19" s="91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384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67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72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104"/>
      <c r="AX20" s="119"/>
      <c r="AY20" s="124"/>
      <c r="AZ20" s="113"/>
      <c r="BA20" s="41">
        <v>-8.75</v>
      </c>
      <c r="BB20" s="67"/>
      <c r="BC20" s="104"/>
      <c r="BD20" s="119"/>
      <c r="BE20" s="124"/>
      <c r="BF20" s="113"/>
      <c r="BG20" s="41"/>
      <c r="BH20" s="67"/>
      <c r="BI20" s="104"/>
      <c r="BJ20" s="119"/>
      <c r="BK20" s="124"/>
      <c r="BL20" s="113"/>
      <c r="BM20" s="87"/>
      <c r="BN20" s="67"/>
      <c r="BO20" s="104"/>
      <c r="BP20" s="119"/>
      <c r="BQ20" s="124"/>
      <c r="BR20" s="113"/>
      <c r="BS20" s="41"/>
      <c r="BT20" s="67"/>
      <c r="BU20" s="72"/>
      <c r="BV20" s="119"/>
      <c r="BW20" s="124"/>
      <c r="BX20" s="152"/>
      <c r="BY20" s="41"/>
      <c r="BZ20" s="67"/>
      <c r="CA20" s="104"/>
      <c r="CB20" s="119"/>
      <c r="CC20" s="124"/>
      <c r="CD20" s="152"/>
      <c r="CE20" s="41"/>
      <c r="CF20" s="67"/>
      <c r="CG20" s="104"/>
      <c r="CH20" s="119"/>
      <c r="CI20" s="124"/>
      <c r="CJ20" s="152"/>
      <c r="CK20" s="41"/>
      <c r="CL20" s="67"/>
      <c r="CM20" s="104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104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104"/>
      <c r="DL20" s="119"/>
      <c r="DM20" s="45"/>
      <c r="DN20" s="41"/>
      <c r="DO20" s="372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91"/>
      <c r="HG20" s="41"/>
      <c r="HH20" s="104"/>
      <c r="HI20" s="152"/>
      <c r="HJ20" s="77"/>
      <c r="HK20" s="49"/>
      <c r="HL20" s="41"/>
      <c r="HM20" s="104"/>
      <c r="HN20" s="113"/>
      <c r="HO20" s="41"/>
      <c r="HP20" s="91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384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67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72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104"/>
      <c r="AX21" s="119"/>
      <c r="AY21" s="124"/>
      <c r="AZ21" s="113"/>
      <c r="BA21" s="41"/>
      <c r="BB21" s="67"/>
      <c r="BC21" s="104"/>
      <c r="BD21" s="119"/>
      <c r="BE21" s="124"/>
      <c r="BF21" s="113"/>
      <c r="BG21" s="41"/>
      <c r="BH21" s="67"/>
      <c r="BI21" s="104"/>
      <c r="BJ21" s="119"/>
      <c r="BK21" s="124"/>
      <c r="BL21" s="113"/>
      <c r="BM21" s="87"/>
      <c r="BN21" s="67"/>
      <c r="BO21" s="104"/>
      <c r="BP21" s="119"/>
      <c r="BQ21" s="124"/>
      <c r="BR21" s="113"/>
      <c r="BS21" s="41"/>
      <c r="BT21" s="67"/>
      <c r="BU21" s="72"/>
      <c r="BV21" s="119"/>
      <c r="BW21" s="124"/>
      <c r="BX21" s="152"/>
      <c r="BY21" s="41"/>
      <c r="BZ21" s="67"/>
      <c r="CA21" s="104"/>
      <c r="CB21" s="119"/>
      <c r="CC21" s="124"/>
      <c r="CD21" s="152"/>
      <c r="CE21" s="41"/>
      <c r="CF21" s="67"/>
      <c r="CG21" s="104"/>
      <c r="CH21" s="119"/>
      <c r="CI21" s="124"/>
      <c r="CJ21" s="152"/>
      <c r="CK21" s="41"/>
      <c r="CL21" s="67"/>
      <c r="CM21" s="104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104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104"/>
      <c r="DL21" s="119"/>
      <c r="DM21" s="45"/>
      <c r="DN21" s="41"/>
      <c r="DO21" s="372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91"/>
      <c r="HG21" s="41"/>
      <c r="HH21" s="104"/>
      <c r="HI21" s="152"/>
      <c r="HJ21" s="77"/>
      <c r="HK21" s="49"/>
      <c r="HL21" s="41"/>
      <c r="HM21" s="104"/>
      <c r="HN21" s="113"/>
      <c r="HO21" s="41"/>
      <c r="HP21" s="91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384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67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72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104"/>
      <c r="AX22" s="119"/>
      <c r="AY22" s="124"/>
      <c r="AZ22" s="113"/>
      <c r="BA22" s="41"/>
      <c r="BB22" s="67"/>
      <c r="BC22" s="104"/>
      <c r="BD22" s="119"/>
      <c r="BE22" s="124"/>
      <c r="BF22" s="113"/>
      <c r="BG22" s="41"/>
      <c r="BH22" s="67"/>
      <c r="BI22" s="104"/>
      <c r="BJ22" s="119"/>
      <c r="BK22" s="124"/>
      <c r="BL22" s="113"/>
      <c r="BM22" s="87"/>
      <c r="BN22" s="67"/>
      <c r="BO22" s="104"/>
      <c r="BP22" s="119"/>
      <c r="BQ22" s="124"/>
      <c r="BR22" s="113"/>
      <c r="BS22" s="41"/>
      <c r="BT22" s="67"/>
      <c r="BU22" s="72"/>
      <c r="BV22" s="119"/>
      <c r="BW22" s="124"/>
      <c r="BX22" s="152"/>
      <c r="BY22" s="41"/>
      <c r="BZ22" s="67">
        <v>-63.67</v>
      </c>
      <c r="CA22" s="104"/>
      <c r="CB22" s="119"/>
      <c r="CC22" s="124"/>
      <c r="CD22" s="152"/>
      <c r="CE22" s="41"/>
      <c r="CF22" s="67"/>
      <c r="CG22" s="104"/>
      <c r="CH22" s="119"/>
      <c r="CI22" s="124"/>
      <c r="CJ22" s="152"/>
      <c r="CK22" s="41"/>
      <c r="CL22" s="67"/>
      <c r="CM22" s="104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104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104"/>
      <c r="DL22" s="119"/>
      <c r="DM22" s="45"/>
      <c r="DN22" s="41"/>
      <c r="DO22" s="372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91"/>
      <c r="HG22" s="41"/>
      <c r="HH22" s="104"/>
      <c r="HI22" s="152"/>
      <c r="HJ22" s="77"/>
      <c r="HK22" s="49"/>
      <c r="HL22" s="41"/>
      <c r="HM22" s="104"/>
      <c r="HN22" s="113"/>
      <c r="HO22" s="41"/>
      <c r="HP22" s="91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384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67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72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104"/>
      <c r="AX23" s="119"/>
      <c r="AY23" s="124"/>
      <c r="AZ23" s="113"/>
      <c r="BA23" s="41"/>
      <c r="BB23" s="67"/>
      <c r="BC23" s="104"/>
      <c r="BD23" s="119"/>
      <c r="BE23" s="124"/>
      <c r="BF23" s="113"/>
      <c r="BG23" s="41"/>
      <c r="BH23" s="67">
        <v>-8.5850000000000009</v>
      </c>
      <c r="BI23" s="104"/>
      <c r="BJ23" s="119"/>
      <c r="BK23" s="124"/>
      <c r="BL23" s="113"/>
      <c r="BM23" s="87">
        <v>-8.7799999999999994</v>
      </c>
      <c r="BN23" s="67"/>
      <c r="BO23" s="104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52"/>
      <c r="BY23" s="41">
        <v>-8.59</v>
      </c>
      <c r="BZ23" s="67"/>
      <c r="CA23" s="104"/>
      <c r="CB23" s="119"/>
      <c r="CC23" s="124"/>
      <c r="CD23" s="152"/>
      <c r="CE23" s="41">
        <v>-8.75</v>
      </c>
      <c r="CF23" s="67"/>
      <c r="CG23" s="104"/>
      <c r="CH23" s="119"/>
      <c r="CI23" s="124"/>
      <c r="CJ23" s="152"/>
      <c r="CK23" s="41"/>
      <c r="CL23" s="67"/>
      <c r="CM23" s="104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104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104"/>
      <c r="DL23" s="119"/>
      <c r="DM23" s="45"/>
      <c r="DN23" s="41"/>
      <c r="DO23" s="372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91"/>
      <c r="HG23" s="41"/>
      <c r="HH23" s="104"/>
      <c r="HI23" s="152"/>
      <c r="HJ23" s="77"/>
      <c r="HK23" s="49"/>
      <c r="HL23" s="41"/>
      <c r="HM23" s="104"/>
      <c r="HN23" s="113"/>
      <c r="HO23" s="41"/>
      <c r="HP23" s="91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384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67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72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104"/>
      <c r="AX24" s="119"/>
      <c r="AY24" s="124"/>
      <c r="AZ24" s="113"/>
      <c r="BA24" s="41"/>
      <c r="BB24" s="67"/>
      <c r="BC24" s="104"/>
      <c r="BD24" s="119"/>
      <c r="BE24" s="124"/>
      <c r="BF24" s="113"/>
      <c r="BG24" s="41"/>
      <c r="BH24" s="67"/>
      <c r="BI24" s="104"/>
      <c r="BJ24" s="119"/>
      <c r="BK24" s="124"/>
      <c r="BL24" s="113"/>
      <c r="BM24" s="87"/>
      <c r="BN24" s="67">
        <v>-66.86</v>
      </c>
      <c r="BO24" s="104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52"/>
      <c r="BY24" s="41">
        <v>-69.13</v>
      </c>
      <c r="BZ24" s="67"/>
      <c r="CA24" s="104"/>
      <c r="CB24" s="119"/>
      <c r="CC24" s="124"/>
      <c r="CD24" s="152"/>
      <c r="CE24" s="41"/>
      <c r="CF24" s="67">
        <v>-34.005000000000003</v>
      </c>
      <c r="CG24" s="104"/>
      <c r="CH24" s="119"/>
      <c r="CI24" s="124"/>
      <c r="CJ24" s="152"/>
      <c r="CK24" s="41"/>
      <c r="CL24" s="67">
        <v>-33.479999999999997</v>
      </c>
      <c r="CM24" s="104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104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104"/>
      <c r="DL24" s="119"/>
      <c r="DM24" s="45"/>
      <c r="DN24" s="41"/>
      <c r="DO24" s="372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91"/>
      <c r="HG24" s="41"/>
      <c r="HH24" s="104"/>
      <c r="HI24" s="152"/>
      <c r="HJ24" s="77"/>
      <c r="HK24" s="49"/>
      <c r="HL24" s="41"/>
      <c r="HM24" s="104"/>
      <c r="HN24" s="113"/>
      <c r="HO24" s="41"/>
      <c r="HP24" s="91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384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67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72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104"/>
      <c r="AX25" s="119"/>
      <c r="AY25" s="124"/>
      <c r="AZ25" s="113"/>
      <c r="BA25" s="41">
        <v>-34.82</v>
      </c>
      <c r="BB25" s="67"/>
      <c r="BC25" s="104"/>
      <c r="BD25" s="119"/>
      <c r="BE25" s="124"/>
      <c r="BF25" s="113"/>
      <c r="BG25" s="41"/>
      <c r="BH25" s="67">
        <v>-33.604999999999997</v>
      </c>
      <c r="BI25" s="104"/>
      <c r="BJ25" s="119"/>
      <c r="BK25" s="124"/>
      <c r="BL25" s="113"/>
      <c r="BM25" s="87"/>
      <c r="BN25" s="67">
        <v>-33.479999999999997</v>
      </c>
      <c r="BO25" s="104"/>
      <c r="BP25" s="119"/>
      <c r="BQ25" s="124"/>
      <c r="BR25" s="113"/>
      <c r="BS25" s="41">
        <v>-34.9</v>
      </c>
      <c r="BT25" s="67"/>
      <c r="BU25" s="72"/>
      <c r="BV25" s="119"/>
      <c r="BW25" s="124"/>
      <c r="BX25" s="152"/>
      <c r="BY25" s="41"/>
      <c r="BZ25" s="67">
        <v>-33.924999999999997</v>
      </c>
      <c r="CA25" s="104"/>
      <c r="CB25" s="119"/>
      <c r="CC25" s="124"/>
      <c r="CD25" s="152"/>
      <c r="CE25" s="41"/>
      <c r="CF25" s="67"/>
      <c r="CG25" s="104"/>
      <c r="CH25" s="119"/>
      <c r="CI25" s="124"/>
      <c r="CJ25" s="152"/>
      <c r="CK25" s="41"/>
      <c r="CL25" s="67">
        <v>-33.965000000000003</v>
      </c>
      <c r="CM25" s="104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104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104"/>
      <c r="DL25" s="119"/>
      <c r="DM25" s="45"/>
      <c r="DN25" s="41"/>
      <c r="DO25" s="372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91"/>
      <c r="HG25" s="41"/>
      <c r="HH25" s="104"/>
      <c r="HI25" s="152"/>
      <c r="HJ25" s="77"/>
      <c r="HK25" s="49"/>
      <c r="HL25" s="41"/>
      <c r="HM25" s="104"/>
      <c r="HN25" s="113"/>
      <c r="HO25" s="41"/>
      <c r="HP25" s="91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384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67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72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104"/>
      <c r="AX26" s="119"/>
      <c r="AY26" s="124"/>
      <c r="AZ26" s="113"/>
      <c r="BA26" s="41"/>
      <c r="BB26" s="67"/>
      <c r="BC26" s="104"/>
      <c r="BD26" s="119"/>
      <c r="BE26" s="124"/>
      <c r="BF26" s="113"/>
      <c r="BG26" s="41"/>
      <c r="BH26" s="67">
        <v>-33.47</v>
      </c>
      <c r="BI26" s="104"/>
      <c r="BJ26" s="119"/>
      <c r="BK26" s="124"/>
      <c r="BL26" s="113"/>
      <c r="BM26" s="87"/>
      <c r="BN26" s="67">
        <v>-33.54</v>
      </c>
      <c r="BO26" s="104"/>
      <c r="BP26" s="119"/>
      <c r="BQ26" s="124"/>
      <c r="BR26" s="113"/>
      <c r="BS26" s="41"/>
      <c r="BT26" s="67"/>
      <c r="BU26" s="72"/>
      <c r="BV26" s="119"/>
      <c r="BW26" s="124"/>
      <c r="BX26" s="152"/>
      <c r="BY26" s="41">
        <v>-35.54</v>
      </c>
      <c r="BZ26" s="67"/>
      <c r="CA26" s="104"/>
      <c r="CB26" s="119"/>
      <c r="CC26" s="124"/>
      <c r="CD26" s="152"/>
      <c r="CE26" s="41"/>
      <c r="CF26" s="67"/>
      <c r="CG26" s="104"/>
      <c r="CH26" s="119"/>
      <c r="CI26" s="124"/>
      <c r="CJ26" s="152"/>
      <c r="CK26" s="41"/>
      <c r="CL26" s="67"/>
      <c r="CM26" s="104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104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104"/>
      <c r="DL26" s="119"/>
      <c r="DM26" s="45"/>
      <c r="DN26" s="41"/>
      <c r="DO26" s="372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91"/>
      <c r="HG26" s="41"/>
      <c r="HH26" s="104"/>
      <c r="HI26" s="152"/>
      <c r="HJ26" s="77"/>
      <c r="HK26" s="49"/>
      <c r="HL26" s="41"/>
      <c r="HM26" s="104"/>
      <c r="HN26" s="113"/>
      <c r="HO26" s="41"/>
      <c r="HP26" s="91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384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67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72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104"/>
      <c r="AX27" s="119"/>
      <c r="AY27" s="124"/>
      <c r="AZ27" s="113"/>
      <c r="BA27" s="41">
        <v>-16.91</v>
      </c>
      <c r="BB27" s="67"/>
      <c r="BC27" s="104"/>
      <c r="BD27" s="119"/>
      <c r="BE27" s="124"/>
      <c r="BF27" s="113"/>
      <c r="BG27" s="41"/>
      <c r="BH27" s="67">
        <v>-17.184999999999999</v>
      </c>
      <c r="BI27" s="104"/>
      <c r="BJ27" s="119"/>
      <c r="BK27" s="124"/>
      <c r="BL27" s="113"/>
      <c r="BM27" s="87"/>
      <c r="BN27" s="67"/>
      <c r="BO27" s="104"/>
      <c r="BP27" s="119"/>
      <c r="BQ27" s="124"/>
      <c r="BR27" s="113"/>
      <c r="BS27" s="41">
        <v>-8.34</v>
      </c>
      <c r="BT27" s="67"/>
      <c r="BU27" s="72"/>
      <c r="BV27" s="119"/>
      <c r="BW27" s="124"/>
      <c r="BX27" s="152"/>
      <c r="BY27" s="41"/>
      <c r="BZ27" s="67">
        <v>-8.48</v>
      </c>
      <c r="CA27" s="104"/>
      <c r="CB27" s="119"/>
      <c r="CC27" s="124"/>
      <c r="CD27" s="152"/>
      <c r="CE27" s="41"/>
      <c r="CF27" s="67"/>
      <c r="CG27" s="104"/>
      <c r="CH27" s="119"/>
      <c r="CI27" s="124"/>
      <c r="CJ27" s="152"/>
      <c r="CK27" s="41"/>
      <c r="CL27" s="67"/>
      <c r="CM27" s="104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104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104"/>
      <c r="DL27" s="119"/>
      <c r="DM27" s="45"/>
      <c r="DN27" s="41"/>
      <c r="DO27" s="372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91"/>
      <c r="HG27" s="41"/>
      <c r="HH27" s="104"/>
      <c r="HI27" s="152"/>
      <c r="HJ27" s="77"/>
      <c r="HK27" s="49"/>
      <c r="HL27" s="41"/>
      <c r="HM27" s="104"/>
      <c r="HN27" s="113"/>
      <c r="HO27" s="41"/>
      <c r="HP27" s="91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384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67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72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104"/>
      <c r="AX28" s="119"/>
      <c r="AY28" s="124"/>
      <c r="AZ28" s="113"/>
      <c r="BA28" s="41"/>
      <c r="BB28" s="67"/>
      <c r="BC28" s="104"/>
      <c r="BD28" s="119"/>
      <c r="BE28" s="124"/>
      <c r="BF28" s="113"/>
      <c r="BG28" s="41"/>
      <c r="BH28" s="67"/>
      <c r="BI28" s="104"/>
      <c r="BJ28" s="119"/>
      <c r="BK28" s="124"/>
      <c r="BL28" s="113"/>
      <c r="BM28" s="87"/>
      <c r="BN28" s="67"/>
      <c r="BO28" s="104"/>
      <c r="BP28" s="119"/>
      <c r="BQ28" s="124"/>
      <c r="BR28" s="113"/>
      <c r="BS28" s="41">
        <v>-70.02</v>
      </c>
      <c r="BT28" s="67"/>
      <c r="BU28" s="72"/>
      <c r="BV28" s="119"/>
      <c r="BW28" s="124"/>
      <c r="BX28" s="152"/>
      <c r="BY28" s="41">
        <v>-68.47</v>
      </c>
      <c r="BZ28" s="67"/>
      <c r="CA28" s="104"/>
      <c r="CB28" s="119"/>
      <c r="CC28" s="124"/>
      <c r="CD28" s="152"/>
      <c r="CE28" s="41">
        <v>-69.599999999999994</v>
      </c>
      <c r="CF28" s="67"/>
      <c r="CG28" s="104"/>
      <c r="CH28" s="119"/>
      <c r="CI28" s="124"/>
      <c r="CJ28" s="152"/>
      <c r="CK28" s="41">
        <v>-64.760000000000005</v>
      </c>
      <c r="CL28" s="67"/>
      <c r="CM28" s="104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104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104"/>
      <c r="DL28" s="119"/>
      <c r="DM28" s="45"/>
      <c r="DN28" s="41"/>
      <c r="DO28" s="372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91"/>
      <c r="HG28" s="41"/>
      <c r="HH28" s="104"/>
      <c r="HI28" s="152"/>
      <c r="HJ28" s="77"/>
      <c r="HK28" s="49"/>
      <c r="HL28" s="41"/>
      <c r="HM28" s="104"/>
      <c r="HN28" s="113"/>
      <c r="HO28" s="41"/>
      <c r="HP28" s="91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384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67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72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104"/>
      <c r="AX29" s="119"/>
      <c r="AY29" s="124"/>
      <c r="AZ29" s="113"/>
      <c r="BA29" s="41"/>
      <c r="BB29" s="67"/>
      <c r="BC29" s="104"/>
      <c r="BD29" s="119"/>
      <c r="BE29" s="124"/>
      <c r="BF29" s="113"/>
      <c r="BG29" s="41"/>
      <c r="BH29" s="67">
        <v>-99.47</v>
      </c>
      <c r="BI29" s="104"/>
      <c r="BJ29" s="119"/>
      <c r="BK29" s="124"/>
      <c r="BL29" s="113"/>
      <c r="BM29" s="87"/>
      <c r="BN29" s="67">
        <v>-234.44</v>
      </c>
      <c r="BO29" s="104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52"/>
      <c r="BY29" s="41"/>
      <c r="BZ29" s="67">
        <v>-101.495</v>
      </c>
      <c r="CA29" s="104"/>
      <c r="CB29" s="119"/>
      <c r="CC29" s="124"/>
      <c r="CD29" s="152"/>
      <c r="CE29" s="41"/>
      <c r="CF29" s="67">
        <v>-102.185</v>
      </c>
      <c r="CG29" s="104"/>
      <c r="CH29" s="119"/>
      <c r="CI29" s="124"/>
      <c r="CJ29" s="152"/>
      <c r="CK29" s="41"/>
      <c r="CL29" s="67">
        <v>-33.634999999999998</v>
      </c>
      <c r="CM29" s="104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104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104"/>
      <c r="DL29" s="119"/>
      <c r="DM29" s="45"/>
      <c r="DN29" s="41"/>
      <c r="DO29" s="372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91"/>
      <c r="HG29" s="41"/>
      <c r="HH29" s="104"/>
      <c r="HI29" s="152"/>
      <c r="HJ29" s="77"/>
      <c r="HK29" s="49"/>
      <c r="HL29" s="41"/>
      <c r="HM29" s="104"/>
      <c r="HN29" s="113"/>
      <c r="HO29" s="41"/>
      <c r="HP29" s="91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384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67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72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104"/>
      <c r="AX30" s="119"/>
      <c r="AY30" s="124"/>
      <c r="AZ30" s="113"/>
      <c r="BA30" s="41"/>
      <c r="BB30" s="67"/>
      <c r="BC30" s="104"/>
      <c r="BD30" s="119"/>
      <c r="BE30" s="124"/>
      <c r="BF30" s="113"/>
      <c r="BG30" s="41"/>
      <c r="BH30" s="67"/>
      <c r="BI30" s="104"/>
      <c r="BJ30" s="119"/>
      <c r="BK30" s="124"/>
      <c r="BL30" s="113"/>
      <c r="BM30" s="87"/>
      <c r="BN30" s="67"/>
      <c r="BO30" s="104"/>
      <c r="BP30" s="119"/>
      <c r="BQ30" s="124"/>
      <c r="BR30" s="113"/>
      <c r="BS30" s="41"/>
      <c r="BT30" s="67"/>
      <c r="BU30" s="72"/>
      <c r="BV30" s="119"/>
      <c r="BW30" s="124"/>
      <c r="BX30" s="152"/>
      <c r="BY30" s="41"/>
      <c r="BZ30" s="67"/>
      <c r="CA30" s="104"/>
      <c r="CB30" s="119"/>
      <c r="CC30" s="124"/>
      <c r="CD30" s="152"/>
      <c r="CE30" s="41"/>
      <c r="CF30" s="67"/>
      <c r="CG30" s="104"/>
      <c r="CH30" s="119"/>
      <c r="CI30" s="124"/>
      <c r="CJ30" s="152"/>
      <c r="CK30" s="41"/>
      <c r="CL30" s="67"/>
      <c r="CM30" s="104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104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104"/>
      <c r="DL30" s="119"/>
      <c r="DM30" s="45"/>
      <c r="DN30" s="41"/>
      <c r="DO30" s="372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91"/>
      <c r="HG30" s="41"/>
      <c r="HH30" s="104"/>
      <c r="HI30" s="152"/>
      <c r="HJ30" s="77"/>
      <c r="HK30" s="49"/>
      <c r="HL30" s="41"/>
      <c r="HM30" s="104"/>
      <c r="HN30" s="113"/>
      <c r="HO30" s="41"/>
      <c r="HP30" s="91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384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67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72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104"/>
      <c r="AX31" s="119"/>
      <c r="AY31" s="124"/>
      <c r="AZ31" s="113"/>
      <c r="BA31" s="41"/>
      <c r="BB31" s="67"/>
      <c r="BC31" s="104"/>
      <c r="BD31" s="119"/>
      <c r="BE31" s="124"/>
      <c r="BF31" s="113"/>
      <c r="BG31" s="41"/>
      <c r="BH31" s="67"/>
      <c r="BI31" s="104"/>
      <c r="BJ31" s="119"/>
      <c r="BK31" s="124"/>
      <c r="BL31" s="113">
        <v>-8.31</v>
      </c>
      <c r="BM31" s="87"/>
      <c r="BN31" s="67"/>
      <c r="BO31" s="104"/>
      <c r="BP31" s="119"/>
      <c r="BQ31" s="124"/>
      <c r="BR31" s="113"/>
      <c r="BS31" s="41"/>
      <c r="BT31" s="67"/>
      <c r="BU31" s="72"/>
      <c r="BV31" s="119"/>
      <c r="BW31" s="124"/>
      <c r="BX31" s="152"/>
      <c r="BY31" s="41"/>
      <c r="BZ31" s="67"/>
      <c r="CA31" s="104"/>
      <c r="CB31" s="119"/>
      <c r="CC31" s="124"/>
      <c r="CD31" s="152"/>
      <c r="CE31" s="41"/>
      <c r="CF31" s="67"/>
      <c r="CG31" s="104"/>
      <c r="CH31" s="119"/>
      <c r="CI31" s="124"/>
      <c r="CJ31" s="152"/>
      <c r="CK31" s="41"/>
      <c r="CL31" s="67"/>
      <c r="CM31" s="104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104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104"/>
      <c r="DL31" s="119"/>
      <c r="DM31" s="45"/>
      <c r="DN31" s="41"/>
      <c r="DO31" s="372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91"/>
      <c r="HG31" s="41"/>
      <c r="HH31" s="104"/>
      <c r="HI31" s="152"/>
      <c r="HJ31" s="77"/>
      <c r="HK31" s="49"/>
      <c r="HL31" s="41"/>
      <c r="HM31" s="104"/>
      <c r="HN31" s="113"/>
      <c r="HO31" s="41"/>
      <c r="HP31" s="91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384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67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72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104"/>
      <c r="AX32" s="119"/>
      <c r="AY32" s="124"/>
      <c r="AZ32" s="113"/>
      <c r="BA32" s="41"/>
      <c r="BB32" s="67"/>
      <c r="BC32" s="104"/>
      <c r="BD32" s="119"/>
      <c r="BE32" s="124"/>
      <c r="BF32" s="113"/>
      <c r="BG32" s="41"/>
      <c r="BH32" s="67"/>
      <c r="BI32" s="104"/>
      <c r="BJ32" s="119"/>
      <c r="BK32" s="124"/>
      <c r="BL32" s="113"/>
      <c r="BM32" s="87">
        <v>-8.7899999999999991</v>
      </c>
      <c r="BN32" s="67"/>
      <c r="BO32" s="104"/>
      <c r="BP32" s="119"/>
      <c r="BQ32" s="124"/>
      <c r="BR32" s="113"/>
      <c r="BS32" s="41"/>
      <c r="BT32" s="67">
        <v>-8.75</v>
      </c>
      <c r="BU32" s="72"/>
      <c r="BV32" s="119"/>
      <c r="BW32" s="124"/>
      <c r="BX32" s="152"/>
      <c r="BY32" s="41"/>
      <c r="BZ32" s="67"/>
      <c r="CA32" s="104"/>
      <c r="CB32" s="119"/>
      <c r="CC32" s="124"/>
      <c r="CD32" s="152"/>
      <c r="CE32" s="41"/>
      <c r="CF32" s="67"/>
      <c r="CG32" s="104"/>
      <c r="CH32" s="119"/>
      <c r="CI32" s="124"/>
      <c r="CJ32" s="152"/>
      <c r="CK32" s="41"/>
      <c r="CL32" s="67"/>
      <c r="CM32" s="104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104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104"/>
      <c r="DL32" s="119"/>
      <c r="DM32" s="45"/>
      <c r="DN32" s="41"/>
      <c r="DO32" s="372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91"/>
      <c r="HG32" s="41"/>
      <c r="HH32" s="104"/>
      <c r="HI32" s="152"/>
      <c r="HJ32" s="77"/>
      <c r="HK32" s="49"/>
      <c r="HL32" s="41"/>
      <c r="HM32" s="104"/>
      <c r="HN32" s="113"/>
      <c r="HO32" s="41"/>
      <c r="HP32" s="91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384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67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72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104"/>
      <c r="AX33" s="119"/>
      <c r="AY33" s="124"/>
      <c r="AZ33" s="113"/>
      <c r="BA33" s="41"/>
      <c r="BB33" s="67">
        <v>1018.41</v>
      </c>
      <c r="BC33" s="104"/>
      <c r="BD33" s="119"/>
      <c r="BE33" s="124"/>
      <c r="BF33" s="113"/>
      <c r="BG33" s="41"/>
      <c r="BH33" s="67">
        <v>504.59500000000003</v>
      </c>
      <c r="BI33" s="104"/>
      <c r="BJ33" s="119"/>
      <c r="BK33" s="124"/>
      <c r="BL33" s="113"/>
      <c r="BM33" s="87"/>
      <c r="BN33" s="67">
        <v>499.01</v>
      </c>
      <c r="BO33" s="104"/>
      <c r="BP33" s="119"/>
      <c r="BQ33" s="124"/>
      <c r="BR33" s="113"/>
      <c r="BS33" s="41"/>
      <c r="BT33" s="67">
        <v>506.17</v>
      </c>
      <c r="BU33" s="72"/>
      <c r="BV33" s="119"/>
      <c r="BW33" s="124"/>
      <c r="BX33" s="152"/>
      <c r="BY33" s="41"/>
      <c r="BZ33" s="67"/>
      <c r="CA33" s="104"/>
      <c r="CB33" s="119"/>
      <c r="CC33" s="124"/>
      <c r="CD33" s="152"/>
      <c r="CE33" s="41"/>
      <c r="CF33" s="67">
        <v>506.935</v>
      </c>
      <c r="CG33" s="104"/>
      <c r="CH33" s="119"/>
      <c r="CI33" s="124"/>
      <c r="CJ33" s="152"/>
      <c r="CK33" s="41"/>
      <c r="CL33" s="67">
        <v>505.91500000000002</v>
      </c>
      <c r="CM33" s="104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104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104"/>
      <c r="DL33" s="119"/>
      <c r="DM33" s="45"/>
      <c r="DN33" s="41"/>
      <c r="DO33" s="372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91"/>
      <c r="HG33" s="41"/>
      <c r="HH33" s="104"/>
      <c r="HI33" s="152"/>
      <c r="HJ33" s="77"/>
      <c r="HK33" s="49"/>
      <c r="HL33" s="41"/>
      <c r="HM33" s="104"/>
      <c r="HN33" s="113"/>
      <c r="HO33" s="41"/>
      <c r="HP33" s="91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384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67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72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104"/>
      <c r="AX34" s="119"/>
      <c r="AY34" s="124"/>
      <c r="AZ34" s="113"/>
      <c r="BA34" s="41"/>
      <c r="BB34" s="67"/>
      <c r="BC34" s="104"/>
      <c r="BD34" s="119"/>
      <c r="BE34" s="124"/>
      <c r="BF34" s="113"/>
      <c r="BG34" s="41"/>
      <c r="BH34" s="67">
        <v>-32.704999999999998</v>
      </c>
      <c r="BI34" s="104"/>
      <c r="BJ34" s="119"/>
      <c r="BK34" s="124"/>
      <c r="BL34" s="113"/>
      <c r="BM34" s="87"/>
      <c r="BN34" s="67">
        <v>-33.340000000000003</v>
      </c>
      <c r="BO34" s="104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52"/>
      <c r="BY34" s="41"/>
      <c r="BZ34" s="67">
        <v>-33.744999999999997</v>
      </c>
      <c r="CA34" s="104"/>
      <c r="CB34" s="119"/>
      <c r="CC34" s="124"/>
      <c r="CD34" s="152"/>
      <c r="CE34" s="41"/>
      <c r="CF34" s="67"/>
      <c r="CG34" s="104"/>
      <c r="CH34" s="119"/>
      <c r="CI34" s="124"/>
      <c r="CJ34" s="152"/>
      <c r="CK34" s="41"/>
      <c r="CL34" s="67"/>
      <c r="CM34" s="104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104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104"/>
      <c r="DL34" s="119"/>
      <c r="DM34" s="45"/>
      <c r="DN34" s="41"/>
      <c r="DO34" s="372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91"/>
      <c r="HG34" s="41"/>
      <c r="HH34" s="104"/>
      <c r="HI34" s="152"/>
      <c r="HJ34" s="77"/>
      <c r="HK34" s="49"/>
      <c r="HL34" s="41"/>
      <c r="HM34" s="104"/>
      <c r="HN34" s="113"/>
      <c r="HO34" s="41"/>
      <c r="HP34" s="91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384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67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72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104"/>
      <c r="AX35" s="119"/>
      <c r="AY35" s="124"/>
      <c r="AZ35" s="113"/>
      <c r="BA35" s="41"/>
      <c r="BB35" s="67">
        <v>-33.965000000000003</v>
      </c>
      <c r="BC35" s="104"/>
      <c r="BD35" s="119"/>
      <c r="BE35" s="124"/>
      <c r="BF35" s="113"/>
      <c r="BG35" s="41"/>
      <c r="BH35" s="67">
        <v>-33.695</v>
      </c>
      <c r="BI35" s="104"/>
      <c r="BJ35" s="119"/>
      <c r="BK35" s="124"/>
      <c r="BL35" s="113"/>
      <c r="BM35" s="87"/>
      <c r="BN35" s="67"/>
      <c r="BO35" s="104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52"/>
      <c r="BY35" s="41"/>
      <c r="BZ35" s="67">
        <v>-33.74</v>
      </c>
      <c r="CA35" s="104"/>
      <c r="CB35" s="119"/>
      <c r="CC35" s="124"/>
      <c r="CD35" s="152"/>
      <c r="CE35" s="41"/>
      <c r="CF35" s="67">
        <v>-33.869999999999997</v>
      </c>
      <c r="CG35" s="104"/>
      <c r="CH35" s="119"/>
      <c r="CI35" s="124"/>
      <c r="CJ35" s="152"/>
      <c r="CK35" s="41"/>
      <c r="CL35" s="67"/>
      <c r="CM35" s="104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104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104"/>
      <c r="DL35" s="119"/>
      <c r="DM35" s="45"/>
      <c r="DN35" s="41"/>
      <c r="DO35" s="372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91"/>
      <c r="HG35" s="41"/>
      <c r="HH35" s="104"/>
      <c r="HI35" s="152"/>
      <c r="HJ35" s="77"/>
      <c r="HK35" s="49"/>
      <c r="HL35" s="41"/>
      <c r="HM35" s="104"/>
      <c r="HN35" s="113"/>
      <c r="HO35" s="41"/>
      <c r="HP35" s="91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384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67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72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104"/>
      <c r="AX36" s="119"/>
      <c r="AY36" s="124"/>
      <c r="AZ36" s="113"/>
      <c r="BA36" s="41">
        <v>-35.08</v>
      </c>
      <c r="BB36" s="67"/>
      <c r="BC36" s="104"/>
      <c r="BD36" s="119"/>
      <c r="BE36" s="124"/>
      <c r="BF36" s="113"/>
      <c r="BG36" s="41"/>
      <c r="BH36" s="67">
        <v>-32.840000000000003</v>
      </c>
      <c r="BI36" s="104"/>
      <c r="BJ36" s="119"/>
      <c r="BK36" s="124"/>
      <c r="BL36" s="113"/>
      <c r="BM36" s="87"/>
      <c r="BN36" s="67"/>
      <c r="BO36" s="104"/>
      <c r="BP36" s="119"/>
      <c r="BQ36" s="124"/>
      <c r="BR36" s="113"/>
      <c r="BS36" s="41">
        <v>-34.57</v>
      </c>
      <c r="BT36" s="67"/>
      <c r="BU36" s="72"/>
      <c r="BV36" s="119"/>
      <c r="BW36" s="124"/>
      <c r="BX36" s="152"/>
      <c r="BY36" s="41">
        <v>-34.49</v>
      </c>
      <c r="BZ36" s="67"/>
      <c r="CA36" s="104"/>
      <c r="CB36" s="119"/>
      <c r="CC36" s="124"/>
      <c r="CD36" s="152"/>
      <c r="CE36" s="41"/>
      <c r="CF36" s="67"/>
      <c r="CG36" s="104"/>
      <c r="CH36" s="119"/>
      <c r="CI36" s="124"/>
      <c r="CJ36" s="152"/>
      <c r="CK36" s="41">
        <v>-14.58</v>
      </c>
      <c r="CL36" s="67"/>
      <c r="CM36" s="104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104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104"/>
      <c r="DL36" s="119"/>
      <c r="DM36" s="45"/>
      <c r="DN36" s="41"/>
      <c r="DO36" s="372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91"/>
      <c r="HG36" s="41"/>
      <c r="HH36" s="104"/>
      <c r="HI36" s="152"/>
      <c r="HJ36" s="77"/>
      <c r="HK36" s="49"/>
      <c r="HL36" s="41"/>
      <c r="HM36" s="104"/>
      <c r="HN36" s="113"/>
      <c r="HO36" s="41"/>
      <c r="HP36" s="91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384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67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72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104"/>
      <c r="AX37" s="119"/>
      <c r="AY37" s="124"/>
      <c r="AZ37" s="113"/>
      <c r="BA37" s="41"/>
      <c r="BB37" s="67"/>
      <c r="BC37" s="104"/>
      <c r="BD37" s="119"/>
      <c r="BE37" s="124"/>
      <c r="BF37" s="113"/>
      <c r="BG37" s="41"/>
      <c r="BH37" s="67"/>
      <c r="BI37" s="104"/>
      <c r="BJ37" s="119"/>
      <c r="BK37" s="124"/>
      <c r="BL37" s="113"/>
      <c r="BM37" s="87"/>
      <c r="BN37" s="67">
        <v>-33.25</v>
      </c>
      <c r="BO37" s="104"/>
      <c r="BP37" s="119"/>
      <c r="BQ37" s="124"/>
      <c r="BR37" s="113"/>
      <c r="BS37" s="41"/>
      <c r="BT37" s="67"/>
      <c r="BU37" s="72"/>
      <c r="BV37" s="119"/>
      <c r="BW37" s="124"/>
      <c r="BX37" s="152"/>
      <c r="BY37" s="41"/>
      <c r="BZ37" s="67"/>
      <c r="CA37" s="104"/>
      <c r="CB37" s="119"/>
      <c r="CC37" s="124"/>
      <c r="CD37" s="152"/>
      <c r="CE37" s="41"/>
      <c r="CF37" s="67"/>
      <c r="CG37" s="104"/>
      <c r="CH37" s="119"/>
      <c r="CI37" s="124"/>
      <c r="CJ37" s="152"/>
      <c r="CK37" s="41"/>
      <c r="CL37" s="67"/>
      <c r="CM37" s="104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104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104"/>
      <c r="DL37" s="119"/>
      <c r="DM37" s="45"/>
      <c r="DN37" s="41">
        <v>-35.119999999999997</v>
      </c>
      <c r="DO37" s="372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91"/>
      <c r="HG37" s="41"/>
      <c r="HH37" s="104"/>
      <c r="HI37" s="152"/>
      <c r="HJ37" s="77"/>
      <c r="HK37" s="49"/>
      <c r="HL37" s="41"/>
      <c r="HM37" s="104"/>
      <c r="HN37" s="113"/>
      <c r="HO37" s="41"/>
      <c r="HP37" s="91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384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67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72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104"/>
      <c r="AX38" s="119"/>
      <c r="AY38" s="124"/>
      <c r="AZ38" s="113"/>
      <c r="BA38" s="41"/>
      <c r="BB38" s="67"/>
      <c r="BC38" s="104"/>
      <c r="BD38" s="119"/>
      <c r="BE38" s="124"/>
      <c r="BF38" s="113"/>
      <c r="BG38" s="41"/>
      <c r="BH38" s="67"/>
      <c r="BI38" s="104"/>
      <c r="BJ38" s="119"/>
      <c r="BK38" s="124"/>
      <c r="BL38" s="113"/>
      <c r="BM38" s="87"/>
      <c r="BN38" s="67"/>
      <c r="BO38" s="104"/>
      <c r="BP38" s="119"/>
      <c r="BQ38" s="124"/>
      <c r="BR38" s="113"/>
      <c r="BS38" s="41"/>
      <c r="BT38" s="67"/>
      <c r="BU38" s="72"/>
      <c r="BV38" s="119"/>
      <c r="BW38" s="124"/>
      <c r="BX38" s="152"/>
      <c r="BY38" s="41"/>
      <c r="BZ38" s="67"/>
      <c r="CA38" s="104"/>
      <c r="CB38" s="119"/>
      <c r="CC38" s="124"/>
      <c r="CD38" s="152"/>
      <c r="CE38" s="41"/>
      <c r="CF38" s="67"/>
      <c r="CG38" s="104"/>
      <c r="CH38" s="119"/>
      <c r="CI38" s="124"/>
      <c r="CJ38" s="152"/>
      <c r="CK38" s="41"/>
      <c r="CL38" s="67"/>
      <c r="CM38" s="104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104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104"/>
      <c r="DL38" s="119"/>
      <c r="DM38" s="45"/>
      <c r="DN38" s="41"/>
      <c r="DO38" s="372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91"/>
      <c r="HG38" s="41"/>
      <c r="HH38" s="104"/>
      <c r="HI38" s="152"/>
      <c r="HJ38" s="77"/>
      <c r="HK38" s="49"/>
      <c r="HL38" s="41"/>
      <c r="HM38" s="104"/>
      <c r="HN38" s="113"/>
      <c r="HO38" s="41"/>
      <c r="HP38" s="91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384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67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72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104"/>
      <c r="AX39" s="119"/>
      <c r="AY39" s="124"/>
      <c r="AZ39" s="113"/>
      <c r="BA39" s="41"/>
      <c r="BB39" s="67">
        <v>-34.005000000000003</v>
      </c>
      <c r="BC39" s="104"/>
      <c r="BD39" s="119"/>
      <c r="BE39" s="124"/>
      <c r="BF39" s="113"/>
      <c r="BG39" s="41"/>
      <c r="BH39" s="67">
        <v>-33.68</v>
      </c>
      <c r="BI39" s="104"/>
      <c r="BJ39" s="119"/>
      <c r="BK39" s="124"/>
      <c r="BL39" s="113"/>
      <c r="BM39" s="87"/>
      <c r="BN39" s="67">
        <v>-33.31</v>
      </c>
      <c r="BO39" s="104"/>
      <c r="BP39" s="119"/>
      <c r="BQ39" s="124"/>
      <c r="BR39" s="113"/>
      <c r="BS39" s="41"/>
      <c r="BT39" s="67"/>
      <c r="BU39" s="72"/>
      <c r="BV39" s="119"/>
      <c r="BW39" s="124"/>
      <c r="BX39" s="152"/>
      <c r="BY39" s="41"/>
      <c r="BZ39" s="67"/>
      <c r="CA39" s="104"/>
      <c r="CB39" s="119"/>
      <c r="CC39" s="124"/>
      <c r="CD39" s="152"/>
      <c r="CE39" s="41"/>
      <c r="CF39" s="67"/>
      <c r="CG39" s="104"/>
      <c r="CH39" s="119"/>
      <c r="CI39" s="124"/>
      <c r="CJ39" s="152"/>
      <c r="CK39" s="41"/>
      <c r="CL39" s="67"/>
      <c r="CM39" s="104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104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104"/>
      <c r="DL39" s="119"/>
      <c r="DM39" s="45"/>
      <c r="DN39" s="41"/>
      <c r="DO39" s="372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91"/>
      <c r="HG39" s="41"/>
      <c r="HH39" s="104"/>
      <c r="HI39" s="152"/>
      <c r="HJ39" s="77"/>
      <c r="HK39" s="49"/>
      <c r="HL39" s="41"/>
      <c r="HM39" s="104"/>
      <c r="HN39" s="113"/>
      <c r="HO39" s="41"/>
      <c r="HP39" s="91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384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67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72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104"/>
      <c r="AX40" s="119"/>
      <c r="AY40" s="124"/>
      <c r="AZ40" s="113"/>
      <c r="BA40" s="41"/>
      <c r="BB40" s="67"/>
      <c r="BC40" s="104"/>
      <c r="BD40" s="119"/>
      <c r="BE40" s="124"/>
      <c r="BF40" s="113"/>
      <c r="BG40" s="41"/>
      <c r="BH40" s="67"/>
      <c r="BI40" s="104"/>
      <c r="BJ40" s="119"/>
      <c r="BK40" s="124"/>
      <c r="BL40" s="113"/>
      <c r="BM40" s="87"/>
      <c r="BN40" s="67"/>
      <c r="BO40" s="104"/>
      <c r="BP40" s="119"/>
      <c r="BQ40" s="124"/>
      <c r="BR40" s="113"/>
      <c r="BS40" s="41"/>
      <c r="BT40" s="67"/>
      <c r="BU40" s="72"/>
      <c r="BV40" s="119"/>
      <c r="BW40" s="124"/>
      <c r="BX40" s="152"/>
      <c r="BY40" s="41"/>
      <c r="BZ40" s="67"/>
      <c r="CA40" s="104"/>
      <c r="CB40" s="119"/>
      <c r="CC40" s="124"/>
      <c r="CD40" s="152"/>
      <c r="CE40" s="41"/>
      <c r="CF40" s="67"/>
      <c r="CG40" s="104"/>
      <c r="CH40" s="119"/>
      <c r="CI40" s="124"/>
      <c r="CJ40" s="152"/>
      <c r="CK40" s="41"/>
      <c r="CL40" s="67"/>
      <c r="CM40" s="104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104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104"/>
      <c r="DL40" s="119"/>
      <c r="DM40" s="45"/>
      <c r="DN40" s="41"/>
      <c r="DO40" s="372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91"/>
      <c r="HG40" s="41"/>
      <c r="HH40" s="104"/>
      <c r="HI40" s="152"/>
      <c r="HJ40" s="77"/>
      <c r="HK40" s="49"/>
      <c r="HL40" s="41"/>
      <c r="HM40" s="104"/>
      <c r="HN40" s="113"/>
      <c r="HO40" s="41"/>
      <c r="HP40" s="91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384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67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72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104"/>
      <c r="AX41" s="119"/>
      <c r="AY41" s="124"/>
      <c r="AZ41" s="113"/>
      <c r="BA41" s="41"/>
      <c r="BB41" s="67">
        <v>-33.954999999999998</v>
      </c>
      <c r="BC41" s="104"/>
      <c r="BD41" s="119"/>
      <c r="BE41" s="124"/>
      <c r="BF41" s="113"/>
      <c r="BG41" s="41"/>
      <c r="BH41" s="67">
        <v>-33.585000000000001</v>
      </c>
      <c r="BI41" s="104"/>
      <c r="BJ41" s="119"/>
      <c r="BK41" s="124"/>
      <c r="BL41" s="113"/>
      <c r="BM41" s="87"/>
      <c r="BN41" s="67"/>
      <c r="BO41" s="104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52"/>
      <c r="BY41" s="41"/>
      <c r="BZ41" s="67"/>
      <c r="CA41" s="104"/>
      <c r="CB41" s="119"/>
      <c r="CC41" s="124"/>
      <c r="CD41" s="152"/>
      <c r="CE41" s="41"/>
      <c r="CF41" s="67"/>
      <c r="CG41" s="104"/>
      <c r="CH41" s="119"/>
      <c r="CI41" s="124"/>
      <c r="CJ41" s="152"/>
      <c r="CK41" s="41"/>
      <c r="CL41" s="67"/>
      <c r="CM41" s="104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104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104"/>
      <c r="DL41" s="119"/>
      <c r="DM41" s="45"/>
      <c r="DN41" s="41"/>
      <c r="DO41" s="372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91"/>
      <c r="HG41" s="41"/>
      <c r="HH41" s="104"/>
      <c r="HI41" s="152"/>
      <c r="HJ41" s="77"/>
      <c r="HK41" s="49"/>
      <c r="HL41" s="41"/>
      <c r="HM41" s="104"/>
      <c r="HN41" s="113"/>
      <c r="HO41" s="41"/>
      <c r="HP41" s="91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384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67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72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104"/>
      <c r="AX42" s="119"/>
      <c r="AY42" s="124"/>
      <c r="AZ42" s="113"/>
      <c r="BA42" s="41"/>
      <c r="BB42" s="67">
        <v>-101.89</v>
      </c>
      <c r="BC42" s="104"/>
      <c r="BD42" s="119"/>
      <c r="BE42" s="124"/>
      <c r="BF42" s="113"/>
      <c r="BG42" s="41"/>
      <c r="BH42" s="67"/>
      <c r="BI42" s="104"/>
      <c r="BJ42" s="119"/>
      <c r="BK42" s="124"/>
      <c r="BL42" s="113"/>
      <c r="BM42" s="87"/>
      <c r="BN42" s="67">
        <v>-33.28</v>
      </c>
      <c r="BO42" s="104"/>
      <c r="BP42" s="119"/>
      <c r="BQ42" s="124"/>
      <c r="BR42" s="113"/>
      <c r="BS42" s="41">
        <v>-70.09</v>
      </c>
      <c r="BT42" s="67"/>
      <c r="BU42" s="72"/>
      <c r="BV42" s="119"/>
      <c r="BW42" s="124"/>
      <c r="BX42" s="152"/>
      <c r="BY42" s="41"/>
      <c r="BZ42" s="67">
        <v>-67.36</v>
      </c>
      <c r="CA42" s="104"/>
      <c r="CB42" s="119"/>
      <c r="CC42" s="124"/>
      <c r="CD42" s="152"/>
      <c r="CE42" s="41"/>
      <c r="CF42" s="67">
        <v>-101.49</v>
      </c>
      <c r="CG42" s="104"/>
      <c r="CH42" s="119"/>
      <c r="CI42" s="124"/>
      <c r="CJ42" s="152"/>
      <c r="CK42" s="41"/>
      <c r="CL42" s="67">
        <v>-33.56</v>
      </c>
      <c r="CM42" s="104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104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104"/>
      <c r="DL42" s="119"/>
      <c r="DM42" s="45"/>
      <c r="DN42" s="41"/>
      <c r="DO42" s="372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91"/>
      <c r="HG42" s="41"/>
      <c r="HH42" s="104"/>
      <c r="HI42" s="152"/>
      <c r="HJ42" s="77"/>
      <c r="HK42" s="49"/>
      <c r="HL42" s="41"/>
      <c r="HM42" s="104"/>
      <c r="HN42" s="113"/>
      <c r="HO42" s="41"/>
      <c r="HP42" s="91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384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67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72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104"/>
      <c r="AX43" s="119"/>
      <c r="AY43" s="124"/>
      <c r="AZ43" s="113"/>
      <c r="BA43" s="41"/>
      <c r="BB43" s="67"/>
      <c r="BC43" s="104"/>
      <c r="BD43" s="119"/>
      <c r="BE43" s="124"/>
      <c r="BF43" s="113"/>
      <c r="BG43" s="41"/>
      <c r="BH43" s="67"/>
      <c r="BI43" s="104"/>
      <c r="BJ43" s="119"/>
      <c r="BK43" s="124"/>
      <c r="BL43" s="113"/>
      <c r="BM43" s="87"/>
      <c r="BN43" s="67"/>
      <c r="BO43" s="104"/>
      <c r="BP43" s="119"/>
      <c r="BQ43" s="124"/>
      <c r="BR43" s="113"/>
      <c r="BS43" s="41"/>
      <c r="BT43" s="67"/>
      <c r="BU43" s="72"/>
      <c r="BV43" s="119"/>
      <c r="BW43" s="124"/>
      <c r="BX43" s="152"/>
      <c r="BY43" s="41"/>
      <c r="BZ43" s="67"/>
      <c r="CA43" s="104"/>
      <c r="CB43" s="119"/>
      <c r="CC43" s="124"/>
      <c r="CD43" s="152"/>
      <c r="CE43" s="41"/>
      <c r="CF43" s="67"/>
      <c r="CG43" s="104"/>
      <c r="CH43" s="119"/>
      <c r="CI43" s="124"/>
      <c r="CJ43" s="152"/>
      <c r="CK43" s="41"/>
      <c r="CL43" s="67"/>
      <c r="CM43" s="104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104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104"/>
      <c r="DL43" s="119"/>
      <c r="DM43" s="45"/>
      <c r="DN43" s="41"/>
      <c r="DO43" s="372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91"/>
      <c r="HG43" s="41"/>
      <c r="HH43" s="104"/>
      <c r="HI43" s="152"/>
      <c r="HJ43" s="77"/>
      <c r="HK43" s="49"/>
      <c r="HL43" s="41"/>
      <c r="HM43" s="104"/>
      <c r="HN43" s="113"/>
      <c r="HO43" s="41"/>
      <c r="HP43" s="91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3"/>
      <c r="IN43" s="364"/>
      <c r="IO43" s="288"/>
      <c r="IP43" s="267"/>
      <c r="IQ43" s="267"/>
      <c r="IR43" s="267"/>
      <c r="IS43" s="267"/>
      <c r="IT43" s="267"/>
      <c r="IU43" s="267"/>
      <c r="IV43" s="381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384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67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72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104"/>
      <c r="AX44" s="119"/>
      <c r="AY44" s="124"/>
      <c r="AZ44" s="113"/>
      <c r="BA44" s="41"/>
      <c r="BB44" s="67">
        <v>-33.975000000000001</v>
      </c>
      <c r="BC44" s="104"/>
      <c r="BD44" s="119"/>
      <c r="BE44" s="124"/>
      <c r="BF44" s="113"/>
      <c r="BG44" s="41"/>
      <c r="BH44" s="67"/>
      <c r="BI44" s="104"/>
      <c r="BJ44" s="119"/>
      <c r="BK44" s="124"/>
      <c r="BL44" s="113"/>
      <c r="BM44" s="87"/>
      <c r="BN44" s="67"/>
      <c r="BO44" s="104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52"/>
      <c r="BY44" s="41"/>
      <c r="BZ44" s="67"/>
      <c r="CA44" s="104"/>
      <c r="CB44" s="119"/>
      <c r="CC44" s="124"/>
      <c r="CD44" s="152"/>
      <c r="CE44" s="41"/>
      <c r="CF44" s="67"/>
      <c r="CG44" s="104"/>
      <c r="CH44" s="119"/>
      <c r="CI44" s="124"/>
      <c r="CJ44" s="152"/>
      <c r="CK44" s="41"/>
      <c r="CL44" s="67"/>
      <c r="CM44" s="104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104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104"/>
      <c r="DL44" s="119"/>
      <c r="DM44" s="45"/>
      <c r="DN44" s="41"/>
      <c r="DO44" s="372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91"/>
      <c r="HG44" s="41"/>
      <c r="HH44" s="104"/>
      <c r="HI44" s="152"/>
      <c r="HJ44" s="77"/>
      <c r="HK44" s="49"/>
      <c r="HL44" s="41"/>
      <c r="HM44" s="104"/>
      <c r="HN44" s="113"/>
      <c r="HO44" s="41"/>
      <c r="HP44" s="91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3"/>
      <c r="IN44" s="364"/>
      <c r="IO44" s="288"/>
      <c r="IP44" s="267"/>
      <c r="IQ44" s="267"/>
      <c r="IR44" s="267"/>
      <c r="IS44" s="267"/>
      <c r="IT44" s="267"/>
      <c r="IU44" s="267"/>
      <c r="IV44" s="381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375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375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46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375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375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375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375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82">
        <v>33.69</v>
      </c>
      <c r="CC118" s="126">
        <v>33.96</v>
      </c>
      <c r="CJ118" s="182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375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92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375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375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375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375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375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375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375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375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82">
        <v>68.959999999999994</v>
      </c>
      <c r="CC195" s="126">
        <v>84.74</v>
      </c>
      <c r="CJ195" s="182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82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375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375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82">
        <v>-8.7100000000000009</v>
      </c>
      <c r="CJ207" s="182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375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82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375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82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82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82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82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82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82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82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375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82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69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82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375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82">
        <v>-8.34</v>
      </c>
      <c r="CJ289" s="182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375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375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82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82">
        <v>-16.8</v>
      </c>
      <c r="CV319" s="115">
        <v>-16.239999999999998</v>
      </c>
      <c r="DB319" s="115">
        <v>-17.23</v>
      </c>
      <c r="DG319" s="126">
        <v>-25.6</v>
      </c>
      <c r="DM319" s="46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375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69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375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375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375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375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82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375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375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375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82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82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375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69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82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375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82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82">
        <v>35.39</v>
      </c>
      <c r="CB524" s="121">
        <v>33.54</v>
      </c>
      <c r="CC524" s="126">
        <v>66.150000000000006</v>
      </c>
      <c r="CJ524" s="182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46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82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375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82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82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82">
        <v>-16.68</v>
      </c>
      <c r="CJ542" s="182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82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46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82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82">
        <v>-9.11</v>
      </c>
      <c r="CB582" s="121">
        <v>-8.58</v>
      </c>
      <c r="CJ582" s="182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375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82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82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82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82">
        <v>67.650000000000006</v>
      </c>
      <c r="CE723" s="42">
        <v>34.74</v>
      </c>
      <c r="CJ723" s="182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82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82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82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82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82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46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69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56" x14ac:dyDescent="0.25">
      <c r="A881" s="127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56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56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56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56" x14ac:dyDescent="0.25">
      <c r="A885" s="127">
        <v>44557</v>
      </c>
      <c r="B885" s="23" t="s">
        <v>94</v>
      </c>
      <c r="C885" s="21">
        <f t="shared" si="17"/>
        <v>0</v>
      </c>
    </row>
    <row r="886" spans="1:256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56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56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56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56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56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56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56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56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56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56" s="52" customFormat="1" x14ac:dyDescent="0.25">
      <c r="A896" s="436" t="s">
        <v>105</v>
      </c>
      <c r="B896" s="437"/>
      <c r="C896" s="270">
        <f>SUM(D896:JT896)</f>
        <v>39.436</v>
      </c>
      <c r="D896" s="386">
        <v>-1.37</v>
      </c>
      <c r="E896" s="145">
        <v>0.57999999999999996</v>
      </c>
      <c r="F896" s="365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69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9.6199999999999992</v>
      </c>
      <c r="AA896" s="53"/>
      <c r="AB896" s="55">
        <v>-7.9349999999999996</v>
      </c>
      <c r="AC896" s="74">
        <v>-19.344999999999999</v>
      </c>
      <c r="AD896" s="54">
        <v>-7.4</v>
      </c>
      <c r="AE896" s="53">
        <v>0.09</v>
      </c>
      <c r="AF896" s="55">
        <v>-1.4999999999999999E-2</v>
      </c>
      <c r="AG896" s="74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360">
        <v>105.715</v>
      </c>
      <c r="AX896" s="55"/>
      <c r="AY896" s="55"/>
      <c r="AZ896" s="115">
        <v>-64.674999999999997</v>
      </c>
      <c r="BA896" s="53">
        <v>-59.19</v>
      </c>
      <c r="BB896" s="55">
        <v>34.715000000000003</v>
      </c>
      <c r="BC896" s="106">
        <v>-19.7</v>
      </c>
      <c r="BD896" s="55">
        <v>-7.15</v>
      </c>
      <c r="BE896" s="55"/>
      <c r="BF896" s="115"/>
      <c r="BG896" s="53">
        <v>-8.19</v>
      </c>
      <c r="BH896" s="55">
        <v>1.21</v>
      </c>
      <c r="BI896" s="106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106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82">
        <v>-32.270000000000003</v>
      </c>
      <c r="BY896" s="53">
        <v>-0.06</v>
      </c>
      <c r="BZ896" s="55">
        <v>8.5549999999999997</v>
      </c>
      <c r="CA896" s="106">
        <v>-161.89500000000001</v>
      </c>
      <c r="CB896" s="55"/>
      <c r="CC896" s="55"/>
      <c r="CD896" s="182"/>
      <c r="CE896" s="53">
        <v>-24.18</v>
      </c>
      <c r="CF896" s="55">
        <v>-14.414999999999999</v>
      </c>
      <c r="CG896" s="106">
        <v>-46.875</v>
      </c>
      <c r="CH896" s="55"/>
      <c r="CI896" s="55"/>
      <c r="CJ896" s="182">
        <v>-24.52</v>
      </c>
      <c r="CK896" s="53">
        <v>-9.51</v>
      </c>
      <c r="CL896" s="55">
        <v>-19.100000000000001</v>
      </c>
      <c r="CM896" s="360">
        <v>-83.765000000000001</v>
      </c>
      <c r="CN896" s="55">
        <v>0.09</v>
      </c>
      <c r="CO896" s="55"/>
      <c r="CP896" s="115">
        <v>-7.11</v>
      </c>
      <c r="CQ896" s="53">
        <v>-7.75</v>
      </c>
      <c r="CR896" s="69">
        <v>-7.3949999999999996</v>
      </c>
      <c r="CS896" s="74">
        <v>-41.66</v>
      </c>
      <c r="CT896" s="55">
        <v>0.2</v>
      </c>
      <c r="CU896" s="55"/>
      <c r="CV896" s="54"/>
      <c r="CW896" s="53">
        <v>49.77</v>
      </c>
      <c r="CX896" s="55">
        <v>-0.01</v>
      </c>
      <c r="CY896" s="106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360">
        <f>-80.11+8.265</f>
        <v>-71.844999999999999</v>
      </c>
      <c r="DL896" s="55">
        <v>0.1</v>
      </c>
      <c r="DM896" s="359"/>
      <c r="DN896" s="53">
        <v>-0.35</v>
      </c>
      <c r="DO896" s="37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359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359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5"/>
      <c r="IN896" s="366"/>
      <c r="IO896" s="54"/>
      <c r="IV896" s="365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82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82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82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82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82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82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375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375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375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375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375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375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82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375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375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375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82">
        <v>32.47</v>
      </c>
      <c r="CC1197" s="126">
        <v>65.87</v>
      </c>
      <c r="CJ1197" s="182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82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375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375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375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82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82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82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106">
        <v>321.27999999999997</v>
      </c>
      <c r="BC1318" s="106">
        <v>318.20999999999998</v>
      </c>
      <c r="BI1318" s="106">
        <v>322.31</v>
      </c>
      <c r="BO1318" s="106">
        <v>338.5</v>
      </c>
      <c r="CS1318" s="74">
        <v>338.47</v>
      </c>
      <c r="CY1318" s="106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106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106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106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106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106">
        <v>-8.41</v>
      </c>
      <c r="BI1325" s="106">
        <f>-8.28-8.67-8.29</f>
        <v>-25.24</v>
      </c>
      <c r="BO1325" s="106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106">
        <v>-8.42</v>
      </c>
      <c r="BC1329" s="106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106">
        <v>-33.869999999999997</v>
      </c>
      <c r="BO1330" s="106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106">
        <v>-34.01</v>
      </c>
      <c r="BC1334" s="106">
        <v>-42.19</v>
      </c>
      <c r="BI1334" s="106">
        <v>-33.049999999999997</v>
      </c>
      <c r="BO1334" s="106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106">
        <v>-8.43</v>
      </c>
      <c r="BA1335" s="42">
        <v>-8.51</v>
      </c>
      <c r="BI1335" s="106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106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106">
        <v>-33.880000000000003</v>
      </c>
      <c r="BC1337" s="106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106">
        <v>-33.76</v>
      </c>
      <c r="BC1338" s="106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106">
        <v>-34.56</v>
      </c>
      <c r="BO1339" s="106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106">
        <v>-33.950000000000003</v>
      </c>
      <c r="BC1341" s="106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106">
        <v>-33.68</v>
      </c>
      <c r="BC1342" s="106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106">
        <v>-33.74</v>
      </c>
      <c r="BC1343" s="106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106">
        <v>-17</v>
      </c>
      <c r="BC1344" s="106">
        <v>-16.71</v>
      </c>
      <c r="BI1344" s="106">
        <v>-17.29</v>
      </c>
      <c r="BO1344" s="106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106">
        <v>-33.700000000000003</v>
      </c>
      <c r="BA1346" s="42">
        <v>-34.75</v>
      </c>
      <c r="BI1346" s="106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106">
        <v>-16.88</v>
      </c>
      <c r="BC1348" s="106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106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106">
        <v>-8.48</v>
      </c>
      <c r="BC1350" s="106">
        <v>-8.4499999999999993</v>
      </c>
      <c r="BI1350" s="106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106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106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106">
        <v>-33.4</v>
      </c>
      <c r="BI1363" s="106">
        <v>-34.909999999999997</v>
      </c>
      <c r="BO1363" s="106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106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106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106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106">
        <v>-8.4700000000000006</v>
      </c>
      <c r="BG1386" s="42">
        <v>-8.73</v>
      </c>
      <c r="BO1386" s="106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106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106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106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106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106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106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386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69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74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106"/>
      <c r="AX1457" s="183"/>
      <c r="AY1457" s="126"/>
      <c r="AZ1457" s="115"/>
      <c r="BA1457" s="42"/>
      <c r="BB1457" s="69"/>
      <c r="BC1457" s="106"/>
      <c r="BD1457" s="140"/>
      <c r="BE1457" s="140"/>
      <c r="BF1457" s="115"/>
      <c r="BG1457" s="185"/>
      <c r="BH1457" s="69"/>
      <c r="BI1457" s="106"/>
      <c r="BJ1457" s="140"/>
      <c r="BK1457" s="140"/>
      <c r="BL1457" s="115"/>
      <c r="BM1457" s="88">
        <v>34</v>
      </c>
      <c r="BN1457" s="69"/>
      <c r="BO1457" s="106"/>
      <c r="BP1457" s="140"/>
      <c r="BQ1457" s="126"/>
      <c r="BR1457" s="115"/>
      <c r="BS1457" s="139"/>
      <c r="BT1457" s="69"/>
      <c r="BU1457" s="74"/>
      <c r="BV1457" s="140"/>
      <c r="BW1457" s="126"/>
      <c r="BX1457" s="182"/>
      <c r="BY1457" s="42"/>
      <c r="BZ1457" s="69"/>
      <c r="CA1457" s="106"/>
      <c r="CB1457" s="140"/>
      <c r="CC1457" s="140"/>
      <c r="CD1457" s="182"/>
      <c r="CE1457" s="42"/>
      <c r="CF1457" s="69"/>
      <c r="CG1457" s="106">
        <v>-11.43</v>
      </c>
      <c r="CH1457" s="140"/>
      <c r="CI1457" s="140"/>
      <c r="CJ1457" s="182"/>
      <c r="CK1457" s="42">
        <v>34.93</v>
      </c>
      <c r="CL1457" s="69"/>
      <c r="CM1457" s="106"/>
      <c r="CN1457" s="140"/>
      <c r="CO1457" s="126"/>
      <c r="CP1457" s="115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106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106"/>
      <c r="DL1457" s="121"/>
      <c r="DM1457" s="46"/>
      <c r="DN1457" s="139">
        <v>0.35</v>
      </c>
      <c r="DO1457" s="375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92"/>
      <c r="HG1457" s="139"/>
      <c r="HH1457" s="106"/>
      <c r="HI1457" s="182"/>
      <c r="HJ1457" s="138"/>
      <c r="HL1457" s="139"/>
      <c r="HM1457" s="106"/>
      <c r="HN1457" s="115"/>
      <c r="HO1457" s="139"/>
      <c r="HP1457" s="184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378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92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106">
        <v>59</v>
      </c>
      <c r="BO1476" s="106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106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106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106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92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106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106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106">
        <v>94.6</v>
      </c>
      <c r="BI1568" s="106">
        <v>162.35</v>
      </c>
      <c r="BO1568" s="106">
        <v>158.4</v>
      </c>
      <c r="BU1568" s="74">
        <v>154.05000000000001</v>
      </c>
      <c r="CA1568" s="106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106">
        <v>-8.0500000000000007</v>
      </c>
      <c r="BA1569" s="42">
        <v>-8.85</v>
      </c>
      <c r="BG1569" s="42">
        <v>-8.83</v>
      </c>
      <c r="BO1569" s="106">
        <v>-8.15</v>
      </c>
      <c r="BS1569" s="42">
        <v>-8.6300000000000008</v>
      </c>
      <c r="CA1569" s="106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106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106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106">
        <v>-31.05</v>
      </c>
      <c r="BI1573" s="106">
        <v>-35.85</v>
      </c>
      <c r="CA1573" s="106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106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106">
        <v>-32.4</v>
      </c>
      <c r="BI1575" s="106">
        <v>-62.35</v>
      </c>
      <c r="BO1575" s="106">
        <v>-31.25</v>
      </c>
      <c r="BU1575" s="74">
        <v>-34.65</v>
      </c>
      <c r="CA1575" s="106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106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106">
        <v>-17.149999999999999</v>
      </c>
      <c r="BI1578" s="106">
        <v>-16.100000000000001</v>
      </c>
      <c r="BO1578" s="106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106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106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106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106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106">
        <v>-7.1</v>
      </c>
      <c r="BC1592" s="106">
        <v>-6.55</v>
      </c>
      <c r="BI1592" s="106">
        <v>-8.25</v>
      </c>
      <c r="BO1592" s="106">
        <v>-8.4</v>
      </c>
      <c r="BU1592" s="74">
        <v>-7.85</v>
      </c>
      <c r="CA1592" s="106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106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106">
        <v>-7.6</v>
      </c>
      <c r="BI1595" s="106">
        <v>-7.2</v>
      </c>
      <c r="BO1595" s="106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74">
        <v>-17.25</v>
      </c>
      <c r="CY1600" s="106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106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106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74">
        <v>-8.65</v>
      </c>
      <c r="CA1610" s="106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106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106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106">
        <v>-7.65</v>
      </c>
      <c r="BO1617" s="106">
        <v>-6.4</v>
      </c>
      <c r="BU1617" s="74">
        <v>-8.6999999999999993</v>
      </c>
      <c r="CA1617" s="106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106">
        <v>-7.6</v>
      </c>
      <c r="BI1618" s="106">
        <v>-7.9</v>
      </c>
      <c r="BO1618" s="106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106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106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106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106">
        <f>8.55+8.6</f>
        <v>17.149999999999999</v>
      </c>
      <c r="CY1634" s="106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106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106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386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106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106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106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106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106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106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106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106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386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106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106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106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106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106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106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106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106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106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106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386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106">
        <v>264.27999999999997</v>
      </c>
      <c r="BI1753" s="106">
        <v>538.54999999999995</v>
      </c>
      <c r="CA1753" s="106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106">
        <v>-99.71</v>
      </c>
      <c r="BI1754" s="106">
        <v>-121.8</v>
      </c>
      <c r="CA1754" s="106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106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106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106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82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106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106">
        <v>165.22</v>
      </c>
      <c r="CA1764" s="106">
        <v>169.8</v>
      </c>
      <c r="CM1764" s="106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106">
        <v>-16.63</v>
      </c>
      <c r="BI1765" s="106">
        <v>-18.25</v>
      </c>
      <c r="BO1765" s="106">
        <v>-14.58</v>
      </c>
      <c r="CA1765" s="106">
        <v>-16.899999999999999</v>
      </c>
      <c r="CG1765" s="106">
        <v>-15.38</v>
      </c>
      <c r="CM1765" s="106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106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106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106">
        <v>-60.9</v>
      </c>
      <c r="BO1769" s="106">
        <v>-32.65</v>
      </c>
      <c r="CA1769" s="106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106">
        <v>-103.4</v>
      </c>
      <c r="CG1773" s="106">
        <v>-66.37</v>
      </c>
      <c r="CM1773" s="106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106">
        <v>-16.5</v>
      </c>
      <c r="BI1774" s="106">
        <v>-34.6</v>
      </c>
      <c r="BO1774" s="106">
        <v>-27.3</v>
      </c>
      <c r="CA1774" s="106">
        <v>-25.55</v>
      </c>
      <c r="CG1774" s="106">
        <v>-24.55</v>
      </c>
      <c r="CM1774" s="106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106">
        <v>-8.6999999999999993</v>
      </c>
      <c r="BO1776" s="106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106">
        <v>-8.6999999999999993</v>
      </c>
      <c r="BO1779" s="106">
        <v>-6.75</v>
      </c>
      <c r="CG1779" s="106">
        <v>-8.1999999999999993</v>
      </c>
      <c r="CM1779" s="106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106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106">
        <v>507.8</v>
      </c>
      <c r="CA1784" s="106">
        <v>560.98</v>
      </c>
      <c r="CM1784" s="106">
        <v>166.4</v>
      </c>
      <c r="DK1784" s="106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106">
        <v>175.05</v>
      </c>
      <c r="DK1785" s="106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106">
        <v>-63.8</v>
      </c>
      <c r="BO1786" s="106">
        <v>-62.54</v>
      </c>
      <c r="CM1786" s="106">
        <v>-66.900000000000006</v>
      </c>
      <c r="DK1786" s="106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106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106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106">
        <v>-8.6999999999999993</v>
      </c>
      <c r="CA1793" s="106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106">
        <v>-95.2</v>
      </c>
      <c r="BI1796" s="106">
        <v>-34.450000000000003</v>
      </c>
      <c r="CA1796" s="106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106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106">
        <v>-15.95</v>
      </c>
      <c r="BI1799" s="106">
        <v>-8.6999999999999993</v>
      </c>
      <c r="CA1799" s="106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106">
        <v>-65.37</v>
      </c>
      <c r="BC1800" s="106">
        <v>-128</v>
      </c>
      <c r="CA1800" s="106">
        <v>-128.88999999999999</v>
      </c>
      <c r="CM1800" s="106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106">
        <v>-33.130000000000003</v>
      </c>
      <c r="BC1801" s="106">
        <v>-31.9</v>
      </c>
      <c r="CA1801" s="106">
        <v>-34.25</v>
      </c>
      <c r="CM1801" s="106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106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106">
        <v>-8.16</v>
      </c>
      <c r="BI1804" s="106">
        <v>-8.65</v>
      </c>
      <c r="BO1804" s="106">
        <v>-7</v>
      </c>
      <c r="CA1804" s="106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106">
        <v>-8.2899999999999991</v>
      </c>
      <c r="CA1805" s="106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106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106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106">
        <v>-8</v>
      </c>
      <c r="CA1809" s="106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106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106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106">
        <v>716.1</v>
      </c>
      <c r="BU1814" s="74">
        <v>783.15</v>
      </c>
      <c r="CS1814" s="74">
        <v>512.67999999999995</v>
      </c>
      <c r="CY1814" s="106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106">
        <v>338.25</v>
      </c>
      <c r="BI1815" s="106">
        <v>337.26</v>
      </c>
      <c r="BO1815" s="106">
        <v>345.8</v>
      </c>
      <c r="BU1815" s="74">
        <v>351.88</v>
      </c>
      <c r="CM1815" s="106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106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106">
        <v>-34.5</v>
      </c>
      <c r="BI1819" s="106">
        <v>-32.159999999999997</v>
      </c>
      <c r="BO1819" s="106">
        <v>-33.1</v>
      </c>
      <c r="BU1819" s="74">
        <v>-100.08</v>
      </c>
      <c r="CA1819" s="106">
        <v>-32.619999999999997</v>
      </c>
      <c r="CM1819" s="106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106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106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106">
        <v>-65.25</v>
      </c>
      <c r="CS1822" s="74">
        <v>-30.28</v>
      </c>
      <c r="CY1822" s="106">
        <v>-34.14</v>
      </c>
      <c r="DE1822" s="74">
        <v>-65.84</v>
      </c>
      <c r="DK1822" s="106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106">
        <v>-97.9</v>
      </c>
      <c r="BU1823" s="74">
        <v>-102.34</v>
      </c>
      <c r="CA1823" s="106">
        <v>-65.92</v>
      </c>
      <c r="CM1823" s="106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106">
        <v>-193.3</v>
      </c>
      <c r="CS1826" s="74">
        <v>-119.4</v>
      </c>
      <c r="CY1826" s="106">
        <v>-100.78</v>
      </c>
      <c r="DK1826" s="106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106">
        <v>-15.9</v>
      </c>
      <c r="BI1827" s="106">
        <v>-16.02</v>
      </c>
      <c r="BO1827" s="106">
        <v>-8.3000000000000007</v>
      </c>
      <c r="BU1827" s="74">
        <v>-8.4700000000000006</v>
      </c>
      <c r="CA1827" s="106">
        <v>-16.46</v>
      </c>
      <c r="CM1827" s="106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106">
        <v>-67.23</v>
      </c>
      <c r="BO1829" s="106">
        <v>-69.959999999999994</v>
      </c>
      <c r="BU1829" s="74">
        <v>-64.94</v>
      </c>
      <c r="CA1829" s="106">
        <v>-66.28</v>
      </c>
      <c r="CM1829" s="106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106">
        <v>-69.5</v>
      </c>
      <c r="CS1830" s="74">
        <v>-56.78</v>
      </c>
      <c r="CY1830" s="106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106">
        <v>-101.46</v>
      </c>
      <c r="BI1831" s="106">
        <v>-61.1</v>
      </c>
      <c r="BO1831" s="106">
        <v>-166.63</v>
      </c>
      <c r="BU1831" s="74">
        <v>-70.05</v>
      </c>
      <c r="CA1831" s="106">
        <v>-98.2</v>
      </c>
      <c r="CM1831" s="106">
        <v>-66.8</v>
      </c>
      <c r="CY1831" s="106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106">
        <v>-8.65</v>
      </c>
      <c r="BO1832" s="106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106">
        <v>-33.520000000000003</v>
      </c>
      <c r="BO1833" s="106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106">
        <v>-31.8</v>
      </c>
      <c r="BO1834" s="106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106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106">
        <v>-33.9</v>
      </c>
      <c r="BI1836" s="106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106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106">
        <v>-8</v>
      </c>
      <c r="BH1840" s="69">
        <v>-7</v>
      </c>
      <c r="BO1840" s="106">
        <v>-9.19</v>
      </c>
      <c r="BU1840" s="74">
        <v>-8.59</v>
      </c>
      <c r="CA1840" s="106">
        <v>-8.74</v>
      </c>
      <c r="CG1840" s="106">
        <v>-8.15</v>
      </c>
      <c r="CM1840" s="106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106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106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106">
        <v>-67.45</v>
      </c>
      <c r="BI1844" s="106">
        <v>-66.34</v>
      </c>
      <c r="BO1844" s="106">
        <v>-66.739999999999995</v>
      </c>
      <c r="BU1844" s="74">
        <v>-68.95</v>
      </c>
      <c r="CA1844" s="106">
        <v>-33.56</v>
      </c>
      <c r="CG1844" s="106">
        <v>-32.25</v>
      </c>
      <c r="CM1844" s="106">
        <v>-34.6</v>
      </c>
      <c r="CS1844" s="74">
        <v>-28.78</v>
      </c>
      <c r="CY1844" s="106">
        <v>-17.72</v>
      </c>
      <c r="DE1844" s="74">
        <v>-16.54</v>
      </c>
      <c r="DK1844" s="106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106">
        <v>-33.479999999999997</v>
      </c>
      <c r="BO1845" s="106">
        <v>-103.44</v>
      </c>
      <c r="BU1845" s="74">
        <v>-207.7</v>
      </c>
      <c r="CG1845" s="106">
        <v>-130.15</v>
      </c>
      <c r="CM1845" s="106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106">
        <v>-33.39</v>
      </c>
      <c r="BO1846" s="106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106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106">
        <v>-34.880000000000003</v>
      </c>
      <c r="BU1848" s="74">
        <v>-34.6</v>
      </c>
      <c r="CA1848" s="106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106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106">
        <v>-16.920000000000002</v>
      </c>
      <c r="BI1852" s="106">
        <v>-8.51</v>
      </c>
      <c r="BO1852" s="106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106">
        <v>-7.77</v>
      </c>
      <c r="BO1855" s="106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106">
        <v>-9.0500000000000007</v>
      </c>
      <c r="BU1856" s="74">
        <v>-8.65</v>
      </c>
      <c r="CA1856" s="106">
        <v>-8.17</v>
      </c>
      <c r="CG1856" s="106">
        <v>-8.25</v>
      </c>
      <c r="CM1856" s="106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106">
        <v>-28.85</v>
      </c>
      <c r="BO1858" s="106">
        <v>-35.299999999999997</v>
      </c>
      <c r="BU1858" s="74">
        <v>-34.6</v>
      </c>
      <c r="CA1858" s="106">
        <v>-33.520000000000003</v>
      </c>
      <c r="CM1858" s="106">
        <v>-33.299999999999997</v>
      </c>
      <c r="DE1858" s="74">
        <v>-68.680000000000007</v>
      </c>
      <c r="DK1858" s="106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106">
        <v>-8.5299999999999994</v>
      </c>
      <c r="BI1859" s="106">
        <v>-8.64</v>
      </c>
      <c r="BO1859" s="106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106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69">
        <v>-8.49</v>
      </c>
      <c r="CA1863" s="106">
        <v>-8.11</v>
      </c>
      <c r="CG1863" s="106">
        <v>-32.700000000000003</v>
      </c>
      <c r="CN1863" s="121">
        <v>-16.78</v>
      </c>
      <c r="CY1863" s="106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106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106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106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106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106">
        <v>-32.049999999999997</v>
      </c>
      <c r="BO1871" s="106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106">
        <v>-33.53</v>
      </c>
      <c r="BC1872" s="106">
        <v>-64.05</v>
      </c>
      <c r="BO1872" s="106">
        <v>-105.78</v>
      </c>
      <c r="BU1872" s="74">
        <v>-69.05</v>
      </c>
      <c r="CG1872" s="106">
        <v>-66.900000000000006</v>
      </c>
      <c r="CM1872" s="106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106">
        <v>-8.2899999999999991</v>
      </c>
      <c r="BU1873" s="74">
        <v>-8.0500000000000007</v>
      </c>
      <c r="CM1873" s="106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106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92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106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106">
        <v>-33.47</v>
      </c>
      <c r="BO1884" s="106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106">
        <v>-8.89</v>
      </c>
      <c r="BU1890" s="74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106">
        <v>-16.68</v>
      </c>
      <c r="BC1895" s="106">
        <v>-8.35</v>
      </c>
      <c r="BI1895" s="106">
        <v>-8.19</v>
      </c>
      <c r="BR1895" s="115">
        <v>-28.32</v>
      </c>
      <c r="BU1895" s="74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46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106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106">
        <v>354.28</v>
      </c>
      <c r="BU1905" s="74">
        <v>347.31</v>
      </c>
      <c r="CS1905" s="74">
        <v>344.12</v>
      </c>
      <c r="CY1905" s="106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106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106">
        <v>-66.900000000000006</v>
      </c>
      <c r="BO1908" s="106">
        <v>-67.94</v>
      </c>
      <c r="BU1908" s="74">
        <v>-34</v>
      </c>
      <c r="CY1908" s="106">
        <v>-69.099999999999994</v>
      </c>
      <c r="DE1908" s="74">
        <v>-31.02</v>
      </c>
      <c r="DK1908" s="106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106">
        <v>-33.24</v>
      </c>
      <c r="BO1909" s="106">
        <v>-34.299999999999997</v>
      </c>
      <c r="BU1909" s="74">
        <v>-34</v>
      </c>
      <c r="CG1909" s="106">
        <v>-22.72</v>
      </c>
      <c r="CS1909" s="74">
        <v>-34.479999999999997</v>
      </c>
      <c r="CY1909" s="106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106">
        <v>-69</v>
      </c>
      <c r="DE1910" s="74">
        <v>-70.7</v>
      </c>
      <c r="DK1910" s="106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106">
        <v>-66.55</v>
      </c>
      <c r="BU1911" s="74">
        <v>-70.790000000000006</v>
      </c>
      <c r="CS1911" s="74">
        <v>-64.22</v>
      </c>
      <c r="CY1911" s="106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92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106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106">
        <v>-7.41</v>
      </c>
      <c r="BC1914" s="106">
        <v>-8</v>
      </c>
      <c r="BH1914" s="69">
        <v>-8.5500000000000007</v>
      </c>
      <c r="BO1914" s="106">
        <v>-9.09</v>
      </c>
      <c r="BU1914" s="74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106">
        <v>-33.18</v>
      </c>
      <c r="BO1916" s="106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92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106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92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106">
        <v>-33.22</v>
      </c>
      <c r="BU1926" s="74">
        <v>-33.4</v>
      </c>
      <c r="CY1926" s="106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106">
        <v>358.32</v>
      </c>
      <c r="CA1927" s="106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106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106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106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106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106">
        <v>-34.64</v>
      </c>
      <c r="BU1933" s="74">
        <v>-29.5</v>
      </c>
      <c r="CA1933" s="106">
        <v>-209.1</v>
      </c>
      <c r="DK1933" s="106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106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106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106">
        <v>-7.37</v>
      </c>
      <c r="BU1936" s="74">
        <v>-16.45</v>
      </c>
      <c r="CA1936" s="106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106">
        <v>-8.27</v>
      </c>
      <c r="BC1939" s="106">
        <v>-8.0500000000000007</v>
      </c>
      <c r="BO1939" s="106">
        <v>-8.51</v>
      </c>
      <c r="CA1939" s="106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106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106">
        <v>-8.3800000000000008</v>
      </c>
      <c r="BC1942" s="106">
        <v>-7.43</v>
      </c>
      <c r="BO1942" s="106">
        <v>-9.15</v>
      </c>
      <c r="CA1942" s="106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106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106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106">
        <v>-57.96</v>
      </c>
      <c r="BO1946" s="106">
        <v>-34.700000000000003</v>
      </c>
      <c r="BT1946" s="69">
        <v>-33.905000000000001</v>
      </c>
      <c r="BU1946" s="74">
        <v>-31.42</v>
      </c>
      <c r="CA1946" s="106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106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106">
        <v>-33.64</v>
      </c>
      <c r="DE1950" s="74">
        <v>-98.42</v>
      </c>
      <c r="DK1950" s="106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106">
        <v>-57.8</v>
      </c>
      <c r="CA1956" s="106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106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106">
        <v>499.01</v>
      </c>
      <c r="BI1962" s="106">
        <v>396.1</v>
      </c>
      <c r="CM1962" s="106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106">
        <v>510.94</v>
      </c>
      <c r="CM1963" s="106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106">
        <v>-8.31</v>
      </c>
      <c r="BC1969" s="106">
        <v>-7.23</v>
      </c>
      <c r="BI1969" s="106">
        <v>-8.65</v>
      </c>
      <c r="BS1969" s="42">
        <v>-7.58</v>
      </c>
      <c r="CA1969" s="106">
        <v>-8.6999999999999993</v>
      </c>
      <c r="CM1969" s="106">
        <v>-8.1999999999999993</v>
      </c>
      <c r="CS1969" s="74">
        <v>-8.35</v>
      </c>
      <c r="CY1969" s="106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106">
        <v>-8.5500000000000007</v>
      </c>
      <c r="BS1970" s="42">
        <v>-7.68</v>
      </c>
      <c r="CM1970" s="106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106">
        <v>-8.5500000000000007</v>
      </c>
      <c r="CA1971" s="106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106">
        <v>-17.18</v>
      </c>
      <c r="BS1972" s="42">
        <v>-14.72</v>
      </c>
      <c r="CG1972" s="106">
        <v>-7.57</v>
      </c>
      <c r="CM1972" s="106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106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106">
        <v>-31.22</v>
      </c>
      <c r="BC1974" s="106">
        <v>-28.12</v>
      </c>
      <c r="BO1974" s="106">
        <v>-29.78</v>
      </c>
      <c r="CA1974" s="106">
        <v>-33.4</v>
      </c>
      <c r="CM1974" s="106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106">
        <v>-33.76</v>
      </c>
      <c r="BC1975" s="106">
        <v>-28.8</v>
      </c>
      <c r="BO1975" s="106">
        <v>-62.76</v>
      </c>
      <c r="CA1975" s="106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106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106">
        <v>-28.96</v>
      </c>
      <c r="CY1977" s="106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106">
        <v>-344.5</v>
      </c>
      <c r="CG1978" s="106">
        <v>-334.58</v>
      </c>
      <c r="DK1978" s="106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106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106">
        <v>-33.450000000000003</v>
      </c>
      <c r="BC1980" s="106">
        <v>-57.76</v>
      </c>
      <c r="BI1980" s="106">
        <v>-17.25</v>
      </c>
      <c r="BO1980" s="106">
        <v>-65.14</v>
      </c>
      <c r="CA1980" s="106">
        <v>-96.04</v>
      </c>
      <c r="CM1980" s="106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106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106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106">
        <v>-8.34</v>
      </c>
      <c r="BC1984" s="106">
        <v>-6.41</v>
      </c>
      <c r="BO1984" s="106">
        <v>-8.15</v>
      </c>
      <c r="BS1984" s="42">
        <v>-8.1</v>
      </c>
      <c r="CA1984" s="106">
        <v>-8.6999999999999993</v>
      </c>
      <c r="CM1984" s="106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106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106">
        <v>-33.33</v>
      </c>
      <c r="BC1989" s="106">
        <v>-32.049999999999997</v>
      </c>
      <c r="BO1989" s="106">
        <v>-29.94</v>
      </c>
      <c r="BS1989" s="42">
        <v>-32.06</v>
      </c>
      <c r="CA1989" s="106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106">
        <v>-99.39</v>
      </c>
      <c r="BO1994" s="106">
        <v>-88.95</v>
      </c>
      <c r="CA1994" s="106">
        <v>-33.380000000000003</v>
      </c>
      <c r="CM1994" s="106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106">
        <v>348</v>
      </c>
      <c r="BU1996" s="74">
        <v>355.4</v>
      </c>
      <c r="CG1996" s="106">
        <v>589.15</v>
      </c>
      <c r="CY1996" s="106">
        <v>368.95</v>
      </c>
      <c r="DK1996" s="106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106">
        <v>-165</v>
      </c>
      <c r="BU1997" s="74">
        <v>-65.75</v>
      </c>
      <c r="CG1997" s="106">
        <v>-104.5</v>
      </c>
      <c r="DK1997" s="106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106">
        <v>-33.58</v>
      </c>
      <c r="CM1998" s="106">
        <v>-34.1</v>
      </c>
      <c r="CS1998" s="74">
        <v>-33.200000000000003</v>
      </c>
      <c r="DK1998" s="106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106">
        <v>-32.799999999999997</v>
      </c>
      <c r="BU1999" s="74">
        <v>-62.55</v>
      </c>
      <c r="CG1999" s="106">
        <v>-34.5</v>
      </c>
      <c r="CY1999" s="106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106">
        <v>-34.35</v>
      </c>
      <c r="CA2000" s="106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106">
        <v>-8.35</v>
      </c>
      <c r="BO2004" s="106">
        <v>-7.89</v>
      </c>
      <c r="BU2004" s="74">
        <v>-8.15</v>
      </c>
      <c r="CG2004" s="106">
        <v>-8.65</v>
      </c>
      <c r="CM2004" s="106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106">
        <v>-2.06</v>
      </c>
      <c r="CM2006" s="106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106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106">
        <v>-8.4</v>
      </c>
      <c r="BI2008" s="106">
        <v>-7.6</v>
      </c>
      <c r="BO2008" s="106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106">
        <v>-8.4</v>
      </c>
      <c r="BI2009" s="106">
        <v>-16.75</v>
      </c>
      <c r="BO2009" s="106">
        <v>-7.51</v>
      </c>
      <c r="BU2009" s="74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106">
        <v>-8.36</v>
      </c>
      <c r="BO2010" s="106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106">
        <v>-8.4</v>
      </c>
      <c r="BC2011" s="106">
        <v>-5.6</v>
      </c>
      <c r="BD2011" s="121">
        <v>-6.97</v>
      </c>
      <c r="BI2011" s="106">
        <v>-16.8</v>
      </c>
      <c r="BO2011" s="106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69">
        <v>-6.58</v>
      </c>
      <c r="BI2013" s="106">
        <v>-8.4499999999999993</v>
      </c>
      <c r="BO2013" s="106">
        <v>-6.97</v>
      </c>
      <c r="BS2013" s="42">
        <v>-8</v>
      </c>
      <c r="CA2013" s="106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106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106">
        <v>-8.41</v>
      </c>
      <c r="BI2016" s="106">
        <v>-16.7</v>
      </c>
      <c r="BO2016" s="106">
        <v>-14.76</v>
      </c>
      <c r="BU2016" s="74">
        <v>-7.6</v>
      </c>
      <c r="CG2016" s="106">
        <v>-8.65</v>
      </c>
      <c r="CS2016" s="74">
        <v>-7.81</v>
      </c>
      <c r="CY2016" s="106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106">
        <v>-8.36</v>
      </c>
      <c r="BI2017" s="106">
        <v>-8.4499999999999993</v>
      </c>
      <c r="BO2017" s="106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106">
        <v>-66.8</v>
      </c>
      <c r="BO2019" s="106">
        <v>-59.68</v>
      </c>
      <c r="CG2019" s="106">
        <v>-69.2</v>
      </c>
      <c r="CM2019" s="106">
        <v>-66.400000000000006</v>
      </c>
      <c r="CY2019" s="106">
        <v>-66.349999999999994</v>
      </c>
      <c r="DE2019" s="74">
        <v>-70.2</v>
      </c>
      <c r="DK2019" s="106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106">
        <v>-8.4</v>
      </c>
      <c r="BO2020" s="106">
        <v>-29.02</v>
      </c>
      <c r="BU2020" s="74">
        <v>-40.75</v>
      </c>
      <c r="CG2020" s="106">
        <v>-34.549999999999997</v>
      </c>
      <c r="CM2020" s="106">
        <v>-33.65</v>
      </c>
      <c r="CY2020" s="106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74">
        <v>352.94</v>
      </c>
      <c r="BC2023" s="106">
        <v>359.81</v>
      </c>
      <c r="BI2023" s="106">
        <v>494.1</v>
      </c>
      <c r="DK2023" s="106">
        <v>358.5</v>
      </c>
      <c r="DU2023" s="106">
        <v>352.15</v>
      </c>
      <c r="HF2023" s="92">
        <f>406.66+433.2</f>
        <v>839.86</v>
      </c>
      <c r="HP2023" s="92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74">
        <v>-70.7</v>
      </c>
      <c r="BC2024" s="106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106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74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106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106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106">
        <v>30.1</v>
      </c>
      <c r="BO2029" s="106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106">
        <f>31.27+32.23+33.08</f>
        <v>96.58</v>
      </c>
      <c r="DC2029" s="42">
        <f>9.42+8.66+8.48+8.59</f>
        <v>35.15</v>
      </c>
      <c r="DE2029" s="74">
        <v>35.74</v>
      </c>
      <c r="DK2029" s="106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106">
        <v>-16.77</v>
      </c>
      <c r="BC2030" s="106">
        <v>-9.0399999999999991</v>
      </c>
      <c r="BI2030" s="106">
        <v>-22.61</v>
      </c>
      <c r="BO2030" s="106">
        <v>-21.75</v>
      </c>
      <c r="BU2030" s="74">
        <v>-25.85</v>
      </c>
      <c r="BY2030" s="42">
        <v>-16.27</v>
      </c>
      <c r="CM2030" s="106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106">
        <v>-72.2</v>
      </c>
      <c r="BI2031" s="106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106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92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106">
        <v>-107.73</v>
      </c>
      <c r="BI2034" s="106">
        <v>-105.89</v>
      </c>
      <c r="BO2034" s="106">
        <v>-94.73</v>
      </c>
      <c r="CG2034" s="106">
        <v>-103.8</v>
      </c>
      <c r="CS2034" s="74">
        <v>-93.26</v>
      </c>
      <c r="CY2034" s="106">
        <v>-64.349999999999994</v>
      </c>
      <c r="DE2034" s="74">
        <v>-70.72</v>
      </c>
      <c r="DK2034" s="106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106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386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106">
        <v>-33.58</v>
      </c>
      <c r="BI2040" s="106">
        <v>-70.040000000000006</v>
      </c>
      <c r="BO2040" s="106">
        <v>-14.42</v>
      </c>
      <c r="BU2040" s="74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106">
        <v>-18.010000000000002</v>
      </c>
      <c r="BU2041" s="74">
        <v>-15.66</v>
      </c>
      <c r="CG2041" s="106">
        <v>-16.7</v>
      </c>
      <c r="CM2041" s="106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106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106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106">
        <v>-9.02</v>
      </c>
      <c r="BO2044" s="106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74">
        <v>-8.84</v>
      </c>
      <c r="AW2045" s="106">
        <v>-8.3000000000000007</v>
      </c>
      <c r="BI2045" s="106">
        <v>-8.4</v>
      </c>
      <c r="BO2045" s="106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386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106">
        <v>-70.680000000000007</v>
      </c>
      <c r="CG2049" s="106">
        <v>-104.15</v>
      </c>
      <c r="CM2049" s="106">
        <v>-170.05</v>
      </c>
      <c r="CR2049" s="69">
        <v>-25.79</v>
      </c>
      <c r="CS2049" s="74">
        <v>-29.08</v>
      </c>
      <c r="CY2049" s="106">
        <v>-65.430000000000007</v>
      </c>
      <c r="DE2049" s="74">
        <v>-70.3</v>
      </c>
      <c r="DK2049" s="106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92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106">
        <v>-8.36</v>
      </c>
      <c r="BC2053" s="106">
        <v>-8.85</v>
      </c>
      <c r="BI2053" s="106">
        <v>-7.49</v>
      </c>
      <c r="BO2053" s="106">
        <v>-8.15</v>
      </c>
      <c r="BU2053" s="74">
        <v>-8.1999999999999993</v>
      </c>
      <c r="CE2053" s="42">
        <v>-5.75</v>
      </c>
      <c r="CM2053" s="106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106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106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106">
        <v>-9.06</v>
      </c>
      <c r="BR2059" s="115">
        <v>-9.81</v>
      </c>
      <c r="BU2059" s="74">
        <v>-8.1999999999999993</v>
      </c>
      <c r="CE2059" s="42">
        <v>-9.34</v>
      </c>
      <c r="CM2059" s="106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106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106">
        <f>-9.35-8.89</f>
        <v>-18.239999999999998</v>
      </c>
      <c r="BI2061" s="106">
        <f>-8.9-8.89</f>
        <v>-17.79</v>
      </c>
      <c r="DK2061" s="106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74">
        <v>-35.409999999999997</v>
      </c>
      <c r="BI2062" s="106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106">
        <v>333.32</v>
      </c>
      <c r="BC2063" s="106">
        <v>346.41</v>
      </c>
      <c r="BI2063" s="106">
        <v>348.1</v>
      </c>
      <c r="BO2063" s="106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106">
        <v>-8.4</v>
      </c>
      <c r="BC2065" s="106">
        <v>-17.920000000000002</v>
      </c>
      <c r="BI2065" s="106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106">
        <v>-49.23</v>
      </c>
      <c r="BC2067" s="106">
        <v>-65.900000000000006</v>
      </c>
      <c r="BO2067" s="106">
        <v>-69.099999999999994</v>
      </c>
      <c r="BU2067" s="74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92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106">
        <v>-33.5</v>
      </c>
      <c r="BC2069" s="106">
        <v>-33</v>
      </c>
      <c r="BI2069" s="106">
        <v>-29.75</v>
      </c>
      <c r="BO2069" s="106">
        <v>-66.75</v>
      </c>
      <c r="BU2069" s="74">
        <v>-69.150000000000006</v>
      </c>
      <c r="CG2069" s="106">
        <v>-34.24</v>
      </c>
      <c r="CM2069" s="106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106">
        <v>-64.2</v>
      </c>
      <c r="BO2070" s="106">
        <v>-68.55</v>
      </c>
      <c r="BU2070" s="74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106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106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106">
        <v>-8.4</v>
      </c>
      <c r="BC2073" s="106">
        <v>-8.9700000000000006</v>
      </c>
      <c r="BI2073" s="106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106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106">
        <v>-8.4</v>
      </c>
      <c r="CA2075" s="106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106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74">
        <v>-8.8000000000000007</v>
      </c>
      <c r="BI2077" s="106">
        <v>-8.75</v>
      </c>
      <c r="CA2077" s="106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74">
        <v>-8.85</v>
      </c>
      <c r="BC2078" s="106">
        <v>-8.4499999999999993</v>
      </c>
      <c r="BI2078" s="106">
        <v>-7.95</v>
      </c>
      <c r="BO2078" s="106">
        <v>-8.4499999999999993</v>
      </c>
      <c r="CA2078" s="106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106">
        <v>-7.9</v>
      </c>
      <c r="BU2080" s="74">
        <v>-8.6999999999999993</v>
      </c>
      <c r="CA2080" s="106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74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106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92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106">
        <v>-99.38</v>
      </c>
      <c r="BO2084" s="106">
        <v>-135.80000000000001</v>
      </c>
      <c r="BU2084" s="74">
        <v>-69.05</v>
      </c>
      <c r="CA2084" s="106">
        <v>-66.36</v>
      </c>
      <c r="CM2084" s="106">
        <v>-101</v>
      </c>
      <c r="CS2084" s="74">
        <v>-30.98</v>
      </c>
      <c r="CY2084" s="106">
        <v>-66.25</v>
      </c>
      <c r="DK2084" s="106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106">
        <v>-34.15</v>
      </c>
      <c r="DK2085" s="106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106">
        <v>-33.61</v>
      </c>
      <c r="BI2086" s="106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106">
        <v>-97.05</v>
      </c>
      <c r="BO2088" s="106">
        <v>-34.15</v>
      </c>
      <c r="BU2088" s="74">
        <v>-34.15</v>
      </c>
      <c r="CA2088" s="106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106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106">
        <v>343.2</v>
      </c>
      <c r="BO2090" s="106">
        <v>342.52</v>
      </c>
      <c r="CA2090" s="106">
        <f>421.99+320.08</f>
        <v>742.07</v>
      </c>
      <c r="CM2090" s="106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106">
        <v>-32.020000000000003</v>
      </c>
      <c r="BU2091" s="74">
        <v>-32.85</v>
      </c>
      <c r="CG2091" s="106">
        <v>-33.5</v>
      </c>
      <c r="CM2091" s="106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106">
        <v>-67.94</v>
      </c>
      <c r="BI2092" s="106">
        <v>-60.9</v>
      </c>
      <c r="BO2092" s="106">
        <v>-102.6</v>
      </c>
      <c r="BU2092" s="74">
        <v>-95.05</v>
      </c>
      <c r="CG2092" s="106">
        <v>-67.3</v>
      </c>
      <c r="CM2092" s="106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106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106">
        <v>-17.7</v>
      </c>
      <c r="CS2096" s="74">
        <v>-8.73</v>
      </c>
      <c r="CY2096" s="106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92">
        <v>-29.95</v>
      </c>
      <c r="HM2097" s="106">
        <v>-65.849999999999994</v>
      </c>
      <c r="HP2097" s="92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106">
        <v>-8.4</v>
      </c>
      <c r="BI2098" s="106">
        <v>-15.8</v>
      </c>
      <c r="BO2098" s="106">
        <v>-15.92</v>
      </c>
      <c r="BU2098" s="74">
        <v>-8.6999999999999993</v>
      </c>
      <c r="CG2098" s="106">
        <v>-8.6999999999999993</v>
      </c>
      <c r="CM2098" s="106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106">
        <v>-101.4</v>
      </c>
      <c r="BC2099" s="106">
        <v>-32.049999999999997</v>
      </c>
      <c r="BI2099" s="106">
        <v>-62.64</v>
      </c>
      <c r="BO2099" s="106">
        <v>-127.65</v>
      </c>
      <c r="BU2099" s="74">
        <v>-136.69999999999999</v>
      </c>
      <c r="CA2099" s="106">
        <v>-95.96</v>
      </c>
      <c r="CG2099" s="106">
        <v>-100.71</v>
      </c>
      <c r="CM2099" s="106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106">
        <v>-8.7100000000000009</v>
      </c>
      <c r="BI2100" s="106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106">
        <v>-8.75</v>
      </c>
      <c r="BC2101" s="106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106">
        <v>-8.49</v>
      </c>
      <c r="BC2102" s="106">
        <v>-8.4499999999999993</v>
      </c>
      <c r="BU2102" s="74">
        <v>-8.6999999999999993</v>
      </c>
      <c r="CA2102" s="106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74">
        <v>-8.6</v>
      </c>
      <c r="CA2103" s="106">
        <v>-8.33</v>
      </c>
      <c r="CG2103" s="106">
        <v>-8.4499999999999993</v>
      </c>
      <c r="CM2103" s="106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106">
        <v>-8.5500000000000007</v>
      </c>
      <c r="BU2104" s="74">
        <v>-8.65</v>
      </c>
      <c r="CA2104" s="106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92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106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106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92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74">
        <v>-17.75</v>
      </c>
      <c r="AN2109" s="74">
        <v>-16.2</v>
      </c>
      <c r="BI2109" s="106">
        <v>-31.28</v>
      </c>
      <c r="BO2109" s="106">
        <v>-30.64</v>
      </c>
      <c r="CA2109" s="106">
        <v>-34.299999999999997</v>
      </c>
      <c r="CM2109" s="106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106">
        <v>-33.28</v>
      </c>
      <c r="BG2110" s="42">
        <v>33.57</v>
      </c>
      <c r="BI2110" s="106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92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106">
        <v>354.35</v>
      </c>
      <c r="CG2113" s="106">
        <v>347.4</v>
      </c>
      <c r="CY2113" s="106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106">
        <v>-29.88</v>
      </c>
      <c r="BI2114" s="106">
        <v>-95.54</v>
      </c>
      <c r="BU2114" s="74">
        <v>-66.599999999999994</v>
      </c>
      <c r="CA2114" s="106">
        <v>-68.5</v>
      </c>
      <c r="CG2114" s="106">
        <v>-132.55000000000001</v>
      </c>
      <c r="CM2114" s="106">
        <v>-100.45</v>
      </c>
      <c r="CS2114" s="74">
        <v>-127.32</v>
      </c>
      <c r="CY2114" s="106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106">
        <v>-29.9</v>
      </c>
      <c r="BO2115" s="106">
        <v>-60.16</v>
      </c>
      <c r="BU2115" s="74">
        <v>-66.75</v>
      </c>
      <c r="CA2115" s="106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106">
        <v>-29.42</v>
      </c>
      <c r="BU2117" s="74">
        <v>-33.799999999999997</v>
      </c>
      <c r="CA2117" s="106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106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106">
        <v>361.64</v>
      </c>
      <c r="CM2122" s="106">
        <v>351.32</v>
      </c>
      <c r="CY2122" s="106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106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106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106">
        <v>-32.9</v>
      </c>
      <c r="BO2126" s="106">
        <v>-58.68</v>
      </c>
      <c r="BU2126" s="74">
        <v>-90.15</v>
      </c>
      <c r="CA2126" s="106">
        <v>-90.6</v>
      </c>
      <c r="CG2126" s="106">
        <v>-66.2</v>
      </c>
      <c r="CM2126" s="106">
        <v>-33.6</v>
      </c>
      <c r="CY2126" s="106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106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69">
        <v>-8.66</v>
      </c>
      <c r="BI2130" s="106">
        <v>-7.9</v>
      </c>
      <c r="BO2130" s="106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106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106">
        <v>-32</v>
      </c>
      <c r="BI2132" s="106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106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106">
        <v>-8.0500000000000007</v>
      </c>
      <c r="BO2135" s="106">
        <v>-7.61</v>
      </c>
      <c r="BU2135" s="74">
        <v>-16.350000000000001</v>
      </c>
      <c r="DE2135" s="74">
        <v>-9.35</v>
      </c>
      <c r="DK2135" s="106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106">
        <v>-16.100000000000001</v>
      </c>
      <c r="BI2137" s="106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74">
        <v>-17.690000000000001</v>
      </c>
      <c r="BI2140" s="106">
        <v>-32.1</v>
      </c>
      <c r="BO2140" s="106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106">
        <v>-158.68</v>
      </c>
      <c r="CG2142" s="106">
        <v>-67.8</v>
      </c>
      <c r="CM2142" s="106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74">
        <v>-31.65</v>
      </c>
      <c r="CM2143" s="106">
        <v>-33.65</v>
      </c>
      <c r="CY2143" s="106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106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106">
        <v>-6.77</v>
      </c>
      <c r="DK2148" s="106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106">
        <v>-13.66</v>
      </c>
      <c r="CA2149" s="106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92">
        <v>-156.4</v>
      </c>
      <c r="HL2150" s="42">
        <v>-126.47</v>
      </c>
      <c r="HP2150" s="92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106">
        <v>349.34</v>
      </c>
      <c r="BO2151" s="106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106">
        <f>-8.75-8-7.8</f>
        <v>-24.55</v>
      </c>
      <c r="CA2152" s="106">
        <v>-34.46</v>
      </c>
      <c r="CY2152" s="106">
        <v>-7.21</v>
      </c>
      <c r="DK2152" s="106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106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106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106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106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106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106">
        <v>-15.95</v>
      </c>
      <c r="BO2160" s="106">
        <v>-17.440000000000001</v>
      </c>
      <c r="BU2160" s="74">
        <v>-16.45</v>
      </c>
      <c r="CA2160" s="106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106">
        <v>-17.260000000000002</v>
      </c>
      <c r="CG2161" s="106">
        <v>-17.2</v>
      </c>
      <c r="CM2161" s="106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106">
        <v>-7.41</v>
      </c>
      <c r="BU2162" s="74">
        <v>-8.1999999999999993</v>
      </c>
      <c r="CA2162" s="106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106">
        <v>-8.15</v>
      </c>
      <c r="BC2163" s="106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106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106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106">
        <v>-31.25</v>
      </c>
      <c r="BO2169" s="106">
        <v>-7.75</v>
      </c>
      <c r="CA2169" s="106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106">
        <v>-32.049999999999997</v>
      </c>
      <c r="BC2170" s="106">
        <v>-27.78</v>
      </c>
      <c r="BI2170" s="106">
        <v>-30.06</v>
      </c>
      <c r="BO2170" s="106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106">
        <v>-29.66</v>
      </c>
      <c r="BO2171" s="106">
        <v>-25.66</v>
      </c>
      <c r="BU2171" s="74">
        <v>-34.549999999999997</v>
      </c>
      <c r="CA2171" s="106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106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106">
        <v>-8.1</v>
      </c>
      <c r="BI2173" s="106">
        <v>-7.8</v>
      </c>
      <c r="CA2173" s="106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106">
        <v>-30</v>
      </c>
      <c r="BU2174" s="74">
        <v>-30.2</v>
      </c>
      <c r="CG2174" s="106">
        <v>-103.9</v>
      </c>
      <c r="CM2174" s="106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92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106">
        <v>-7.75</v>
      </c>
      <c r="BU2176" s="74">
        <v>-8.3000000000000007</v>
      </c>
      <c r="CA2176" s="106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106">
        <v>-8.1</v>
      </c>
      <c r="BI2177" s="106">
        <v>-7.7</v>
      </c>
      <c r="BO2177" s="106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386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106">
        <v>-32.15</v>
      </c>
      <c r="BC2180" s="106">
        <v>-29.62</v>
      </c>
      <c r="BI2180" s="106">
        <v>-63.4</v>
      </c>
      <c r="BO2180" s="106">
        <v>-29.48</v>
      </c>
      <c r="BU2180" s="74">
        <v>-128.88999999999999</v>
      </c>
      <c r="CA2180" s="106">
        <v>-103.04</v>
      </c>
      <c r="CG2180" s="106">
        <v>-103.4</v>
      </c>
      <c r="CM2180" s="106">
        <v>-33.65</v>
      </c>
      <c r="CY2180" s="106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106">
        <v>-8.6999999999999993</v>
      </c>
      <c r="CY2182" s="106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106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106">
        <v>-8.1</v>
      </c>
      <c r="BI2184" s="106">
        <v>-7.1</v>
      </c>
      <c r="BO2184" s="106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106">
        <v>-7.7</v>
      </c>
      <c r="BU2187" s="74">
        <v>-8.25</v>
      </c>
      <c r="CA2187" s="106">
        <v>-8.77</v>
      </c>
      <c r="CG2187" s="106">
        <v>-8.6999999999999993</v>
      </c>
      <c r="CM2187" s="106">
        <v>-8.65</v>
      </c>
      <c r="DK2187" s="106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106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106">
        <v>-7.7</v>
      </c>
      <c r="CY2190" s="106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106">
        <v>-32.35</v>
      </c>
      <c r="BU2191" s="74">
        <v>-31.26</v>
      </c>
      <c r="CA2191" s="106">
        <v>-8.69</v>
      </c>
      <c r="CM2191" s="106">
        <v>-16.95</v>
      </c>
      <c r="CS2191" s="74">
        <v>-14.9</v>
      </c>
      <c r="DK2191" s="106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106">
        <v>-34.64</v>
      </c>
      <c r="CM2192" s="106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106">
        <v>360.59</v>
      </c>
      <c r="BC2196" s="106">
        <v>401.67</v>
      </c>
      <c r="BO2196" s="106">
        <v>387.48</v>
      </c>
      <c r="CA2196" s="106">
        <v>403.53</v>
      </c>
      <c r="CM2196" s="106">
        <v>402.72</v>
      </c>
      <c r="CS2196" s="74">
        <v>338.28</v>
      </c>
      <c r="CY2196" s="106">
        <v>319.8</v>
      </c>
      <c r="DE2196" s="74">
        <v>353.42</v>
      </c>
      <c r="DK2196" s="106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106">
        <v>428.65</v>
      </c>
      <c r="CM2197" s="106">
        <v>409.19</v>
      </c>
      <c r="CS2197" s="74">
        <v>339</v>
      </c>
      <c r="DK2197" s="106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106">
        <v>-25.17</v>
      </c>
      <c r="BI2198" s="106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106">
        <v>-23.47</v>
      </c>
      <c r="BI2199" s="106">
        <v>-23.05</v>
      </c>
      <c r="BO2199" s="106">
        <v>-26.65</v>
      </c>
      <c r="CA2199" s="106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106">
        <v>-8.32</v>
      </c>
      <c r="BI2201" s="106">
        <v>-7.7</v>
      </c>
      <c r="BO2201" s="106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106">
        <v>-32.72</v>
      </c>
      <c r="BC2202" s="106">
        <v>-33.36</v>
      </c>
      <c r="BI2202" s="106">
        <v>-30.95</v>
      </c>
      <c r="BO2202" s="106">
        <v>-32.799999999999997</v>
      </c>
      <c r="BU2202" s="74">
        <v>-33.04</v>
      </c>
      <c r="CA2202" s="106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106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106">
        <v>-30.9</v>
      </c>
      <c r="BO2205" s="106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106">
        <v>-67.739999999999995</v>
      </c>
      <c r="BC2206" s="106">
        <v>-66.790000000000006</v>
      </c>
      <c r="BO2206" s="106">
        <v>-64.849999999999994</v>
      </c>
      <c r="CA2206" s="106">
        <v>-64.34</v>
      </c>
      <c r="CM2206" s="106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106">
        <v>-33.840000000000003</v>
      </c>
      <c r="BC2208" s="106">
        <v>-33.43</v>
      </c>
      <c r="BO2208" s="106">
        <v>-32.15</v>
      </c>
      <c r="CA2208" s="106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106">
        <v>-30.3</v>
      </c>
      <c r="CS2209" s="74">
        <v>-136.9</v>
      </c>
      <c r="DE2209" s="74">
        <v>-138</v>
      </c>
      <c r="DK2209" s="106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386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106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106">
        <v>-8.15</v>
      </c>
      <c r="BC2212" s="106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92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106">
        <v>-8.73</v>
      </c>
      <c r="BC2216" s="106">
        <v>-8.44</v>
      </c>
      <c r="BO2216" s="106">
        <v>-8</v>
      </c>
      <c r="BU2216" s="74">
        <v>-8.65</v>
      </c>
      <c r="CA2216" s="106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106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106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106">
        <v>-67.19</v>
      </c>
      <c r="BI2222" s="106">
        <v>-69.78</v>
      </c>
      <c r="BO2222" s="106">
        <v>-130.94999999999999</v>
      </c>
      <c r="CA2222" s="106">
        <v>-32.380000000000003</v>
      </c>
      <c r="CM2222" s="106">
        <v>-66</v>
      </c>
      <c r="DE2222" s="74">
        <v>-69.319999999999993</v>
      </c>
      <c r="DK2222" s="106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106">
        <v>-33.450000000000003</v>
      </c>
      <c r="BI2223" s="106">
        <v>-34.799999999999997</v>
      </c>
      <c r="BO2223" s="106">
        <v>-67.599999999999994</v>
      </c>
      <c r="CA2223" s="106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106">
        <v>-33.53</v>
      </c>
      <c r="BI2225" s="106">
        <v>-34.26</v>
      </c>
      <c r="CS2225" s="74">
        <v>-33.6</v>
      </c>
      <c r="CY2225" s="106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106">
        <v>-7.81</v>
      </c>
      <c r="BI2226" s="106">
        <v>-9.11</v>
      </c>
      <c r="BO2226" s="106">
        <v>-8.25</v>
      </c>
      <c r="BU2226" s="74">
        <v>-7.92</v>
      </c>
      <c r="CA2226" s="106">
        <v>-7.79</v>
      </c>
      <c r="CM2226" s="106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106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106">
        <v>-36.18</v>
      </c>
      <c r="CM2228" s="106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106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106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74">
        <v>320.76</v>
      </c>
      <c r="BC2233" s="106">
        <v>353.86</v>
      </c>
      <c r="BU2233" s="74">
        <v>341</v>
      </c>
      <c r="CA2233" s="106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106">
        <v>-34.85</v>
      </c>
      <c r="BU2234" s="74">
        <v>-34.340000000000003</v>
      </c>
      <c r="CA2234" s="106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106">
        <v>-29.96</v>
      </c>
      <c r="BU2235" s="74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106">
        <v>-34.56</v>
      </c>
      <c r="BC2236" s="106">
        <v>-86.5</v>
      </c>
      <c r="BI2236" s="106">
        <v>-68.36</v>
      </c>
      <c r="BO2236" s="106">
        <v>-68.45</v>
      </c>
      <c r="BU2236" s="74">
        <v>-137.41999999999999</v>
      </c>
      <c r="CA2236" s="106">
        <v>-63.24</v>
      </c>
      <c r="CM2236" s="106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74">
        <v>-35.72</v>
      </c>
      <c r="AR2237" s="74">
        <v>-23.85</v>
      </c>
      <c r="AU2237" s="42">
        <v>34.65</v>
      </c>
      <c r="BC2237" s="106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106">
        <v>-32.46</v>
      </c>
      <c r="CE2237" s="42">
        <v>17.48</v>
      </c>
      <c r="CM2237" s="106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106">
        <v>-34.68</v>
      </c>
      <c r="BU2238" s="74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106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74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106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106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74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106">
        <v>-16.690000000000001</v>
      </c>
      <c r="BO2244" s="106">
        <v>-8</v>
      </c>
      <c r="BU2244" s="74">
        <v>-7.65</v>
      </c>
      <c r="CA2244" s="106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106">
        <v>-6.45</v>
      </c>
      <c r="BC2245" s="106">
        <v>-7.99</v>
      </c>
      <c r="BI2245" s="106">
        <v>-7.29</v>
      </c>
      <c r="BU2245" s="74">
        <v>-8.75</v>
      </c>
      <c r="CA2245" s="106">
        <v>-9</v>
      </c>
      <c r="CM2245" s="106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106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106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106">
        <v>-7.99</v>
      </c>
      <c r="BG2250" s="42">
        <v>-8.1300000000000008</v>
      </c>
      <c r="BO2250" s="106">
        <v>-8.5500000000000007</v>
      </c>
      <c r="BU2250" s="74">
        <v>-8.4700000000000006</v>
      </c>
      <c r="CA2250" s="106">
        <v>-8.6999999999999993</v>
      </c>
      <c r="CG2250" s="106">
        <v>-16.5</v>
      </c>
      <c r="CM2250" s="106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106">
        <v>-35.08</v>
      </c>
      <c r="BO2254" s="106">
        <v>-34.200000000000003</v>
      </c>
      <c r="BU2254" s="74">
        <v>-33.94</v>
      </c>
      <c r="CA2254" s="106">
        <v>-31.82</v>
      </c>
      <c r="CG2254" s="106">
        <v>-68.75</v>
      </c>
      <c r="CM2254" s="106">
        <v>-33.42</v>
      </c>
      <c r="DE2254" s="74">
        <v>-36.36</v>
      </c>
      <c r="DK2254" s="106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106">
        <v>-8.34</v>
      </c>
      <c r="CA2258" s="106">
        <v>-8.9499999999999993</v>
      </c>
      <c r="CG2258" s="106">
        <v>-7.6</v>
      </c>
      <c r="CM2258" s="106">
        <v>-15.54</v>
      </c>
      <c r="CS2258" s="74">
        <v>-15.6</v>
      </c>
      <c r="CY2258" s="106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74">
        <v>-35.6</v>
      </c>
      <c r="AW2259" s="106">
        <v>-30.9</v>
      </c>
      <c r="BO2259" s="106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106">
        <v>-32.96</v>
      </c>
      <c r="BI2260" s="106">
        <v>-33.159999999999997</v>
      </c>
      <c r="BO2260" s="106">
        <v>-34.25</v>
      </c>
      <c r="BU2260" s="74">
        <v>-97.8</v>
      </c>
      <c r="CA2260" s="106">
        <v>-96.78</v>
      </c>
      <c r="CG2260" s="106">
        <v>-69.099999999999994</v>
      </c>
      <c r="CM2260" s="106">
        <v>-35.5</v>
      </c>
      <c r="CS2260" s="74">
        <v>-95.72</v>
      </c>
      <c r="CY2260" s="106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106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106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106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74">
        <v>-35.64</v>
      </c>
      <c r="AN2264" s="74">
        <v>-33.450000000000003</v>
      </c>
      <c r="AW2264" s="106">
        <v>-64.900000000000006</v>
      </c>
      <c r="BC2264" s="106">
        <v>-59.58</v>
      </c>
      <c r="BI2264" s="106">
        <v>-100.52</v>
      </c>
      <c r="BO2264" s="106">
        <v>-34.35</v>
      </c>
      <c r="BU2264" s="74">
        <v>-97.98</v>
      </c>
      <c r="CA2264" s="106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74">
        <v>-17.920000000000002</v>
      </c>
      <c r="CY2265" s="106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106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106">
        <v>-7.97</v>
      </c>
      <c r="BI2267" s="106">
        <v>-35.5</v>
      </c>
      <c r="CG2267" s="106">
        <v>-17.2</v>
      </c>
      <c r="CY2267" s="106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106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106">
        <v>-9.07</v>
      </c>
      <c r="BO2270" s="106">
        <v>-8.6</v>
      </c>
      <c r="BU2270" s="74">
        <v>-7.23</v>
      </c>
      <c r="CE2270" s="42">
        <v>-8.64</v>
      </c>
      <c r="CM2270" s="106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106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106">
        <v>-6.9</v>
      </c>
      <c r="BU2273" s="74">
        <v>-7.43</v>
      </c>
      <c r="CA2273" s="106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74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106">
        <v>353.74</v>
      </c>
      <c r="BO2276" s="106">
        <v>521.08000000000004</v>
      </c>
      <c r="CG2276" s="106">
        <v>408.8</v>
      </c>
      <c r="HP2276" s="92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92">
        <v>-95.1</v>
      </c>
      <c r="HK2278" s="50">
        <v>-366.63</v>
      </c>
      <c r="HL2278" s="42">
        <v>-7.33</v>
      </c>
      <c r="HM2278" s="106">
        <v>-201.25</v>
      </c>
      <c r="HP2278" s="92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106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106">
        <v>-36.04</v>
      </c>
      <c r="BU2282" s="74">
        <v>-35.32</v>
      </c>
      <c r="CA2282" s="106">
        <v>-32.58</v>
      </c>
      <c r="DK2282" s="106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106">
        <v>-15.26</v>
      </c>
      <c r="CG2283" s="106">
        <v>-8.65</v>
      </c>
      <c r="CM2283" s="106">
        <v>-8.6999999999999993</v>
      </c>
      <c r="CS2283" s="74">
        <v>-15.64</v>
      </c>
      <c r="CY2283" s="106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74">
        <v>-8.81</v>
      </c>
      <c r="CA2285" s="106">
        <v>-8.07</v>
      </c>
      <c r="CG2285" s="106">
        <v>-8.6</v>
      </c>
      <c r="CQ2285" s="42">
        <v>-8.4</v>
      </c>
      <c r="CY2285" s="106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106">
        <v>-17.399999999999999</v>
      </c>
      <c r="BC2286" s="106">
        <v>-16.73</v>
      </c>
      <c r="BI2286" s="106">
        <v>-18.04</v>
      </c>
      <c r="BO2286" s="106">
        <v>-17.149999999999999</v>
      </c>
      <c r="BU2286" s="74">
        <v>-17.34</v>
      </c>
      <c r="CA2286" s="106">
        <v>-16.38</v>
      </c>
      <c r="CG2286" s="106">
        <v>-17.3</v>
      </c>
      <c r="CM2286" s="106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74">
        <v>-15.82</v>
      </c>
      <c r="CA2287" s="106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106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106">
        <v>-27.68</v>
      </c>
      <c r="BO2289" s="106">
        <v>-70.459999999999994</v>
      </c>
      <c r="BU2289" s="74">
        <v>-63.18</v>
      </c>
      <c r="BY2289" s="42">
        <v>-8.6300000000000008</v>
      </c>
      <c r="CG2289" s="106">
        <v>-67.25</v>
      </c>
      <c r="CM2289" s="106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106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106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106">
        <v>-62.19</v>
      </c>
      <c r="BO2292" s="106">
        <v>-34.82</v>
      </c>
      <c r="BU2292" s="74">
        <v>-64.599999999999994</v>
      </c>
      <c r="CA2292" s="106">
        <v>-131.32</v>
      </c>
      <c r="CG2292" s="106">
        <v>-104.35</v>
      </c>
      <c r="CS2292" s="74">
        <v>-96.86</v>
      </c>
      <c r="CY2292" s="106">
        <v>-31.52</v>
      </c>
      <c r="DK2292" s="106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106">
        <v>-36.340000000000003</v>
      </c>
      <c r="CA2293" s="106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74">
        <v>-71.52</v>
      </c>
      <c r="AR2294" s="74">
        <v>-34.11</v>
      </c>
      <c r="AW2294" s="106">
        <v>-62.54</v>
      </c>
      <c r="BI2294" s="106">
        <v>-103.66</v>
      </c>
      <c r="BO2294" s="106">
        <v>-104.32</v>
      </c>
      <c r="BU2294" s="74">
        <v>-31.94</v>
      </c>
      <c r="CA2294" s="106">
        <v>-99.52</v>
      </c>
      <c r="CG2294" s="106">
        <v>-64.349999999999994</v>
      </c>
      <c r="CM2294" s="106">
        <v>-27.3</v>
      </c>
      <c r="CS2294" s="74">
        <v>-64.14</v>
      </c>
      <c r="CY2294" s="106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74">
        <v>-35.58</v>
      </c>
      <c r="AN2295" s="74">
        <v>-66.44</v>
      </c>
      <c r="AR2295" s="74">
        <v>-69.8</v>
      </c>
      <c r="AW2295" s="106">
        <v>-31.94</v>
      </c>
      <c r="BI2295" s="106">
        <v>-30.28</v>
      </c>
      <c r="CG2295" s="106">
        <v>-34.6</v>
      </c>
      <c r="CM2295" s="106">
        <v>-67.540000000000006</v>
      </c>
      <c r="DE2295" s="74">
        <v>-69.739999999999995</v>
      </c>
      <c r="DK2295" s="106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106">
        <v>-8.75</v>
      </c>
      <c r="BI2298" s="106">
        <v>-17.52</v>
      </c>
      <c r="BO2298" s="106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106">
        <v>-8.15</v>
      </c>
      <c r="BO2299" s="106">
        <v>-8.4499999999999993</v>
      </c>
      <c r="BU2299" s="74">
        <v>-7.65</v>
      </c>
      <c r="CA2299" s="106">
        <v>-8.43</v>
      </c>
      <c r="CG2299" s="106">
        <v>-8.65</v>
      </c>
      <c r="CM2299" s="106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106">
        <v>-9.23</v>
      </c>
      <c r="BO2303" s="106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74">
        <v>-8.91</v>
      </c>
      <c r="AR2305" s="74">
        <v>-8.59</v>
      </c>
      <c r="CA2305" s="106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106">
        <v>-32.56</v>
      </c>
      <c r="BA2306" s="42">
        <v>-8.8000000000000007</v>
      </c>
      <c r="BI2306" s="106">
        <v>-9.2100000000000009</v>
      </c>
      <c r="BO2306" s="106">
        <v>-34.32</v>
      </c>
      <c r="BU2306" s="74">
        <v>-8.69</v>
      </c>
      <c r="CA2306" s="106">
        <v>-34.32</v>
      </c>
      <c r="CM2306" s="106">
        <v>-17.38</v>
      </c>
      <c r="CS2306" s="74">
        <v>-7.97</v>
      </c>
      <c r="CY2306" s="106">
        <v>-15.3</v>
      </c>
      <c r="DE2306" s="74">
        <v>-7.73</v>
      </c>
      <c r="DK2306" s="106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106">
        <v>-28.82</v>
      </c>
      <c r="BO2307" s="106">
        <v>-34.72</v>
      </c>
      <c r="CA2307" s="106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106">
        <v>367.85</v>
      </c>
      <c r="CG2309" s="106">
        <v>368.5</v>
      </c>
      <c r="CM2309" s="106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106">
        <v>-93.57</v>
      </c>
      <c r="BC2311" s="106">
        <v>-96.35</v>
      </c>
      <c r="BO2311" s="106">
        <v>-172.98</v>
      </c>
      <c r="CA2311" s="106">
        <v>-34.4</v>
      </c>
      <c r="CG2311" s="106">
        <v>-99.5</v>
      </c>
      <c r="CM2311" s="106">
        <v>-131.38</v>
      </c>
      <c r="CS2311" s="74">
        <v>-31.98</v>
      </c>
      <c r="CY2311" s="106">
        <v>-32.28</v>
      </c>
      <c r="DK2311" s="106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106">
        <v>-32.15</v>
      </c>
      <c r="CG2312" s="106">
        <v>-32.200000000000003</v>
      </c>
      <c r="CM2312" s="106">
        <v>-33.659999999999997</v>
      </c>
      <c r="CY2312" s="106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106">
        <v>-7.99</v>
      </c>
      <c r="BG2317" s="42">
        <f>8.65+35.09</f>
        <v>43.74</v>
      </c>
      <c r="BM2317" s="88">
        <v>8.36</v>
      </c>
      <c r="BO2317" s="106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106">
        <v>-17.04</v>
      </c>
      <c r="CQ2317" s="42">
        <f>8.4+34.08</f>
        <v>42.48</v>
      </c>
      <c r="CW2317" s="42">
        <v>8.7799999999999994</v>
      </c>
      <c r="CY2317" s="106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106">
        <v>-8.6300000000000008</v>
      </c>
      <c r="BI2320" s="106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106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92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106">
        <v>410.22</v>
      </c>
      <c r="BO2323" s="106">
        <v>418.62</v>
      </c>
      <c r="BU2323" s="74">
        <v>417.04</v>
      </c>
      <c r="CA2323" s="106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106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106">
        <v>-32.049999999999997</v>
      </c>
      <c r="BI2327" s="106">
        <v>-170.34</v>
      </c>
      <c r="BU2327" s="74">
        <v>-134.63999999999999</v>
      </c>
      <c r="CA2327" s="106">
        <v>-130.82</v>
      </c>
      <c r="CS2327" s="74">
        <v>-30.1</v>
      </c>
      <c r="CY2327" s="106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106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106">
        <v>-33.700000000000003</v>
      </c>
      <c r="BO2330" s="106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106">
        <v>-33.56</v>
      </c>
      <c r="BI2331" s="106">
        <v>-35.68</v>
      </c>
      <c r="BO2331" s="106">
        <v>-30.68</v>
      </c>
      <c r="BU2331" s="74">
        <v>-33.82</v>
      </c>
      <c r="CA2331" s="106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106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106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106">
        <v>-32.520000000000003</v>
      </c>
      <c r="BC2336" s="106">
        <v>-32.200000000000003</v>
      </c>
      <c r="BI2336" s="106">
        <v>-68.08</v>
      </c>
      <c r="BO2336" s="106">
        <v>-32.86</v>
      </c>
      <c r="BU2336" s="74">
        <v>-32.56</v>
      </c>
      <c r="CA2336" s="106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106">
        <v>-7.83</v>
      </c>
      <c r="BU2338" s="74">
        <v>-8.25</v>
      </c>
      <c r="CA2338" s="106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74">
        <v>-8.5299999999999994</v>
      </c>
      <c r="AW2341" s="106">
        <v>-16.75</v>
      </c>
      <c r="BC2341" s="106">
        <v>-16</v>
      </c>
      <c r="BO2341" s="106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106">
        <v>-63.91</v>
      </c>
      <c r="BC2342" s="106">
        <v>-97.25</v>
      </c>
      <c r="BI2342" s="106">
        <v>-66.680000000000007</v>
      </c>
      <c r="BO2342" s="106">
        <v>-161.80000000000001</v>
      </c>
      <c r="BU2342" s="74">
        <v>-97.86</v>
      </c>
      <c r="CA2342" s="106">
        <v>-126.86</v>
      </c>
      <c r="CE2342" s="42">
        <v>-35.1</v>
      </c>
      <c r="CG2342" s="106">
        <v>-34.6</v>
      </c>
      <c r="CM2342" s="106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106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106">
        <v>-34.35</v>
      </c>
      <c r="CA2344" s="106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106">
        <v>-28.84</v>
      </c>
      <c r="BG2345" s="42">
        <f>-8.84-8.77</f>
        <v>-17.61</v>
      </c>
      <c r="BI2345" s="106">
        <v>-8.69</v>
      </c>
      <c r="BO2345" s="106">
        <v>-33.299999999999997</v>
      </c>
      <c r="BU2345" s="74">
        <v>-33.340000000000003</v>
      </c>
      <c r="CA2345" s="106">
        <f>-31.5-7.55</f>
        <v>-39.049999999999997</v>
      </c>
      <c r="CG2345" s="106">
        <f>-8.65-8.6</f>
        <v>-17.25</v>
      </c>
      <c r="CM2345" s="106">
        <v>-14.6</v>
      </c>
      <c r="CS2345" s="74">
        <v>-17.38</v>
      </c>
      <c r="CW2345" s="42">
        <v>-8.7799999999999994</v>
      </c>
      <c r="CY2345" s="106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74">
        <v>-8.09</v>
      </c>
      <c r="CA2347" s="106">
        <v>-16.420000000000002</v>
      </c>
      <c r="CE2347" s="42">
        <v>-8.26</v>
      </c>
      <c r="CG2347" s="106">
        <v>-8.0500000000000007</v>
      </c>
      <c r="CM2347" s="106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106">
        <v>-8.75</v>
      </c>
      <c r="BC2352" s="106">
        <v>-8.09</v>
      </c>
      <c r="BI2352" s="106">
        <v>-26.19</v>
      </c>
      <c r="BO2352" s="106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106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386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106">
        <v>353.44</v>
      </c>
      <c r="BC2356" s="106">
        <v>359.12</v>
      </c>
      <c r="BI2356" s="106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386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106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106">
        <v>-33.76</v>
      </c>
      <c r="BI2361" s="106">
        <v>-35.24</v>
      </c>
      <c r="CF2361" s="69">
        <v>-33.909999999999997</v>
      </c>
      <c r="CM2361" s="106">
        <v>-31.4</v>
      </c>
      <c r="CS2361" s="74">
        <v>-95</v>
      </c>
      <c r="DE2361" s="74">
        <v>-28.9</v>
      </c>
      <c r="DK2361" s="106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386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106">
        <v>-15.7</v>
      </c>
      <c r="BC2365" s="106">
        <v>-15.82</v>
      </c>
      <c r="BI2365" s="106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106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106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106">
        <v>-8.73</v>
      </c>
      <c r="BC2368" s="106">
        <v>-7.87</v>
      </c>
      <c r="BI2368" s="106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106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106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106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106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106">
        <v>142.19999999999999</v>
      </c>
      <c r="BU2377" s="74">
        <v>410.1</v>
      </c>
      <c r="CA2377" s="106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106">
        <v>-6.69</v>
      </c>
      <c r="BI2378" s="106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106">
        <v>-13.7</v>
      </c>
      <c r="BC2379" s="106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106">
        <v>-6.57</v>
      </c>
      <c r="BC2380" s="106">
        <v>-15.24</v>
      </c>
      <c r="BI2380" s="106">
        <v>-7.49</v>
      </c>
      <c r="BO2380" s="106">
        <v>-17.66</v>
      </c>
      <c r="BU2380" s="74">
        <v>-16.32</v>
      </c>
      <c r="CA2380" s="106">
        <v>-8.61</v>
      </c>
      <c r="CG2380" s="106">
        <v>-17.25</v>
      </c>
      <c r="CM2380" s="106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106">
        <v>-30.8</v>
      </c>
      <c r="BC2381" s="106">
        <v>-31.3</v>
      </c>
      <c r="CM2381" s="106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92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106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106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106">
        <v>-15.84</v>
      </c>
      <c r="BI2387" s="106">
        <v>-8.77</v>
      </c>
      <c r="CA2387" s="106">
        <v>-17.27</v>
      </c>
      <c r="DK2387" s="106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106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106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106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106">
        <v>-8.77</v>
      </c>
      <c r="BC2392" s="106">
        <v>-7.97</v>
      </c>
      <c r="BI2392" s="106">
        <v>-7.49</v>
      </c>
      <c r="BO2392" s="106">
        <v>-8.69</v>
      </c>
      <c r="BU2392" s="74">
        <v>-7.59</v>
      </c>
      <c r="CA2392" s="106">
        <v>-8.69</v>
      </c>
      <c r="CG2392" s="106">
        <v>-8.6</v>
      </c>
      <c r="CM2392" s="106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106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106">
        <f>-8.99-8.95</f>
        <v>-17.940000000000001</v>
      </c>
      <c r="CS2395" s="74">
        <f>-8.75-7.63</f>
        <v>-16.38</v>
      </c>
      <c r="CY2395" s="106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106">
        <v>-25.55</v>
      </c>
      <c r="BC2396" s="106">
        <v>-21.91</v>
      </c>
      <c r="BI2396" s="106">
        <v>-23.79</v>
      </c>
      <c r="BO2396" s="106">
        <v>-26.85</v>
      </c>
      <c r="CA2396" s="106">
        <v>-25.47</v>
      </c>
      <c r="CG2396" s="106">
        <v>-25.95</v>
      </c>
      <c r="CM2396" s="106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106">
        <v>-37.130000000000003</v>
      </c>
      <c r="DK2399" s="106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106">
        <v>-7.95</v>
      </c>
      <c r="BI2400" s="106">
        <v>-8.75</v>
      </c>
      <c r="BO2400" s="106">
        <v>-8.58</v>
      </c>
      <c r="BU2400" s="74">
        <v>-7.75</v>
      </c>
      <c r="CA2400" s="106">
        <v>-15.74</v>
      </c>
      <c r="CG2400" s="106">
        <v>-17.2</v>
      </c>
      <c r="CY2400" s="106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106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106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106">
        <v>-30.9</v>
      </c>
      <c r="BO2405" s="106">
        <v>-35.36</v>
      </c>
      <c r="BU2405" s="74">
        <v>-36.24</v>
      </c>
      <c r="CA2405" s="106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106">
        <v>421.9</v>
      </c>
      <c r="BO2407" s="106">
        <v>421.05</v>
      </c>
      <c r="BU2407" s="74">
        <v>427.4</v>
      </c>
      <c r="CY2407" s="106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106">
        <v>-7.97</v>
      </c>
      <c r="BO2408" s="106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106">
        <v>-6.05</v>
      </c>
      <c r="BC2409" s="106">
        <v>-7.93</v>
      </c>
      <c r="BO2409" s="106">
        <v>-18.059999999999999</v>
      </c>
      <c r="BU2409" s="74">
        <v>-69.5</v>
      </c>
      <c r="BY2409" s="42">
        <v>-8.65</v>
      </c>
      <c r="CA2409" s="106">
        <f>-8.81-8.69-8.57</f>
        <v>-26.07</v>
      </c>
      <c r="CM2409" s="106">
        <v>-48.48</v>
      </c>
      <c r="CS2409" s="74">
        <v>-34.08</v>
      </c>
      <c r="CY2409" s="106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106">
        <v>-32.659999999999997</v>
      </c>
      <c r="BI2410" s="106">
        <v>-63.74</v>
      </c>
      <c r="CA2410" s="106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106">
        <v>-69.52</v>
      </c>
      <c r="BO2411" s="106">
        <v>-70.88</v>
      </c>
      <c r="BU2411" s="74">
        <v>-67.72</v>
      </c>
      <c r="CM2411" s="106">
        <v>-16.66</v>
      </c>
      <c r="CY2411" s="106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106">
        <v>-127.46</v>
      </c>
      <c r="BC2412" s="106">
        <v>-127.82</v>
      </c>
      <c r="BI2412" s="106">
        <v>-127.72</v>
      </c>
      <c r="BO2412" s="106">
        <v>-177.04</v>
      </c>
      <c r="BU2412" s="74">
        <v>-157.32</v>
      </c>
      <c r="CA2412" s="106">
        <v>-169.4</v>
      </c>
      <c r="CG2412" s="106">
        <v>-173.55</v>
      </c>
      <c r="CM2412" s="106">
        <v>-131.28</v>
      </c>
      <c r="CQ2412" s="42">
        <f>-34.46-34.56</f>
        <v>-69.02</v>
      </c>
      <c r="CS2412" s="74">
        <f>-30.82-29.62</f>
        <v>-60.44</v>
      </c>
      <c r="CY2412" s="106">
        <v>-65.819999999999993</v>
      </c>
      <c r="DE2412" s="74">
        <v>-66.680000000000007</v>
      </c>
      <c r="DK2412" s="106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106">
        <v>-34.64</v>
      </c>
      <c r="CY2414" s="106">
        <v>-34.86</v>
      </c>
      <c r="DE2414" s="74">
        <v>-34.82</v>
      </c>
      <c r="DK2414" s="106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74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106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106">
        <v>-25.63</v>
      </c>
      <c r="BO2418" s="106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106">
        <v>354.24</v>
      </c>
      <c r="BC2419" s="106">
        <v>339.54</v>
      </c>
      <c r="BI2419" s="106">
        <v>205.46</v>
      </c>
      <c r="BO2419" s="106">
        <v>334.22</v>
      </c>
      <c r="CA2419" s="106">
        <v>337.7</v>
      </c>
      <c r="CG2419" s="106">
        <v>418.45</v>
      </c>
      <c r="CM2419" s="106">
        <v>393.4</v>
      </c>
      <c r="CS2419" s="74">
        <v>405.5</v>
      </c>
      <c r="CY2419" s="106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106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106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106">
        <v>-17.62</v>
      </c>
      <c r="BI2427" s="106">
        <v>-14.16</v>
      </c>
      <c r="BO2427" s="106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106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74">
        <v>-8.33</v>
      </c>
      <c r="CA2429" s="106">
        <v>-8.73</v>
      </c>
      <c r="CG2429" s="106">
        <v>-8.6999999999999993</v>
      </c>
      <c r="CM2429" s="106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106">
        <v>405.5</v>
      </c>
      <c r="CG2431" s="106">
        <v>436.05</v>
      </c>
      <c r="CM2431" s="106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106">
        <v>-30.36</v>
      </c>
      <c r="BC2433" s="106">
        <v>-29.78</v>
      </c>
      <c r="BI2433" s="106">
        <v>-52.32</v>
      </c>
      <c r="BO2433" s="106">
        <v>-35.479999999999997</v>
      </c>
      <c r="BU2433" s="74">
        <v>-40.770000000000003</v>
      </c>
      <c r="CA2433" s="106">
        <v>-24.31</v>
      </c>
      <c r="CG2433" s="106">
        <v>-28.05</v>
      </c>
      <c r="CM2433" s="106">
        <v>-24.8</v>
      </c>
      <c r="CS2433" s="74">
        <v>-30.18</v>
      </c>
      <c r="CY2433" s="106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106">
        <v>-31.86</v>
      </c>
      <c r="BI2434" s="106">
        <v>-35.58</v>
      </c>
      <c r="BO2434" s="106">
        <v>-35.68</v>
      </c>
      <c r="CG2434" s="106">
        <v>-33.6</v>
      </c>
      <c r="CM2434" s="106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106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74">
        <v>-17.84</v>
      </c>
      <c r="AR2438" s="74">
        <v>-17.239999999999998</v>
      </c>
      <c r="AW2438" s="106">
        <v>-16.28</v>
      </c>
      <c r="BC2438" s="106">
        <v>-14.92</v>
      </c>
      <c r="BI2438" s="106">
        <v>-8.93</v>
      </c>
      <c r="BO2438" s="106">
        <v>-8.4700000000000006</v>
      </c>
      <c r="BU2438" s="74">
        <v>-9.15</v>
      </c>
      <c r="CA2438" s="106">
        <v>-8.75</v>
      </c>
      <c r="CG2438" s="106">
        <v>-8.4499999999999993</v>
      </c>
      <c r="CM2438" s="106">
        <v>-16.55</v>
      </c>
      <c r="CS2438" s="74">
        <v>-15.88</v>
      </c>
      <c r="CY2438" s="106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106">
        <f>-31.78-31.52</f>
        <v>-63.3</v>
      </c>
      <c r="CA2439" s="106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106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106">
        <v>-1.1100000000000001</v>
      </c>
      <c r="CM2441" s="106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106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106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106">
        <v>-8.7100000000000009</v>
      </c>
      <c r="CM2444" s="106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74">
        <v>-9.01</v>
      </c>
      <c r="AW2445" s="106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74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106">
        <v>-34.159999999999997</v>
      </c>
      <c r="CG2448" s="106">
        <v>-33.700000000000003</v>
      </c>
      <c r="CM2448" s="106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106">
        <v>-34</v>
      </c>
      <c r="BC2450" s="106">
        <v>-30.44</v>
      </c>
      <c r="BI2450" s="106">
        <v>-99.06</v>
      </c>
      <c r="BO2450" s="106">
        <v>-106.8</v>
      </c>
      <c r="BU2450" s="74">
        <v>-66.760000000000005</v>
      </c>
      <c r="CA2450" s="106">
        <v>-102.14</v>
      </c>
      <c r="CG2450" s="106">
        <v>-64.7</v>
      </c>
      <c r="CM2450" s="106">
        <v>-99.85</v>
      </c>
      <c r="CS2450" s="74">
        <v>-33.4</v>
      </c>
      <c r="CY2450" s="106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106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106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106">
        <v>-31.5</v>
      </c>
      <c r="BC2457" s="106">
        <v>-29.46</v>
      </c>
      <c r="BI2457" s="106">
        <v>-35.28</v>
      </c>
      <c r="BO2457" s="106">
        <v>-35.659999999999997</v>
      </c>
      <c r="CA2457" s="106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106">
        <v>364.56</v>
      </c>
      <c r="BC2458" s="106">
        <v>381.6</v>
      </c>
      <c r="CG2458" s="106">
        <f>36.05+338.25</f>
        <v>374.3</v>
      </c>
      <c r="CM2458" s="106">
        <f>424.2+354.7</f>
        <v>778.9</v>
      </c>
      <c r="CY2458" s="106">
        <v>336.72</v>
      </c>
      <c r="DE2458" s="74">
        <v>339.54</v>
      </c>
      <c r="DK2458" s="106">
        <v>331.9</v>
      </c>
      <c r="DP2458" s="74">
        <v>375.65</v>
      </c>
      <c r="GQ2458" s="92">
        <v>519.33000000000004</v>
      </c>
      <c r="HP2458" s="92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106">
        <v>-33.340000000000003</v>
      </c>
      <c r="BO2459" s="106">
        <v>-34.6</v>
      </c>
      <c r="CM2459" s="106">
        <v>-32.950000000000003</v>
      </c>
      <c r="CS2459" s="74">
        <v>-32.28</v>
      </c>
      <c r="CY2459" s="106">
        <v>-35.42</v>
      </c>
      <c r="DK2459" s="106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106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106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386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386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386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74">
        <v>-18.18</v>
      </c>
      <c r="CA2465" s="106">
        <v>-34.14</v>
      </c>
      <c r="CG2465" s="106">
        <v>-33.6</v>
      </c>
      <c r="DK2465" s="106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106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106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106">
        <v>-8.3699999999999992</v>
      </c>
      <c r="BU2472" s="74">
        <v>-8.9700000000000006</v>
      </c>
      <c r="CA2472" s="106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106">
        <v>-9.33</v>
      </c>
      <c r="BO2473" s="106">
        <v>-8.41</v>
      </c>
      <c r="CG2473" s="106">
        <v>-8.4</v>
      </c>
      <c r="CM2473" s="106">
        <f>-8.25-8.85</f>
        <v>-17.100000000000001</v>
      </c>
      <c r="CS2473" s="74">
        <v>-7.85</v>
      </c>
      <c r="HF2473" s="92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106">
        <v>-7.59</v>
      </c>
      <c r="CA2475" s="106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106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106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106">
        <v>-53.75</v>
      </c>
      <c r="BG2480" s="42">
        <v>-32.58</v>
      </c>
      <c r="BI2480" s="106">
        <v>-21.17</v>
      </c>
      <c r="BU2480" s="74">
        <v>-133.62</v>
      </c>
      <c r="CA2480" s="106">
        <v>-34.1</v>
      </c>
      <c r="CG2480" s="106">
        <v>-33.5</v>
      </c>
      <c r="CS2480" s="74">
        <v>-29.96</v>
      </c>
      <c r="DK2480" s="106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106">
        <v>-32.86</v>
      </c>
      <c r="BC2483" s="106">
        <v>-30.32</v>
      </c>
      <c r="BO2483" s="106">
        <v>-34.42</v>
      </c>
      <c r="BU2483" s="74">
        <v>-33.94</v>
      </c>
      <c r="CA2483" s="106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106">
        <v>-31.84</v>
      </c>
      <c r="BU2484" s="74">
        <v>-33.36</v>
      </c>
      <c r="CA2484" s="106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92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74">
        <v>-3.98</v>
      </c>
      <c r="CA2486" s="106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106">
        <v>-31.14</v>
      </c>
      <c r="BO2488" s="106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106">
        <v>-7.49</v>
      </c>
      <c r="BU2491" s="74">
        <v>-8.09</v>
      </c>
      <c r="CA2491" s="106">
        <v>-7.51</v>
      </c>
      <c r="CG2491" s="106">
        <v>-8.4499999999999993</v>
      </c>
      <c r="CM2491" s="106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106">
        <v>-7.39</v>
      </c>
      <c r="BU2493" s="74">
        <v>-8.01</v>
      </c>
      <c r="CA2493" s="106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106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106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106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92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106">
        <v>-8.1300000000000008</v>
      </c>
      <c r="BO2499" s="106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106">
        <v>-16.36</v>
      </c>
      <c r="BC2500" s="106">
        <v>-14.78</v>
      </c>
      <c r="BM2500" s="88">
        <v>-8.66</v>
      </c>
      <c r="BO2500" s="106">
        <v>-8.59</v>
      </c>
      <c r="BU2500" s="74">
        <v>-15.4</v>
      </c>
      <c r="CA2500" s="106">
        <v>-17.5</v>
      </c>
      <c r="CG2500" s="106">
        <v>-16.850000000000001</v>
      </c>
      <c r="CM2500" s="106">
        <v>-15.8</v>
      </c>
      <c r="DK2500" s="106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74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106">
        <v>-32</v>
      </c>
      <c r="BU2502" s="74">
        <v>-33.299999999999997</v>
      </c>
      <c r="CA2502" s="106">
        <v>-32.96</v>
      </c>
      <c r="CG2502" s="106">
        <v>-33.65</v>
      </c>
      <c r="CM2502" s="106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106">
        <v>-8.35</v>
      </c>
      <c r="BC2508" s="106">
        <v>-7.93</v>
      </c>
      <c r="BM2508" s="88">
        <v>-8.42</v>
      </c>
      <c r="BU2508" s="74">
        <v>-16.14</v>
      </c>
      <c r="CA2508" s="106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74">
        <v>-9.1</v>
      </c>
      <c r="BC2509" s="106">
        <v>-16.079999999999998</v>
      </c>
      <c r="CG2509" s="106">
        <v>-16.7</v>
      </c>
      <c r="DE2509" s="74">
        <v>-16.8</v>
      </c>
      <c r="DK2509" s="106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106">
        <v>-7.85</v>
      </c>
      <c r="CM2511" s="106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106">
        <v>-33.979999999999997</v>
      </c>
      <c r="BC2513" s="106">
        <v>-29.36</v>
      </c>
      <c r="BU2513" s="74">
        <v>-33.799999999999997</v>
      </c>
      <c r="CA2513" s="106">
        <v>-67.040000000000006</v>
      </c>
      <c r="CG2513" s="106">
        <v>-103.35</v>
      </c>
      <c r="CS2513" s="74">
        <v>-93.56</v>
      </c>
      <c r="CY2513" s="106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106">
        <v>-34.82</v>
      </c>
      <c r="CG2518" s="106">
        <v>-33.5</v>
      </c>
      <c r="CM2518" s="106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106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92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74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106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106">
        <v>-101.28</v>
      </c>
      <c r="CR2529" s="69">
        <v>-33.97</v>
      </c>
      <c r="CY2529" s="106">
        <v>-34.76</v>
      </c>
      <c r="DK2529" s="106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106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106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106">
        <v>-7.99</v>
      </c>
      <c r="BI2534" s="106">
        <v>-7.76</v>
      </c>
      <c r="BU2534" s="74">
        <v>-7.91</v>
      </c>
      <c r="CA2534" s="106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106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106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106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106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106">
        <v>-8.77</v>
      </c>
      <c r="BI2544" s="106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106">
        <v>137.03</v>
      </c>
      <c r="BO2545" s="106">
        <v>345.52</v>
      </c>
      <c r="BU2545" s="74">
        <v>194.63</v>
      </c>
      <c r="CA2545" s="106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74">
        <v>-9</v>
      </c>
      <c r="CA2546" s="106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92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106">
        <v>-29.94</v>
      </c>
      <c r="BI2549" s="106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106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106">
        <v>-8.0299999999999994</v>
      </c>
      <c r="BO2554" s="106">
        <v>-14.83</v>
      </c>
      <c r="CA2554" s="106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106">
        <v>-8.35</v>
      </c>
      <c r="BC2557" s="106">
        <v>-7.33</v>
      </c>
      <c r="BI2557" s="106">
        <v>-8.74</v>
      </c>
      <c r="BO2557" s="106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82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106">
        <v>-34.9</v>
      </c>
      <c r="BO2561" s="106">
        <v>-33</v>
      </c>
      <c r="BU2561" s="74">
        <v>-67.13</v>
      </c>
      <c r="CA2561" s="106">
        <v>-33.72</v>
      </c>
      <c r="CG2561" s="106">
        <v>-33.549999999999997</v>
      </c>
      <c r="CM2561" s="106">
        <v>-64.75</v>
      </c>
      <c r="CS2561" s="74">
        <v>-102.32</v>
      </c>
      <c r="CY2561" s="106">
        <v>-35.200000000000003</v>
      </c>
      <c r="DE2561" s="74">
        <v>-68.38</v>
      </c>
      <c r="DK2561" s="106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106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106">
        <v>-59.18</v>
      </c>
      <c r="BI2564" s="106">
        <v>-69.62</v>
      </c>
      <c r="BO2564" s="106">
        <v>-131.72999999999999</v>
      </c>
      <c r="BU2564" s="74">
        <v>-64.23</v>
      </c>
      <c r="CA2564" s="106">
        <v>-67</v>
      </c>
      <c r="CS2564" s="74">
        <v>-68.14</v>
      </c>
      <c r="CY2564" s="106">
        <v>-34.04</v>
      </c>
      <c r="DE2564" s="74">
        <v>-34.159999999999997</v>
      </c>
      <c r="DK2564" s="106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106">
        <v>-6.99</v>
      </c>
      <c r="BI2565" s="106">
        <v>-8.84</v>
      </c>
      <c r="BO2565" s="106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106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106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74">
        <v>-8.65</v>
      </c>
      <c r="AN2569" s="74">
        <v>-8</v>
      </c>
      <c r="AR2569" s="74">
        <v>-13.3</v>
      </c>
      <c r="AW2569" s="106">
        <v>-16.54</v>
      </c>
      <c r="BC2569" s="106">
        <v>-22.13</v>
      </c>
      <c r="BI2569" s="106">
        <v>-8.69</v>
      </c>
      <c r="BO2569" s="106">
        <v>-41.1</v>
      </c>
      <c r="BU2569" s="74">
        <v>-6.45</v>
      </c>
      <c r="CY2569" s="106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106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106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74">
        <v>-8.5500000000000007</v>
      </c>
      <c r="AR2575" s="74">
        <v>-7.35</v>
      </c>
      <c r="BC2575" s="106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106">
        <v>322.32</v>
      </c>
      <c r="BU2578" s="74">
        <v>213.1</v>
      </c>
      <c r="CA2578" s="106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106">
        <f>-33.42-7.85</f>
        <v>-41.27</v>
      </c>
      <c r="BC2580" s="106">
        <v>-7.81</v>
      </c>
      <c r="BI2580" s="106">
        <f>-33.33-8.98</f>
        <v>-42.31</v>
      </c>
      <c r="BN2580" s="69">
        <v>-25.32</v>
      </c>
      <c r="BS2580" s="42">
        <v>-8.77</v>
      </c>
      <c r="BU2580" s="74">
        <v>-35.57</v>
      </c>
      <c r="CA2580" s="106">
        <v>-34.39</v>
      </c>
      <c r="CG2580" s="106">
        <v>-25.9</v>
      </c>
      <c r="CM2580" s="106">
        <v>-31.95</v>
      </c>
      <c r="CS2580" s="74">
        <v>-25.81</v>
      </c>
      <c r="CY2580" s="106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106">
        <v>-8.65</v>
      </c>
      <c r="BO2581" s="106">
        <v>-8.31</v>
      </c>
      <c r="BU2581" s="74">
        <v>-8.98</v>
      </c>
      <c r="CA2581" s="106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106">
        <v>-13.84</v>
      </c>
      <c r="BC2582" s="106">
        <v>-14.16</v>
      </c>
      <c r="BI2582" s="106">
        <v>-16.95</v>
      </c>
      <c r="BN2582" s="69">
        <v>-25.33</v>
      </c>
      <c r="BU2582" s="74">
        <v>-26.07</v>
      </c>
      <c r="CA2582" s="106">
        <v>-17.579999999999998</v>
      </c>
      <c r="CG2582" s="106">
        <v>-17.5</v>
      </c>
      <c r="CM2582" s="106">
        <v>-16.55</v>
      </c>
      <c r="CS2582" s="74">
        <v>-8.66</v>
      </c>
      <c r="CY2582" s="106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386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106">
        <v>-32.68</v>
      </c>
      <c r="BC2586" s="106">
        <v>-28.92</v>
      </c>
      <c r="BI2586" s="106">
        <v>-69.47</v>
      </c>
      <c r="BO2586" s="106">
        <v>-67.97</v>
      </c>
      <c r="BU2586" s="74">
        <v>-30.4</v>
      </c>
      <c r="CA2586" s="106">
        <v>-68.84</v>
      </c>
      <c r="CG2586" s="106">
        <v>-33.549999999999997</v>
      </c>
      <c r="CM2586" s="106">
        <v>-34.159999999999997</v>
      </c>
      <c r="CS2586" s="74">
        <v>-67.25</v>
      </c>
      <c r="CY2586" s="106">
        <v>-32.78</v>
      </c>
      <c r="DE2586" s="74">
        <v>-66.180000000000007</v>
      </c>
      <c r="DK2586" s="106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106">
        <v>-34.6</v>
      </c>
      <c r="BU2587" s="74">
        <v>-35.5</v>
      </c>
      <c r="CA2587" s="106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92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106">
        <v>-29.74</v>
      </c>
      <c r="BI2589" s="106">
        <v>-30.75</v>
      </c>
      <c r="BU2589" s="74">
        <v>-35.869999999999997</v>
      </c>
      <c r="CA2589" s="106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106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74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106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106">
        <v>-3.18</v>
      </c>
      <c r="CY2594" s="106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106">
        <v>-30.74</v>
      </c>
      <c r="CM2595" s="106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106">
        <v>-17.34</v>
      </c>
      <c r="DE2596" s="74">
        <v>-33.42</v>
      </c>
      <c r="DK2596" s="106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106">
        <v>-8.3000000000000007</v>
      </c>
      <c r="CS2598" s="74">
        <v>-8.3800000000000008</v>
      </c>
      <c r="CY2598" s="106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106">
        <v>201.19</v>
      </c>
      <c r="BI2599" s="106">
        <v>203.45</v>
      </c>
      <c r="BO2599" s="106">
        <v>230.67</v>
      </c>
      <c r="BU2599" s="74">
        <v>202.96</v>
      </c>
      <c r="CA2599" s="106">
        <v>191.45</v>
      </c>
      <c r="DK2599" s="106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106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106">
        <v>-8.31</v>
      </c>
      <c r="BC2601" s="106">
        <v>-7.61</v>
      </c>
      <c r="BO2601" s="106">
        <v>-8.51</v>
      </c>
      <c r="BU2601" s="74">
        <v>-8.81</v>
      </c>
      <c r="CG2601" s="106">
        <v>-8.35</v>
      </c>
      <c r="CM2601" s="106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74">
        <v>-17.3</v>
      </c>
      <c r="AW2602" s="106">
        <v>-24.29</v>
      </c>
      <c r="BC2602" s="106">
        <v>-34.630000000000003</v>
      </c>
      <c r="BI2602" s="106">
        <v>-25.5</v>
      </c>
      <c r="BO2602" s="106">
        <v>-15.46</v>
      </c>
      <c r="BU2602" s="74">
        <v>-25.43</v>
      </c>
      <c r="CA2602" s="106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106">
        <v>178.01</v>
      </c>
      <c r="DU2603" s="106">
        <v>132.59</v>
      </c>
      <c r="HF2603" s="92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92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106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106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106">
        <v>-5.61</v>
      </c>
      <c r="BU2609" s="74">
        <v>-8.4499999999999993</v>
      </c>
      <c r="CG2609" s="106">
        <v>-8.4</v>
      </c>
      <c r="CM2609" s="106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106">
        <v>-7.49</v>
      </c>
      <c r="BO2612" s="106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74">
        <v>-8.75</v>
      </c>
      <c r="AR2613" s="74">
        <v>-6.95</v>
      </c>
      <c r="BI2613" s="106">
        <v>-8.5</v>
      </c>
      <c r="CY2613" s="106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106">
        <v>-8.77</v>
      </c>
      <c r="BC2614" s="106">
        <v>-7.41</v>
      </c>
      <c r="BI2614" s="106">
        <v>-16.95</v>
      </c>
      <c r="BO2614" s="106">
        <v>-8.1999999999999993</v>
      </c>
      <c r="CG2614" s="106">
        <v>-8.4</v>
      </c>
      <c r="CM2614" s="106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106">
        <v>-9.23</v>
      </c>
      <c r="BO2615" s="106">
        <v>-8.2799999999999994</v>
      </c>
      <c r="BU2615" s="74">
        <v>-8.5</v>
      </c>
      <c r="CA2615" s="106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106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106">
        <v>-32.090000000000003</v>
      </c>
      <c r="BI2618" s="106">
        <f>-33.95-33.85</f>
        <v>-67.8</v>
      </c>
      <c r="BO2618" s="106">
        <v>-29.3</v>
      </c>
      <c r="CA2618" s="106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106">
        <v>168.5</v>
      </c>
      <c r="BI2621" s="106">
        <v>207.57</v>
      </c>
      <c r="DK2621" s="106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106">
        <v>-34.979999999999997</v>
      </c>
      <c r="BU2623" s="74">
        <v>-135.81</v>
      </c>
      <c r="CA2623" s="106">
        <v>-63.4</v>
      </c>
      <c r="CG2623" s="106">
        <v>-138.15</v>
      </c>
      <c r="CM2623" s="106">
        <v>-99.8</v>
      </c>
      <c r="CY2623" s="106">
        <v>-34.1</v>
      </c>
      <c r="DE2623" s="74">
        <v>-33.9</v>
      </c>
      <c r="DK2623" s="106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106">
        <v>-34.71</v>
      </c>
      <c r="BI2624" s="106">
        <v>-104.77</v>
      </c>
      <c r="BO2624" s="106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106">
        <v>-16.84</v>
      </c>
      <c r="DK2625" s="106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106">
        <v>-23.49</v>
      </c>
      <c r="BC2626" s="106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106">
        <v>353.55</v>
      </c>
      <c r="BI2627" s="106">
        <v>308.66000000000003</v>
      </c>
      <c r="BU2627" s="74">
        <v>137.24</v>
      </c>
      <c r="CA2627" s="106">
        <v>150.43</v>
      </c>
      <c r="EA2627" s="74">
        <v>266.95999999999998</v>
      </c>
      <c r="HF2627" s="92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106">
        <v>-8.57</v>
      </c>
      <c r="BO2628" s="106">
        <v>-8.1999999999999993</v>
      </c>
      <c r="BU2628" s="74">
        <v>-9.09</v>
      </c>
      <c r="CA2628" s="106">
        <v>-8.15</v>
      </c>
      <c r="CG2628" s="106">
        <v>-8.6999999999999993</v>
      </c>
      <c r="CM2628" s="106">
        <v>-8.25</v>
      </c>
      <c r="CS2628" s="74">
        <v>-8.3699999999999992</v>
      </c>
      <c r="CY2628" s="106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106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74">
        <v>-17.5</v>
      </c>
      <c r="AN2632" s="74">
        <v>-13.65</v>
      </c>
      <c r="AU2632" s="42">
        <v>-34.78</v>
      </c>
      <c r="BF2632" s="115">
        <v>-28.95</v>
      </c>
      <c r="BI2632" s="106">
        <v>-35.85</v>
      </c>
      <c r="BR2632" s="115">
        <v>-33.704999999999998</v>
      </c>
      <c r="BX2632" s="182">
        <v>-33.74</v>
      </c>
      <c r="CC2632" s="126">
        <v>-34.520000000000003</v>
      </c>
      <c r="CE2632" s="42">
        <v>-8.6999999999999993</v>
      </c>
      <c r="CG2632" s="106">
        <v>-8.75</v>
      </c>
      <c r="CY2632" s="106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106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92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106">
        <v>-68.95</v>
      </c>
      <c r="BU2636" s="74">
        <v>-69.290000000000006</v>
      </c>
      <c r="CA2636" s="106">
        <v>-66.39</v>
      </c>
      <c r="CM2636" s="106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106">
        <v>-8.81</v>
      </c>
      <c r="BI2637" s="106">
        <v>-8.5500000000000007</v>
      </c>
      <c r="BO2637" s="106">
        <v>-8.15</v>
      </c>
      <c r="BU2637" s="74">
        <v>-8.24</v>
      </c>
      <c r="CA2637" s="106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106">
        <v>-8.8000000000000007</v>
      </c>
      <c r="BI2638" s="106">
        <v>-8.44</v>
      </c>
      <c r="BO2638" s="106">
        <v>-9.5</v>
      </c>
      <c r="BU2638" s="74">
        <v>-17.62</v>
      </c>
      <c r="CA2638" s="106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106">
        <v>-8.74</v>
      </c>
      <c r="BU2641" s="74">
        <v>-17.97</v>
      </c>
      <c r="CG2641" s="106">
        <v>-8.65</v>
      </c>
      <c r="CY2641" s="106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106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106">
        <v>517.05999999999995</v>
      </c>
      <c r="BU2644" s="74">
        <v>298.95999999999998</v>
      </c>
      <c r="CA2644" s="106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74">
        <v>-36.83</v>
      </c>
      <c r="CM2645" s="106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74">
        <v>199.58</v>
      </c>
      <c r="CA2655" s="106">
        <v>165.94</v>
      </c>
      <c r="CG2655" s="106">
        <v>506.92</v>
      </c>
      <c r="DE2655" s="74">
        <v>402.86</v>
      </c>
      <c r="DK2655" s="106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106">
        <v>-33.450000000000003</v>
      </c>
      <c r="BO2658" s="106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106">
        <v>-34.14</v>
      </c>
      <c r="BU2659" s="74">
        <v>-32.72</v>
      </c>
      <c r="CG2659" s="106">
        <v>-35.049999999999997</v>
      </c>
      <c r="CY2659" s="106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106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106">
        <v>-8.75</v>
      </c>
      <c r="BU2661" s="74">
        <v>-8.9</v>
      </c>
      <c r="CA2661" s="106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106">
        <v>-30.5</v>
      </c>
      <c r="BC2662" s="106">
        <v>-35.25</v>
      </c>
      <c r="BI2662" s="106">
        <v>-9</v>
      </c>
      <c r="BO2662" s="106">
        <v>-127.77</v>
      </c>
      <c r="BU2662" s="74">
        <v>-40.74</v>
      </c>
      <c r="CA2662" s="106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106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106">
        <v>-32.85</v>
      </c>
      <c r="BI2666" s="106">
        <v>-172.41</v>
      </c>
      <c r="BO2666" s="106">
        <v>-129.47999999999999</v>
      </c>
      <c r="BU2666" s="74">
        <v>-131.63999999999999</v>
      </c>
      <c r="CA2666" s="106">
        <v>-100.75</v>
      </c>
      <c r="CG2666" s="106">
        <v>-95.2</v>
      </c>
      <c r="CM2666" s="106">
        <v>-100.05</v>
      </c>
      <c r="DK2666" s="106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106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106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106">
        <v>-8.89</v>
      </c>
      <c r="CM2670" s="106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106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106">
        <v>-64.8</v>
      </c>
      <c r="BC2672" s="106">
        <v>-129.07</v>
      </c>
      <c r="BO2672" s="106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106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106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106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106">
        <v>-8.99</v>
      </c>
      <c r="BO2681" s="106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106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92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106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106">
        <v>-31.45</v>
      </c>
      <c r="BI2686" s="106">
        <v>-34.32</v>
      </c>
      <c r="BO2686" s="106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106">
        <v>-18.04</v>
      </c>
      <c r="BI2687" s="106">
        <v>-18.399999999999999</v>
      </c>
      <c r="CA2687" s="106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106">
        <v>-8.4</v>
      </c>
      <c r="BC2688" s="106">
        <v>-17.64</v>
      </c>
      <c r="BI2688" s="106">
        <v>-16.95</v>
      </c>
      <c r="BO2688" s="106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74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82">
        <v>33.085000000000001</v>
      </c>
      <c r="CJ2692" s="182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106">
        <v>-15.61</v>
      </c>
      <c r="BU2693" s="74">
        <v>-17.100000000000001</v>
      </c>
      <c r="CA2693" s="106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386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106">
        <v>270.69</v>
      </c>
      <c r="BC2695" s="106">
        <v>518.79999999999995</v>
      </c>
      <c r="BO2695" s="106">
        <v>501.09</v>
      </c>
      <c r="CY2695" s="106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92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92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106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82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106">
        <v>-16.850000000000001</v>
      </c>
      <c r="BC2701" s="106">
        <v>-17.16</v>
      </c>
      <c r="BI2701" s="106">
        <v>-17</v>
      </c>
      <c r="BO2701" s="106">
        <v>-16</v>
      </c>
      <c r="BU2701" s="74">
        <v>-15.87</v>
      </c>
      <c r="CA2701" s="106">
        <v>-17.329999999999998</v>
      </c>
      <c r="CG2701" s="106">
        <v>-15.95</v>
      </c>
      <c r="CM2701" s="106">
        <v>-16.45</v>
      </c>
      <c r="CS2701" s="74">
        <v>-34.57</v>
      </c>
      <c r="CY2701" s="106">
        <v>-17.309999999999999</v>
      </c>
      <c r="DE2701" s="74">
        <v>-17.12</v>
      </c>
      <c r="DK2701" s="106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74">
        <v>-34.75</v>
      </c>
      <c r="AN2702" s="74">
        <v>-34.590000000000003</v>
      </c>
      <c r="AR2702" s="74">
        <v>-33.479999999999997</v>
      </c>
      <c r="AW2702" s="106">
        <v>-34.049999999999997</v>
      </c>
      <c r="BC2702" s="106">
        <v>-35.409999999999997</v>
      </c>
      <c r="BI2702" s="106">
        <v>-100.96</v>
      </c>
      <c r="BO2702" s="106">
        <v>-103.46</v>
      </c>
      <c r="BU2702" s="74">
        <v>-33.65</v>
      </c>
      <c r="DE2702" s="74">
        <v>-32.46</v>
      </c>
      <c r="DK2702" s="106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106">
        <v>-33.44</v>
      </c>
      <c r="DE2703" s="74">
        <v>-34.81</v>
      </c>
      <c r="DK2703" s="106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106">
        <v>-33.1</v>
      </c>
      <c r="CY2704" s="106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106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106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82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106">
        <v>-9.85</v>
      </c>
      <c r="BU2708" s="74">
        <v>-7.34</v>
      </c>
      <c r="CG2708" s="106">
        <v>-8.69</v>
      </c>
      <c r="CM2708" s="106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386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74">
        <v>-34.700000000000003</v>
      </c>
      <c r="AW2712" s="106">
        <v>-33.950000000000003</v>
      </c>
      <c r="BC2712" s="106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106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106">
        <v>-17.13</v>
      </c>
      <c r="BC2714" s="106">
        <v>-17.98</v>
      </c>
      <c r="BO2714" s="106">
        <v>-35.14</v>
      </c>
      <c r="CA2714" s="106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106">
        <v>-15.8</v>
      </c>
      <c r="DE2717" s="74">
        <v>-17.100000000000001</v>
      </c>
      <c r="DK2717" s="106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106">
        <v>-8.5</v>
      </c>
      <c r="BO2718" s="106">
        <v>-8.0500000000000007</v>
      </c>
      <c r="BX2718" s="182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106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106">
        <v>-35.880000000000003</v>
      </c>
      <c r="CA2725" s="106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106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106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106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106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106">
        <v>-7.91</v>
      </c>
      <c r="BI2731" s="106">
        <v>-9.08</v>
      </c>
      <c r="BO2731" s="106">
        <v>-8</v>
      </c>
      <c r="BX2731" s="182">
        <v>-8.24</v>
      </c>
      <c r="CA2731" s="106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106">
        <v>-14.25</v>
      </c>
      <c r="BC2732" s="106">
        <v>-26.95</v>
      </c>
      <c r="BI2732" s="106">
        <v>-25.15</v>
      </c>
      <c r="BO2732" s="106">
        <v>-34.04</v>
      </c>
      <c r="CA2732" s="106">
        <v>-64.790000000000006</v>
      </c>
      <c r="CG2732" s="106">
        <v>-49.83</v>
      </c>
      <c r="CM2732" s="106">
        <v>-41.25</v>
      </c>
      <c r="CS2732" s="74">
        <v>-34.72</v>
      </c>
      <c r="CY2732" s="106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74">
        <v>-4.3600000000000003</v>
      </c>
      <c r="CA2733" s="106">
        <v>-8.66</v>
      </c>
      <c r="CM2733" s="106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106">
        <v>-8.01</v>
      </c>
      <c r="BI2735" s="106">
        <v>-9.0500000000000007</v>
      </c>
      <c r="BO2735" s="106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106">
        <v>-9.06</v>
      </c>
      <c r="BO2737" s="106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92">
        <v>-35.409999999999997</v>
      </c>
      <c r="HP2739" s="92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74">
        <v>-17.350000000000001</v>
      </c>
      <c r="AN2741" s="74">
        <v>-7.25</v>
      </c>
      <c r="AR2741" s="74">
        <v>-8.3800000000000008</v>
      </c>
      <c r="AW2741" s="106">
        <v>-8.85</v>
      </c>
      <c r="BC2741" s="106">
        <v>-7.18</v>
      </c>
      <c r="BI2741" s="106">
        <v>-33.76</v>
      </c>
      <c r="BO2741" s="106">
        <v>-31.15</v>
      </c>
      <c r="BU2741" s="74">
        <v>-33.450000000000003</v>
      </c>
      <c r="CA2741" s="106">
        <v>-22.95</v>
      </c>
      <c r="CG2741" s="106">
        <v>-17.25</v>
      </c>
      <c r="CM2741" s="106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106">
        <v>-202.04</v>
      </c>
      <c r="CG2742" s="106">
        <v>-103.95</v>
      </c>
      <c r="CM2742" s="106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92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106">
        <v>-32.68</v>
      </c>
      <c r="BC2745" s="106">
        <v>-33.53</v>
      </c>
      <c r="BI2745" s="106">
        <v>-66.41</v>
      </c>
      <c r="BO2745" s="106">
        <v>-67.94</v>
      </c>
      <c r="BU2745" s="74">
        <v>-65.099999999999994</v>
      </c>
      <c r="CA2745" s="106">
        <v>-102.63</v>
      </c>
      <c r="CG2745" s="106">
        <v>-34.549999999999997</v>
      </c>
      <c r="CS2745" s="74">
        <v>-33.869999999999997</v>
      </c>
      <c r="CY2745" s="106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92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106">
        <v>-8.8000000000000007</v>
      </c>
      <c r="BI2747" s="106">
        <v>-17.690000000000001</v>
      </c>
      <c r="BO2747" s="106">
        <v>-33.950000000000003</v>
      </c>
      <c r="BU2747" s="74">
        <v>-31.33</v>
      </c>
      <c r="CA2747" s="106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106">
        <v>-34.54</v>
      </c>
      <c r="BI2748" s="106">
        <v>-34.74</v>
      </c>
      <c r="BO2748" s="106">
        <v>-34.01</v>
      </c>
      <c r="CM2748" s="106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386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106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106">
        <v>-66.540000000000006</v>
      </c>
      <c r="BO2755" s="106">
        <v>-34.46</v>
      </c>
      <c r="BU2755" s="74">
        <v>-101.08</v>
      </c>
      <c r="CA2755" s="106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106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74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106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106">
        <v>-8.9700000000000006</v>
      </c>
      <c r="BI2768" s="106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106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106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74">
        <v>-8.75</v>
      </c>
      <c r="AN2773" s="74">
        <v>-7.75</v>
      </c>
      <c r="BC2773" s="106">
        <v>-6.87</v>
      </c>
      <c r="BI2773" s="106">
        <v>-8.77</v>
      </c>
      <c r="BO2773" s="106">
        <v>-8</v>
      </c>
      <c r="BU2773" s="74">
        <v>-8.36</v>
      </c>
      <c r="CA2773" s="106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106">
        <v>-8.11</v>
      </c>
      <c r="BU2774" s="74">
        <v>-8.44</v>
      </c>
      <c r="CG2774" s="106">
        <v>-8.65</v>
      </c>
      <c r="CM2774" s="106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106">
        <v>-32.700000000000003</v>
      </c>
      <c r="BI2775" s="106">
        <v>-34.19</v>
      </c>
      <c r="BU2775" s="74">
        <v>-34.15</v>
      </c>
      <c r="CA2775" s="106">
        <v>-33.81</v>
      </c>
      <c r="CM2775" s="106">
        <v>-32.9</v>
      </c>
      <c r="CY2775" s="106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106">
        <v>-31.98</v>
      </c>
      <c r="BI2776" s="106">
        <v>-35.03</v>
      </c>
      <c r="BO2776" s="106">
        <v>-7.95</v>
      </c>
      <c r="CA2776" s="106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74">
        <v>-33.1</v>
      </c>
      <c r="BI2779" s="106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106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106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106">
        <v>-32.15</v>
      </c>
      <c r="BC2782" s="106">
        <v>-31.27</v>
      </c>
      <c r="BI2782" s="106">
        <v>-104.26</v>
      </c>
      <c r="BU2782" s="74">
        <v>-100.71</v>
      </c>
      <c r="CA2782" s="106">
        <v>-34.99</v>
      </c>
      <c r="CG2782" s="106">
        <v>-132.65</v>
      </c>
      <c r="CM2782" s="106">
        <v>-66.05</v>
      </c>
      <c r="CS2782" s="74">
        <v>-134.58000000000001</v>
      </c>
      <c r="DK2782" s="106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106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106">
        <v>-163.69999999999999</v>
      </c>
      <c r="CY2784" s="106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74">
        <v>-34.799999999999997</v>
      </c>
      <c r="AN2785" s="74">
        <v>-34.729999999999997</v>
      </c>
      <c r="AR2785" s="74">
        <v>-33.200000000000003</v>
      </c>
      <c r="AW2785" s="106">
        <v>-64.849999999999994</v>
      </c>
      <c r="BC2785" s="106">
        <v>-30.26</v>
      </c>
      <c r="BI2785" s="106">
        <v>-97.5</v>
      </c>
      <c r="CG2785" s="106">
        <v>-69</v>
      </c>
      <c r="CM2785" s="106">
        <v>-66.78</v>
      </c>
      <c r="CS2785" s="74">
        <v>-69.05</v>
      </c>
      <c r="CY2785" s="106">
        <v>-68.03</v>
      </c>
      <c r="DE2785" s="74">
        <v>-66.5</v>
      </c>
      <c r="DK2785" s="106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106">
        <v>-5.26</v>
      </c>
      <c r="CG2786" s="106">
        <v>-8.6999999999999993</v>
      </c>
      <c r="CM2786" s="106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106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106">
        <v>240.22</v>
      </c>
      <c r="DK2789" s="106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106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92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106">
        <v>-33.28</v>
      </c>
      <c r="BI2795" s="106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74">
        <v>-8.6999999999999993</v>
      </c>
      <c r="AR2796" s="74">
        <v>-16.91</v>
      </c>
      <c r="AW2796" s="106">
        <v>-17.25</v>
      </c>
      <c r="BC2796" s="106">
        <v>-32.799999999999997</v>
      </c>
      <c r="BI2796" s="106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106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106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106">
        <v>-58.1</v>
      </c>
      <c r="BI2806" s="106">
        <v>-66.959999999999994</v>
      </c>
      <c r="CY2806" s="106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74">
        <v>-8.6999999999999993</v>
      </c>
      <c r="AW2808" s="106">
        <v>-8.4</v>
      </c>
      <c r="CM2808" s="106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74">
        <v>-7.9</v>
      </c>
      <c r="AN2812" s="74">
        <v>-7.25</v>
      </c>
      <c r="AR2812" s="74">
        <v>-8.39</v>
      </c>
      <c r="AW2812" s="106">
        <v>-7.75</v>
      </c>
      <c r="BC2812" s="106">
        <v>-7.85</v>
      </c>
      <c r="BI2812" s="106">
        <v>-8.61</v>
      </c>
      <c r="BR2812" s="115">
        <v>-8.5</v>
      </c>
      <c r="BU2812" s="74">
        <v>-8.69</v>
      </c>
      <c r="CG2812" s="106">
        <v>-8.6999999999999993</v>
      </c>
      <c r="CM2812" s="106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106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106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106">
        <v>-8.4499999999999993</v>
      </c>
      <c r="BC2815" s="106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92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92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106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106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106">
        <v>199.15</v>
      </c>
      <c r="BO2823" s="106">
        <v>203.57</v>
      </c>
      <c r="CA2823" s="106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106">
        <v>-33.909999999999997</v>
      </c>
      <c r="BC2824" s="106">
        <v>-33.200000000000003</v>
      </c>
      <c r="BI2824" s="106">
        <v>-34.700000000000003</v>
      </c>
      <c r="BO2824" s="106">
        <v>-33.93</v>
      </c>
      <c r="CA2824" s="106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106">
        <v>-64.599999999999994</v>
      </c>
      <c r="BI2825" s="106">
        <v>-65.75</v>
      </c>
      <c r="BO2825" s="106">
        <v>-101.34</v>
      </c>
      <c r="BU2825" s="74">
        <v>-171.3</v>
      </c>
      <c r="CA2825" s="106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106">
        <v>-5.5</v>
      </c>
      <c r="BC2826" s="106">
        <v>-8.25</v>
      </c>
      <c r="BU2826" s="74">
        <v>-8.7200000000000006</v>
      </c>
      <c r="CJ2826" s="182">
        <v>-8.2949999999999999</v>
      </c>
      <c r="CM2826" s="106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82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106">
        <v>-17.3</v>
      </c>
      <c r="BC2830" s="106">
        <v>-33.200000000000003</v>
      </c>
      <c r="BI2830" s="106">
        <v>-32.950000000000003</v>
      </c>
      <c r="BO2830" s="106">
        <v>-16.52</v>
      </c>
      <c r="BU2830" s="74">
        <v>-33.950000000000003</v>
      </c>
      <c r="CG2830" s="106">
        <v>-17.3</v>
      </c>
      <c r="CS2830" s="74">
        <v>-17.3</v>
      </c>
      <c r="CY2830" s="106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106">
        <v>-66.3</v>
      </c>
      <c r="BC2833" s="106">
        <v>-35.450000000000003</v>
      </c>
      <c r="CG2833" s="106">
        <v>-68</v>
      </c>
      <c r="DK2833" s="106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106">
        <v>-15.5</v>
      </c>
      <c r="BI2834" s="106">
        <v>-16.3</v>
      </c>
      <c r="BO2834" s="106">
        <v>-17.23</v>
      </c>
      <c r="BU2834" s="74">
        <v>-15.82</v>
      </c>
      <c r="CA2834" s="106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82">
        <v>-8.3800000000000008</v>
      </c>
      <c r="CM2836" s="106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106">
        <v>-8.7799999999999994</v>
      </c>
      <c r="CA2840" s="106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106">
        <v>-8.6300000000000008</v>
      </c>
      <c r="CA2841" s="106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106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106">
        <v>-34.39</v>
      </c>
      <c r="BC2846" s="106">
        <f>-34.1-7.95-7.85-5.85</f>
        <v>-55.75</v>
      </c>
      <c r="BI2846" s="106">
        <v>-32.950000000000003</v>
      </c>
      <c r="BU2846" s="74">
        <v>-34.950000000000003</v>
      </c>
      <c r="CA2846" s="106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74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106">
        <v>-2.84</v>
      </c>
      <c r="CS2850" s="74">
        <v>-2</v>
      </c>
      <c r="CY2850" s="106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106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106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106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106">
        <v>-32.840000000000003</v>
      </c>
      <c r="CM2854" s="106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106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106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106">
        <v>234.54</v>
      </c>
      <c r="CM2857" s="106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92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106">
        <v>329.95</v>
      </c>
      <c r="BO2858" s="106">
        <v>136.44999999999999</v>
      </c>
      <c r="BU2858" s="74">
        <v>376.29</v>
      </c>
      <c r="CA2858" s="106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106">
        <v>-8.33</v>
      </c>
      <c r="BU2859" s="74">
        <v>-8.83</v>
      </c>
      <c r="CA2859" s="106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106">
        <v>-98.65</v>
      </c>
      <c r="BO2860" s="106">
        <v>-33.79</v>
      </c>
      <c r="BU2860" s="74">
        <v>-172.13</v>
      </c>
      <c r="CA2860" s="106">
        <v>-33.1</v>
      </c>
      <c r="CG2860" s="106">
        <v>-34.1</v>
      </c>
      <c r="CM2860" s="106">
        <v>-31.8</v>
      </c>
      <c r="CS2860" s="74">
        <v>-102.96</v>
      </c>
      <c r="CY2860" s="106">
        <v>-68.56</v>
      </c>
      <c r="DK2860" s="106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106">
        <v>-16.5</v>
      </c>
      <c r="BO2861" s="106">
        <v>-17.53</v>
      </c>
      <c r="BU2861" s="74">
        <v>-17.47</v>
      </c>
      <c r="CG2861" s="106">
        <v>-17.25</v>
      </c>
      <c r="CM2861" s="106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74">
        <v>-34.75</v>
      </c>
      <c r="AN2862" s="74">
        <v>-32.85</v>
      </c>
      <c r="BI2862" s="106">
        <v>-32.950000000000003</v>
      </c>
      <c r="BO2862" s="106">
        <v>-68.27</v>
      </c>
      <c r="BU2862" s="74">
        <v>-103</v>
      </c>
      <c r="CA2862" s="106">
        <v>-67</v>
      </c>
      <c r="CG2862" s="106">
        <v>-68.25</v>
      </c>
      <c r="CM2862" s="106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106">
        <v>-103.15</v>
      </c>
      <c r="CM2863" s="106">
        <v>-129</v>
      </c>
      <c r="CS2863" s="74">
        <v>-169.28</v>
      </c>
      <c r="CY2863" s="106">
        <v>-168.46</v>
      </c>
      <c r="DE2863" s="74">
        <v>-164.6</v>
      </c>
      <c r="DK2863" s="106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106">
        <v>-32.799999999999997</v>
      </c>
      <c r="CA2864" s="106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106">
        <v>-34.86</v>
      </c>
      <c r="BI2865" s="106">
        <v>-32.85</v>
      </c>
      <c r="BU2865" s="74">
        <v>-34.340000000000003</v>
      </c>
      <c r="CA2865" s="106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106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106">
        <v>-8.02</v>
      </c>
      <c r="BU2868" s="74">
        <v>-16.940000000000001</v>
      </c>
      <c r="CA2868" s="106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106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106">
        <v>-8.84</v>
      </c>
      <c r="BI2871" s="106">
        <v>-33</v>
      </c>
      <c r="BO2871" s="106">
        <v>-8.84</v>
      </c>
      <c r="BU2871" s="74">
        <v>-15.96</v>
      </c>
      <c r="CA2871" s="106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92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92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106">
        <v>-7.06</v>
      </c>
      <c r="BI2876" s="106">
        <v>-16.45</v>
      </c>
      <c r="BU2876" s="74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74">
        <v>-8.75</v>
      </c>
      <c r="AN2879" s="74">
        <v>-7.9</v>
      </c>
      <c r="AR2879" s="74">
        <v>-5.15</v>
      </c>
      <c r="AW2879" s="106">
        <v>-8.8800000000000008</v>
      </c>
      <c r="BI2879" s="106">
        <v>-8.9499999999999993</v>
      </c>
      <c r="CM2879" s="106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106">
        <v>-63.7</v>
      </c>
      <c r="DK2880" s="106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82">
        <v>34.645000000000003</v>
      </c>
      <c r="CJ2881" s="182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106">
        <v>-8.69</v>
      </c>
      <c r="BI2882" s="106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106">
        <v>224.85</v>
      </c>
      <c r="CS2884" s="74">
        <v>240.45</v>
      </c>
      <c r="CY2884" s="106">
        <v>481.03</v>
      </c>
      <c r="DE2884" s="74">
        <v>263.74</v>
      </c>
      <c r="DK2884" s="106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106">
        <v>-133.01</v>
      </c>
      <c r="CY2885" s="106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106">
        <v>-33.590000000000003</v>
      </c>
      <c r="CM2886" s="106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386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106">
        <v>167.6</v>
      </c>
      <c r="CA2890" s="106">
        <v>168.2</v>
      </c>
      <c r="CG2890" s="106">
        <v>172.7</v>
      </c>
      <c r="HF2890" s="92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92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106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106">
        <v>-8.25</v>
      </c>
      <c r="CA2894" s="106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82">
        <v>-8.6349999999999998</v>
      </c>
      <c r="BY2896" s="42">
        <v>-8.4499999999999993</v>
      </c>
      <c r="CJ2896" s="182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106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106">
        <v>-24.85</v>
      </c>
      <c r="CA2898" s="106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106">
        <v>-59.7</v>
      </c>
      <c r="BO2901" s="106">
        <v>-32.5</v>
      </c>
      <c r="CA2901" s="106">
        <v>-67.45</v>
      </c>
      <c r="CG2901" s="106">
        <v>-103.9</v>
      </c>
      <c r="CM2901" s="106">
        <v>-96.55</v>
      </c>
      <c r="CS2901" s="74">
        <v>-136.96</v>
      </c>
      <c r="CY2901" s="106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106">
        <v>-8.1</v>
      </c>
      <c r="BR2902" s="115">
        <f>-8.565-8.57</f>
        <v>-17.135000000000002</v>
      </c>
      <c r="BX2902" s="182">
        <v>-8.83</v>
      </c>
      <c r="BY2902" s="42">
        <v>-8.77</v>
      </c>
      <c r="CW2902" s="42">
        <v>-8.51</v>
      </c>
      <c r="DK2902" s="106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106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106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92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106">
        <v>-8.25</v>
      </c>
      <c r="BX2910" s="182">
        <v>-8.625</v>
      </c>
      <c r="CG2910" s="106">
        <v>-8.65</v>
      </c>
      <c r="CM2910" s="106">
        <v>-7.9</v>
      </c>
      <c r="CS2910" s="74">
        <v>-8.6</v>
      </c>
      <c r="CY2910" s="106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106">
        <v>67.599999999999994</v>
      </c>
      <c r="BC2912" s="106">
        <v>268.2</v>
      </c>
      <c r="BI2912" s="106">
        <v>364.95</v>
      </c>
      <c r="BO2912" s="106">
        <v>244.65</v>
      </c>
      <c r="BU2912" s="74">
        <v>316.39999999999998</v>
      </c>
      <c r="CA2912" s="106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106">
        <v>-83.95</v>
      </c>
      <c r="BO2913" s="106">
        <v>-85.55</v>
      </c>
      <c r="BU2913" s="74">
        <v>-80.45</v>
      </c>
      <c r="CA2913" s="106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106">
        <v>-33.65</v>
      </c>
      <c r="BC2915" s="106">
        <v>-33.1</v>
      </c>
      <c r="BI2915" s="106">
        <v>-33.049999999999997</v>
      </c>
      <c r="BU2915" s="74">
        <v>-31.8</v>
      </c>
      <c r="CA2915" s="106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106">
        <v>-33.950000000000003</v>
      </c>
      <c r="CM2916" s="106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106">
        <v>-67.150000000000006</v>
      </c>
      <c r="BI2917" s="106">
        <v>-67.099999999999994</v>
      </c>
      <c r="BO2917" s="106">
        <v>-60.4</v>
      </c>
      <c r="BU2917" s="74">
        <v>-61.75</v>
      </c>
      <c r="CA2917" s="106">
        <v>-34.4</v>
      </c>
      <c r="CG2917" s="106">
        <v>-68.8</v>
      </c>
      <c r="CS2917" s="74">
        <v>-68.89</v>
      </c>
      <c r="CY2917" s="106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106">
        <v>-32.65</v>
      </c>
      <c r="CS2918" s="74">
        <v>-34.22</v>
      </c>
      <c r="CY2918" s="106">
        <v>-25.4</v>
      </c>
      <c r="DE2918" s="74">
        <v>-24.22</v>
      </c>
      <c r="DK2918" s="106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386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106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106">
        <v>-8.4499999999999993</v>
      </c>
      <c r="BI2928" s="106">
        <v>-8.4</v>
      </c>
      <c r="BO2928" s="106">
        <v>-8.3000000000000007</v>
      </c>
      <c r="BU2928" s="74">
        <v>-7.8</v>
      </c>
      <c r="CA2928" s="106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106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106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106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106">
        <v>-16.8</v>
      </c>
      <c r="BO2937" s="106">
        <v>-9.1999999999999993</v>
      </c>
      <c r="BU2937" s="74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106">
        <v>-7.15</v>
      </c>
      <c r="BO2938" s="106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106">
        <v>-16.8</v>
      </c>
      <c r="CA2939" s="106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106">
        <v>-16.75</v>
      </c>
      <c r="BO2940" s="106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106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106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106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106">
        <v>-8.9</v>
      </c>
      <c r="DE2953" s="74">
        <v>-8.49</v>
      </c>
      <c r="DK2953" s="106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106">
        <v>-25.1</v>
      </c>
      <c r="BO2954" s="106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106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74">
        <v>99</v>
      </c>
      <c r="AR2956" s="74">
        <v>99.45</v>
      </c>
      <c r="AW2956" s="106">
        <v>100.85</v>
      </c>
      <c r="BC2956" s="106">
        <v>95.15</v>
      </c>
      <c r="BI2956" s="106">
        <v>98.05</v>
      </c>
      <c r="BO2956" s="106">
        <v>101.8</v>
      </c>
      <c r="BU2956" s="74">
        <v>200.2</v>
      </c>
      <c r="CA2956" s="106">
        <v>136.15</v>
      </c>
      <c r="CG2956" s="106">
        <v>136.4</v>
      </c>
      <c r="CM2956" s="106">
        <v>134.94999999999999</v>
      </c>
      <c r="CS2956" s="74">
        <v>141.80000000000001</v>
      </c>
      <c r="CY2956" s="106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106">
        <v>-8.35</v>
      </c>
      <c r="BI2958" s="106">
        <f>-7.6-8.35</f>
        <v>-15.95</v>
      </c>
      <c r="BO2958" s="106">
        <v>-9.1</v>
      </c>
      <c r="BU2958" s="74">
        <v>-6.85</v>
      </c>
      <c r="CA2958" s="106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74">
        <v>-32.69</v>
      </c>
      <c r="CA2963" s="106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106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74">
        <v>128.18</v>
      </c>
      <c r="AW2965" s="106">
        <v>232.2</v>
      </c>
      <c r="CA2965" s="106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106">
        <v>-8.4499999999999993</v>
      </c>
      <c r="BI2966" s="106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74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106">
        <v>-63.95</v>
      </c>
      <c r="BI2969" s="106">
        <v>-32.9</v>
      </c>
      <c r="BO2969" s="106">
        <v>-34.700000000000003</v>
      </c>
      <c r="CA2969" s="106">
        <v>-34.6</v>
      </c>
      <c r="CM2969" s="106">
        <v>-33.85</v>
      </c>
      <c r="CS2969" s="74">
        <v>-70.900000000000006</v>
      </c>
      <c r="CY2969" s="106">
        <v>-33.950000000000003</v>
      </c>
      <c r="DK2969" s="106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106">
        <v>-29.95</v>
      </c>
      <c r="BI2970" s="106">
        <v>-64.849999999999994</v>
      </c>
      <c r="BO2970" s="106">
        <v>-99.9</v>
      </c>
      <c r="BU2970" s="74">
        <v>-133.75</v>
      </c>
      <c r="CA2970" s="106">
        <v>-69.25</v>
      </c>
      <c r="CG2970" s="106">
        <v>-135.85</v>
      </c>
      <c r="CM2970" s="106">
        <v>-34.1</v>
      </c>
      <c r="CS2970" s="74">
        <v>-71</v>
      </c>
      <c r="CY2970" s="106">
        <v>-34.299999999999997</v>
      </c>
      <c r="DK2970" s="106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106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106">
        <v>-33.450000000000003</v>
      </c>
      <c r="BU2973" s="74">
        <v>-66.45</v>
      </c>
      <c r="CA2973" s="106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106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106">
        <v>-7.55</v>
      </c>
      <c r="BO2977" s="106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106">
        <v>-64.7</v>
      </c>
      <c r="BO2978" s="106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106">
        <v>-8.35</v>
      </c>
      <c r="BI2979" s="106">
        <v>-9.5500000000000007</v>
      </c>
      <c r="CG2979" s="106">
        <v>-8.5</v>
      </c>
      <c r="CY2979" s="106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106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106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106">
        <v>-8.5500000000000007</v>
      </c>
      <c r="BU2986" s="74">
        <v>-7.9</v>
      </c>
      <c r="BX2986" s="182">
        <v>-8.5549999999999997</v>
      </c>
      <c r="CA2986" s="106">
        <v>-17.2</v>
      </c>
      <c r="CM2986" s="106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106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74">
        <v>-16.41</v>
      </c>
      <c r="BO2988" s="106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106">
        <v>-67.3</v>
      </c>
      <c r="BU2992" s="74">
        <v>-64.849999999999994</v>
      </c>
      <c r="CA2992" s="106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386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106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106">
        <v>-8.5500000000000007</v>
      </c>
      <c r="CA2997" s="106">
        <v>-8.4499999999999993</v>
      </c>
      <c r="CG2997" s="106">
        <v>-8.5</v>
      </c>
      <c r="CM2997" s="106">
        <v>-7.95</v>
      </c>
      <c r="CY2997" s="106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106">
        <v>171.25</v>
      </c>
      <c r="CM3002" s="106">
        <v>206.35</v>
      </c>
      <c r="CY3002" s="106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106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106">
        <v>-34</v>
      </c>
      <c r="CM3005" s="106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106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106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106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106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106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106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106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106">
        <v>-8.35</v>
      </c>
      <c r="CM3020" s="106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106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106">
        <v>128.80000000000001</v>
      </c>
      <c r="BI3025" s="106">
        <v>143.88</v>
      </c>
      <c r="BO3025" s="106">
        <v>131.75</v>
      </c>
      <c r="CA3025" s="106">
        <v>135.84</v>
      </c>
      <c r="CG3025" s="106">
        <v>134.07</v>
      </c>
      <c r="CY3025" s="106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74">
        <v>-16.38</v>
      </c>
      <c r="BI3026" s="106">
        <v>-35.49</v>
      </c>
      <c r="BO3026" s="106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106">
        <f>-9-9.02</f>
        <v>-18.02</v>
      </c>
      <c r="BO3027" s="106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106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106">
        <v>-7.75</v>
      </c>
      <c r="BI3029" s="106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106">
        <v>-9</v>
      </c>
      <c r="BO3030" s="106">
        <v>-8.4499999999999993</v>
      </c>
      <c r="CA3030" s="106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106">
        <v>-8.0500000000000007</v>
      </c>
      <c r="BI3032" s="106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106">
        <v>96.85</v>
      </c>
      <c r="BI3033" s="106">
        <v>126.3</v>
      </c>
      <c r="BO3033" s="106">
        <v>164.13</v>
      </c>
      <c r="BU3033" s="74">
        <v>151.66</v>
      </c>
      <c r="CA3033" s="106">
        <v>134.83000000000001</v>
      </c>
      <c r="CG3033" s="106">
        <v>102.09</v>
      </c>
      <c r="CM3033" s="106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106">
        <v>-16.850000000000001</v>
      </c>
      <c r="BC3034" s="106">
        <v>-16</v>
      </c>
      <c r="BO3034" s="106">
        <v>-16.8</v>
      </c>
      <c r="CA3034" s="106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106">
        <v>-33.75</v>
      </c>
      <c r="BI3035" s="106">
        <v>-35.89</v>
      </c>
      <c r="CG3035" s="106">
        <v>-32.75</v>
      </c>
      <c r="CM3035" s="106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106">
        <v>-36.18</v>
      </c>
      <c r="BO3036" s="106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106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74">
        <v>-7.66</v>
      </c>
      <c r="CA3040" s="106">
        <v>-8.7200000000000006</v>
      </c>
      <c r="CM3040" s="106">
        <v>-26.25</v>
      </c>
      <c r="CY3040" s="106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106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106">
        <v>-8.25</v>
      </c>
      <c r="BC3042" s="106">
        <v>-8</v>
      </c>
      <c r="BI3042" s="106">
        <v>-9.09</v>
      </c>
      <c r="BO3042" s="106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92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92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106">
        <v>-161.1</v>
      </c>
      <c r="BO3046" s="106">
        <v>-98.11</v>
      </c>
      <c r="BU3046" s="74">
        <v>-91.19</v>
      </c>
      <c r="CA3046" s="106">
        <v>-68.98</v>
      </c>
      <c r="CG3046" s="106">
        <v>-102.09</v>
      </c>
      <c r="CM3046" s="106">
        <v>-131.58000000000001</v>
      </c>
      <c r="CS3046" s="74">
        <v>-175.36</v>
      </c>
      <c r="CY3046" s="106">
        <v>-97.19</v>
      </c>
      <c r="DE3046" s="74">
        <v>-105.49</v>
      </c>
      <c r="DK3046" s="106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82">
        <v>-8.26</v>
      </c>
      <c r="CQ3047" s="42">
        <v>-34.909999999999997</v>
      </c>
      <c r="CS3047" s="74">
        <v>34.22</v>
      </c>
      <c r="CW3047" s="42">
        <v>-8.65</v>
      </c>
      <c r="CY3047" s="106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106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106">
        <v>137.85</v>
      </c>
      <c r="BI3048" s="106">
        <v>70.459999999999994</v>
      </c>
      <c r="BO3048" s="106">
        <v>16.8</v>
      </c>
      <c r="CM3048" s="106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92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92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106">
        <v>-8.3000000000000007</v>
      </c>
      <c r="BC3051" s="106">
        <v>-8.49</v>
      </c>
      <c r="BI3051" s="106">
        <v>-8.94</v>
      </c>
      <c r="BO3051" s="106">
        <v>-8.4</v>
      </c>
      <c r="BU3051" s="74">
        <v>-14.52</v>
      </c>
      <c r="CA3051" s="106">
        <v>-7.44</v>
      </c>
      <c r="CG3051" s="106">
        <v>-8.75</v>
      </c>
      <c r="CM3051" s="106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92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106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106">
        <v>-5.07</v>
      </c>
      <c r="CG3061" s="106">
        <v>-2.84</v>
      </c>
      <c r="CM3061" s="106">
        <v>-8.7899999999999991</v>
      </c>
      <c r="CY3061" s="106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106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74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74">
        <v>-8.11</v>
      </c>
      <c r="AN3065" s="74">
        <v>-7.9</v>
      </c>
      <c r="BC3065" s="106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106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106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106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74">
        <v>-21.92</v>
      </c>
      <c r="CM3070" s="106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106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106">
        <f>38.6+171.46</f>
        <v>210.06</v>
      </c>
      <c r="CM3078" s="106">
        <v>234.91</v>
      </c>
      <c r="CY3078" s="106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106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106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106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106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106">
        <v>-8.2899999999999991</v>
      </c>
      <c r="CG3085" s="106">
        <v>-8.02</v>
      </c>
      <c r="CM3085" s="106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106">
        <v>-66.55</v>
      </c>
      <c r="BC3087" s="106">
        <v>-33.6</v>
      </c>
      <c r="BI3087" s="106">
        <v>-174.11</v>
      </c>
      <c r="CA3087" s="106">
        <v>-67.2</v>
      </c>
      <c r="CG3087" s="106">
        <v>-68.98</v>
      </c>
      <c r="CM3087" s="106">
        <v>-171.41</v>
      </c>
      <c r="CS3087" s="74">
        <v>-157.66999999999999</v>
      </c>
      <c r="CY3087" s="106">
        <v>-163.87</v>
      </c>
      <c r="DE3087" s="74">
        <v>-103.24</v>
      </c>
      <c r="DK3087" s="106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106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106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106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106">
        <v>-17.809999999999999</v>
      </c>
      <c r="BO3091" s="106">
        <v>-16.899999999999999</v>
      </c>
      <c r="CG3091" s="106">
        <v>-17.47</v>
      </c>
      <c r="CM3091" s="106">
        <v>-14.78</v>
      </c>
      <c r="CS3091" s="74">
        <v>-16.920000000000002</v>
      </c>
      <c r="CY3091" s="106">
        <v>-16.13</v>
      </c>
      <c r="DE3091" s="74">
        <v>-15.36</v>
      </c>
      <c r="DK3091" s="106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106">
        <v>-9.07</v>
      </c>
      <c r="BO3094" s="106">
        <v>-8.4499999999999993</v>
      </c>
      <c r="BU3094" s="74">
        <v>-7.66</v>
      </c>
      <c r="CA3094" s="106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106">
        <v>-8.3000000000000007</v>
      </c>
      <c r="CY3100" s="106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386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106">
        <v>-34.950000000000003</v>
      </c>
      <c r="BC3107" s="106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106">
        <v>-8.4</v>
      </c>
      <c r="BI3109" s="106">
        <v>-9.01</v>
      </c>
      <c r="BM3109" s="88">
        <v>-8.39</v>
      </c>
      <c r="BU3109" s="74">
        <v>-7.6</v>
      </c>
      <c r="CA3109" s="106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106">
        <v>-8.3000000000000007</v>
      </c>
      <c r="BC3111" s="106">
        <v>-8.8699999999999992</v>
      </c>
      <c r="BI3111" s="106">
        <v>-9.0299999999999994</v>
      </c>
      <c r="BT3111" s="69">
        <v>-8.15</v>
      </c>
      <c r="CA3111" s="106">
        <v>-8.58</v>
      </c>
      <c r="CF3111" s="69">
        <v>-8.43</v>
      </c>
      <c r="CM3111" s="106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106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92">
        <v>234.1</v>
      </c>
      <c r="HJ3116" s="79">
        <v>241.5</v>
      </c>
      <c r="HP3116" s="92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106">
        <v>336.81</v>
      </c>
      <c r="DK3117" s="106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106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106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74">
        <v>-16.329999999999998</v>
      </c>
      <c r="CY3120" s="106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106">
        <v>-68.95</v>
      </c>
      <c r="BI3121" s="106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106">
        <v>-63.01</v>
      </c>
      <c r="DK3121" s="106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106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106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106">
        <v>-17.25</v>
      </c>
      <c r="BT3125" s="69">
        <v>-8.43</v>
      </c>
      <c r="CA3125" s="106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106">
        <v>93.77</v>
      </c>
      <c r="BI3127" s="106">
        <v>162.25</v>
      </c>
      <c r="BO3127" s="106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106">
        <v>-15.33</v>
      </c>
      <c r="BI3128" s="106">
        <v>-16.329999999999998</v>
      </c>
      <c r="BO3128" s="106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106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92">
        <v>-62.75</v>
      </c>
      <c r="HJ3131" s="79">
        <v>-114.15</v>
      </c>
      <c r="HM3131" s="106">
        <v>-97.85</v>
      </c>
      <c r="HP3131" s="92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106">
        <v>-33.79</v>
      </c>
      <c r="BO3133" s="106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106">
        <v>-8.1999999999999993</v>
      </c>
      <c r="BO3135" s="106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106">
        <v>-8.2200000000000006</v>
      </c>
      <c r="BI3137" s="106">
        <v>-6.77</v>
      </c>
      <c r="BO3137" s="106">
        <v>-8.35</v>
      </c>
      <c r="BU3137" s="74">
        <v>-17.09</v>
      </c>
      <c r="CA3137" s="106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106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106">
        <v>-34.270000000000003</v>
      </c>
      <c r="BC3143" s="106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-19.010000000000002</v>
      </c>
      <c r="CM3145" s="106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106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106">
        <v>166.27</v>
      </c>
      <c r="BI3149" s="106">
        <v>195.1</v>
      </c>
      <c r="BO3149" s="106">
        <v>103.74</v>
      </c>
      <c r="BU3149" s="74">
        <v>29.95</v>
      </c>
      <c r="CA3149" s="106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106">
        <v>-14.75</v>
      </c>
      <c r="BI3151" s="106">
        <v>-24.02</v>
      </c>
      <c r="BO3151" s="106">
        <v>-25.19</v>
      </c>
      <c r="BU3151" s="74">
        <v>-15.04</v>
      </c>
      <c r="CA3151" s="106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106">
        <v>-8.01</v>
      </c>
      <c r="BI3152" s="106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106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106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106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106">
        <v>-26.44</v>
      </c>
      <c r="BI3156" s="106">
        <v>-24.69</v>
      </c>
      <c r="BO3156" s="106">
        <v>-17.190000000000001</v>
      </c>
      <c r="CA3156" s="106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106">
        <v>-7.95</v>
      </c>
      <c r="BO3157" s="106">
        <v>-7.4550000000000001</v>
      </c>
      <c r="BU3157" s="74">
        <v>-7.45</v>
      </c>
      <c r="CA3157" s="106">
        <v>-8.5299999999999994</v>
      </c>
      <c r="CG3157" s="106">
        <v>-9.39</v>
      </c>
      <c r="CM3157" s="106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106">
        <v>-34.130000000000003</v>
      </c>
      <c r="BI3159" s="106">
        <v>-64.64</v>
      </c>
      <c r="BO3159" s="106">
        <v>-68.040000000000006</v>
      </c>
      <c r="CF3159" s="69">
        <v>-33.72</v>
      </c>
      <c r="CM3159" s="106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106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106">
        <v>-8.92</v>
      </c>
      <c r="BI3162" s="106">
        <f>-9.11-8.97</f>
        <v>-18.079999999999998</v>
      </c>
      <c r="BO3162" s="106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106">
        <v>103.82</v>
      </c>
      <c r="BU3163" s="74">
        <v>91.08</v>
      </c>
      <c r="CG3163" s="106">
        <v>101.69</v>
      </c>
      <c r="CM3163" s="106">
        <v>97.92</v>
      </c>
      <c r="CS3163" s="74">
        <v>102.21</v>
      </c>
      <c r="CY3163" s="106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106">
        <v>-33.31</v>
      </c>
      <c r="BC3165" s="106">
        <v>-32.54</v>
      </c>
      <c r="BO3165" s="106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106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106">
        <v>-8.83</v>
      </c>
      <c r="BU3169" s="74">
        <v>-7.63</v>
      </c>
      <c r="CA3169" s="106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106">
        <v>-33.950000000000003</v>
      </c>
      <c r="BI3170" s="106">
        <v>-31.83</v>
      </c>
      <c r="BO3170" s="106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106">
        <v>-8.48</v>
      </c>
      <c r="BU3171" s="74">
        <v>-7.39</v>
      </c>
      <c r="CA3171" s="106">
        <v>-8.4600000000000009</v>
      </c>
      <c r="CG3171" s="106">
        <f>-8.42-8.61</f>
        <v>-17.03</v>
      </c>
      <c r="CS3171" s="74">
        <v>-8.69</v>
      </c>
      <c r="CY3171" s="106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106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92">
        <v>-90.8</v>
      </c>
      <c r="HJ3173" s="79">
        <v>-184.85</v>
      </c>
      <c r="HM3173" s="106">
        <v>-98.75</v>
      </c>
      <c r="HP3173" s="92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106">
        <v>97.275000000000006</v>
      </c>
      <c r="BC3175" s="106">
        <v>94.04</v>
      </c>
      <c r="BI3175" s="106">
        <v>47.84</v>
      </c>
      <c r="BO3175" s="106">
        <v>104.05</v>
      </c>
      <c r="BU3175" s="74">
        <v>91.5</v>
      </c>
      <c r="CA3175" s="106">
        <v>101.81</v>
      </c>
      <c r="CG3175" s="106">
        <v>96.97</v>
      </c>
      <c r="CY3175" s="106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106">
        <v>-32.4</v>
      </c>
      <c r="BI3177" s="106">
        <v>-15.85</v>
      </c>
      <c r="BO3177" s="106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106">
        <v>-8</v>
      </c>
      <c r="BI3178" s="106">
        <v>-8.8699999999999992</v>
      </c>
      <c r="BO3178" s="106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106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106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74">
        <v>-6.66</v>
      </c>
      <c r="CG3183" s="106">
        <v>-9.61</v>
      </c>
      <c r="CM3183" s="106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106">
        <v>-6.31</v>
      </c>
      <c r="BO3184" s="106">
        <v>-8.82</v>
      </c>
      <c r="BU3184" s="74">
        <v>-7.96</v>
      </c>
      <c r="CS3184" s="74">
        <v>-9.0299999999999994</v>
      </c>
      <c r="CY3184" s="106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106">
        <v>-18.024999999999999</v>
      </c>
      <c r="BC3185" s="106">
        <v>-14.97</v>
      </c>
      <c r="BO3185" s="106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106">
        <v>-7.84</v>
      </c>
      <c r="BU3187" s="74">
        <v>-7.94</v>
      </c>
      <c r="CA3187" s="106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106">
        <v>-8.4700000000000006</v>
      </c>
      <c r="BO3188" s="106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106">
        <v>-7.29</v>
      </c>
      <c r="BC3189" s="106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106">
        <v>-7.86</v>
      </c>
      <c r="BO3190" s="106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106">
        <v>-2.35</v>
      </c>
      <c r="CG3191" s="106">
        <v>-2.68</v>
      </c>
      <c r="DK3191" s="106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106">
        <v>-62.34</v>
      </c>
      <c r="BO3192" s="106">
        <v>-34.08</v>
      </c>
      <c r="CA3192" s="106">
        <v>-33.99</v>
      </c>
      <c r="CM3192" s="106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106">
        <v>-31.9</v>
      </c>
      <c r="BC3193" s="106">
        <v>-15.32</v>
      </c>
      <c r="BI3193" s="106">
        <v>-33.159999999999997</v>
      </c>
      <c r="BO3193" s="106">
        <v>-70.38</v>
      </c>
      <c r="CA3193" s="106">
        <v>-34.9</v>
      </c>
      <c r="CG3193" s="106">
        <v>-69.760000000000005</v>
      </c>
      <c r="CM3193" s="106">
        <v>-35.31</v>
      </c>
      <c r="CQ3193" s="42">
        <v>-26.33</v>
      </c>
      <c r="CS3193" s="74">
        <f>-33.51-8.49</f>
        <v>-42</v>
      </c>
      <c r="CY3193" s="106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386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74">
        <v>105.92</v>
      </c>
      <c r="AN3196" s="74">
        <v>69.16</v>
      </c>
      <c r="AR3196" s="74">
        <v>179.95</v>
      </c>
      <c r="BC3196" s="106">
        <v>78.58</v>
      </c>
      <c r="BI3196" s="106">
        <v>168.84</v>
      </c>
      <c r="CA3196" s="106">
        <v>167.75</v>
      </c>
      <c r="CM3196" s="106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106">
        <v>-16.670000000000002</v>
      </c>
      <c r="BC3197" s="106">
        <v>-31.61</v>
      </c>
      <c r="BI3197" s="106">
        <v>-31.32</v>
      </c>
      <c r="CG3197" s="106">
        <v>-31.1</v>
      </c>
      <c r="CM3197" s="106">
        <v>-15.93</v>
      </c>
      <c r="CS3197" s="74">
        <v>-34.81</v>
      </c>
      <c r="CY3197" s="106">
        <v>-14.5</v>
      </c>
      <c r="DE3197" s="74">
        <v>-16.97</v>
      </c>
      <c r="DK3197" s="106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106">
        <v>-16.760000000000002</v>
      </c>
      <c r="CA3198" s="106">
        <v>-33.97</v>
      </c>
      <c r="CG3198" s="106">
        <v>-29.95</v>
      </c>
      <c r="DE3198" s="74">
        <v>-18.32</v>
      </c>
      <c r="DK3198" s="106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74">
        <v>-35.35</v>
      </c>
      <c r="BI3199" s="106">
        <v>-35.630000000000003</v>
      </c>
      <c r="CA3199" s="106">
        <v>-31.89</v>
      </c>
      <c r="CS3199" s="74">
        <v>-33.04</v>
      </c>
      <c r="CY3199" s="106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106">
        <v>-7.59</v>
      </c>
      <c r="BI3200" s="106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106">
        <v>-6.3</v>
      </c>
      <c r="BI3201" s="106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106">
        <v>176.16499999999999</v>
      </c>
      <c r="BI3202" s="106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106">
        <v>-8.32</v>
      </c>
      <c r="CA3203" s="106">
        <v>-8.44</v>
      </c>
      <c r="CM3203" s="106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92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106">
        <v>-33.664999999999999</v>
      </c>
      <c r="BI3205" s="106">
        <v>-67.92</v>
      </c>
      <c r="CA3205" s="106">
        <v>-67.89</v>
      </c>
      <c r="CG3205" s="106">
        <v>-32.909999999999997</v>
      </c>
      <c r="CM3205" s="106">
        <v>-66.39</v>
      </c>
      <c r="CS3205" s="74">
        <v>-69.53</v>
      </c>
      <c r="CY3205" s="106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74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106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106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106">
        <v>-8.26</v>
      </c>
      <c r="BI3211" s="106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106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106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106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106">
        <v>-8.24</v>
      </c>
      <c r="BI3215" s="106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106">
        <v>-8.1999999999999993</v>
      </c>
      <c r="CA3216" s="106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74">
        <v>-8.2100000000000009</v>
      </c>
      <c r="CA3217" s="106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106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386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74">
        <v>-8.81</v>
      </c>
      <c r="AW3224" s="106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106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106">
        <v>-65.099999999999994</v>
      </c>
      <c r="CA3229" s="106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106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106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106">
        <v>100.85</v>
      </c>
      <c r="BO3243" s="106">
        <v>163.76</v>
      </c>
      <c r="CA3243" s="106">
        <v>129.94</v>
      </c>
      <c r="CY3243" s="106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92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106">
        <v>-8.27</v>
      </c>
      <c r="BO3244" s="106">
        <v>-8.2899999999999991</v>
      </c>
      <c r="CA3244" s="106">
        <v>-8.5</v>
      </c>
      <c r="CM3244" s="106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106">
        <v>-89.02</v>
      </c>
      <c r="CY3248" s="106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106">
        <v>-8.26</v>
      </c>
      <c r="BI3249" s="106">
        <v>-8.41</v>
      </c>
      <c r="BO3249" s="106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106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92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106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106">
        <v>-8.43</v>
      </c>
      <c r="BO3256" s="106">
        <v>-8.32</v>
      </c>
      <c r="CM3256" s="106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386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106">
        <v>-23.6</v>
      </c>
      <c r="BI3258" s="106">
        <v>-33.67</v>
      </c>
      <c r="BO3258" s="106">
        <v>-33.020000000000003</v>
      </c>
      <c r="CA3258" s="106">
        <v>-30.99</v>
      </c>
      <c r="CG3258" s="106">
        <v>-64.83</v>
      </c>
      <c r="CM3258" s="106">
        <v>-61.21</v>
      </c>
      <c r="CS3258" s="74">
        <v>-70.2</v>
      </c>
      <c r="CW3258" s="42">
        <v>-34.74</v>
      </c>
      <c r="DE3258" s="74">
        <v>-70.849999999999994</v>
      </c>
      <c r="DK3258" s="106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106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106">
        <v>-101.08</v>
      </c>
      <c r="CS3263" s="74">
        <v>-99.81</v>
      </c>
      <c r="DK3263" s="106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106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92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106">
        <v>101.08</v>
      </c>
      <c r="CA3266" s="106">
        <v>101.8</v>
      </c>
      <c r="CY3266" s="106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106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106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106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106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74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74">
        <v>-8.85</v>
      </c>
      <c r="AR3277" s="74">
        <v>-16.55</v>
      </c>
      <c r="BI3277" s="106">
        <v>-33.65</v>
      </c>
      <c r="BO3277" s="106">
        <v>-32.700000000000003</v>
      </c>
      <c r="CA3277" s="106">
        <v>-34.28</v>
      </c>
      <c r="CM3277" s="106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74">
        <v>-8.81</v>
      </c>
      <c r="BO3278" s="106">
        <v>-8.26</v>
      </c>
      <c r="CA3278" s="106">
        <v>-8.27</v>
      </c>
      <c r="CG3278" s="106">
        <v>-4</v>
      </c>
      <c r="CY3278" s="106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106">
        <v>203.48</v>
      </c>
      <c r="BI3281" s="106">
        <v>203.24</v>
      </c>
      <c r="BO3281" s="106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106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106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106">
        <v>-22.4</v>
      </c>
      <c r="BC3287" s="106">
        <v>-94.08</v>
      </c>
      <c r="BI3287" s="106">
        <v>-101.81</v>
      </c>
      <c r="BO3287" s="106">
        <v>-65.849999999999994</v>
      </c>
      <c r="BU3287" s="74">
        <v>-191.6</v>
      </c>
      <c r="CA3287" s="106">
        <v>-67.08</v>
      </c>
      <c r="CG3287" s="106">
        <v>-129.87</v>
      </c>
      <c r="CM3287" s="106">
        <v>-102.74</v>
      </c>
      <c r="CS3287" s="74">
        <v>-96.89</v>
      </c>
      <c r="DK3287" s="106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106">
        <v>-8.4</v>
      </c>
      <c r="BO3290" s="106">
        <v>-16.62</v>
      </c>
      <c r="BU3290" s="74">
        <v>-8.0299999999999994</v>
      </c>
      <c r="CM3290" s="106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106">
        <v>-8.2799999999999994</v>
      </c>
      <c r="BU3291" s="74">
        <v>-8.06</v>
      </c>
      <c r="CA3291" s="106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106">
        <v>-7.8</v>
      </c>
      <c r="BI3292" s="106">
        <v>-8.42</v>
      </c>
      <c r="BO3292" s="106">
        <v>-8.2899999999999991</v>
      </c>
      <c r="BU3292" s="74">
        <v>-8.07</v>
      </c>
      <c r="CA3292" s="106">
        <v>-9.5299999999999994</v>
      </c>
      <c r="CG3292" s="106">
        <v>-15.16</v>
      </c>
      <c r="CM3292" s="106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106">
        <v>-8.43</v>
      </c>
      <c r="BO3295" s="106">
        <v>-8.25</v>
      </c>
      <c r="BU3295" s="74">
        <v>-8.06</v>
      </c>
      <c r="CA3295" s="106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106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74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106">
        <v>-31.17</v>
      </c>
      <c r="BU3301" s="74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106">
        <v>-15.73</v>
      </c>
      <c r="BI3302" s="106">
        <v>-17.13</v>
      </c>
      <c r="BO3302" s="106">
        <v>-8.2899999999999991</v>
      </c>
      <c r="CA3302" s="106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106">
        <v>-8.31</v>
      </c>
      <c r="CG3303" s="106">
        <v>-8.34</v>
      </c>
      <c r="CM3303" s="106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106">
        <v>94.08</v>
      </c>
      <c r="BC3305" s="106">
        <v>122.93</v>
      </c>
      <c r="BU3305" s="74">
        <v>127.96</v>
      </c>
      <c r="CA3305" s="106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92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106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74">
        <v>-8.0299999999999994</v>
      </c>
      <c r="CG3307" s="106">
        <v>-8.43</v>
      </c>
      <c r="CM3307" s="106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106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106">
        <v>-8.4</v>
      </c>
      <c r="BU3311" s="74">
        <v>-32.200000000000003</v>
      </c>
      <c r="CA3311" s="106">
        <v>-16.61</v>
      </c>
      <c r="CG3311" s="106">
        <v>-16.16</v>
      </c>
      <c r="CM3311" s="106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106">
        <v>-30.53</v>
      </c>
      <c r="CY3312" s="106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106">
        <v>-30.43</v>
      </c>
      <c r="BC3313" s="106">
        <v>-93.36</v>
      </c>
      <c r="BU3313" s="74">
        <v>-31.9</v>
      </c>
      <c r="CA3313" s="106">
        <v>-66.55</v>
      </c>
      <c r="CG3313" s="106">
        <v>-100.16</v>
      </c>
      <c r="CS3313" s="74">
        <v>-29.09</v>
      </c>
      <c r="DE3313" s="74">
        <v>-66.37</v>
      </c>
      <c r="DK3313" s="106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92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106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106">
        <v>-31.78</v>
      </c>
      <c r="BC3319" s="106">
        <v>-30.29</v>
      </c>
      <c r="BI3319" s="106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106">
        <v>94.99</v>
      </c>
      <c r="BO3322" s="106">
        <v>165.94</v>
      </c>
      <c r="CA3322" s="106">
        <v>161.36000000000001</v>
      </c>
      <c r="CS3322" s="74">
        <v>99.14</v>
      </c>
      <c r="CY3322" s="106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106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386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106">
        <v>-66.260000000000005</v>
      </c>
      <c r="CA3325" s="106">
        <v>-31.54</v>
      </c>
      <c r="CY3325" s="106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106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106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106">
        <v>-7.97</v>
      </c>
      <c r="BI3332" s="106">
        <v>-8.44</v>
      </c>
      <c r="BO3332" s="106">
        <v>-8.41</v>
      </c>
      <c r="CA3332" s="106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106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106">
        <v>-16.84</v>
      </c>
      <c r="BO3336" s="106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106">
        <v>-8.3000000000000007</v>
      </c>
      <c r="CG3337" s="106">
        <v>-8.34</v>
      </c>
      <c r="CM3337" s="106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106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106">
        <v>168.46</v>
      </c>
      <c r="CA3340" s="106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106">
        <v>-62.62</v>
      </c>
      <c r="BO3341" s="106">
        <v>-134.75</v>
      </c>
      <c r="CA3341" s="106">
        <v>-188.49</v>
      </c>
      <c r="CG3341" s="106">
        <v>-66.12</v>
      </c>
      <c r="CY3341" s="106">
        <v>-66.94</v>
      </c>
      <c r="DE3341" s="74">
        <v>-65.59</v>
      </c>
      <c r="DK3341" s="106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106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106">
        <v>-7.96</v>
      </c>
      <c r="BO3343" s="106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106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106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106">
        <v>-16.86</v>
      </c>
      <c r="CA3347" s="106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74">
        <v>-17.66</v>
      </c>
      <c r="CY3349" s="106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106">
        <f>-15.95-7.96</f>
        <v>-23.91</v>
      </c>
      <c r="CA3350" s="106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386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106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74">
        <v>326.72000000000003</v>
      </c>
      <c r="AW3358" s="106">
        <v>473.05</v>
      </c>
      <c r="BO3358" s="106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92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106">
        <v>300.79000000000002</v>
      </c>
      <c r="BC3361" s="106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106">
        <v>239.8</v>
      </c>
      <c r="DP3362" s="74">
        <v>206.76</v>
      </c>
      <c r="HF3362" s="92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74">
        <v>-34.28</v>
      </c>
      <c r="AW3363" s="106">
        <v>-70.930000000000007</v>
      </c>
      <c r="BC3363" s="106">
        <v>-34.76</v>
      </c>
      <c r="BO3363" s="106">
        <v>-98.46</v>
      </c>
      <c r="CA3363" s="106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106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92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106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106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106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92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106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74">
        <v>-17.13</v>
      </c>
      <c r="AW3379" s="106">
        <v>-45.28</v>
      </c>
      <c r="BC3379" s="106">
        <v>-49.41</v>
      </c>
      <c r="BO3379" s="106">
        <v>-32.68</v>
      </c>
      <c r="DK3379" s="106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106">
        <v>-87.04</v>
      </c>
      <c r="BC3381" s="106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92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74">
        <v>-17.22</v>
      </c>
      <c r="BC3384" s="106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74">
        <v>-68.77</v>
      </c>
      <c r="AR3385" s="74">
        <v>-31.16</v>
      </c>
      <c r="AW3385" s="106">
        <v>-27.55</v>
      </c>
      <c r="BO3385" s="106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106">
        <v>-7.93</v>
      </c>
      <c r="BC3386" s="106">
        <v>-8.48</v>
      </c>
      <c r="BO3386" s="106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92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106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106">
        <v>-7.97</v>
      </c>
      <c r="BC3393" s="106">
        <v>-8.11</v>
      </c>
      <c r="BO3393" s="106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106">
        <v>-7.95</v>
      </c>
      <c r="BC3395" s="106">
        <v>-8.3699999999999992</v>
      </c>
      <c r="BO3395" s="106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106">
        <v>-7.98</v>
      </c>
      <c r="BC3397" s="106">
        <v>-9.85</v>
      </c>
      <c r="CM3397" s="106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106">
        <v>65.584999999999994</v>
      </c>
      <c r="CA3402" s="106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92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106">
        <v>-100.66</v>
      </c>
      <c r="BI3405" s="106">
        <v>-33.29</v>
      </c>
      <c r="CA3405" s="106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106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386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106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106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106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106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106">
        <v>-8.36</v>
      </c>
      <c r="CA3412" s="106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106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106">
        <v>-7.94</v>
      </c>
      <c r="BO3415" s="106">
        <v>-8.8149999999999995</v>
      </c>
      <c r="CA3415" s="106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106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106">
        <v>-15.34</v>
      </c>
      <c r="BO3417" s="106">
        <v>-17.72</v>
      </c>
      <c r="CA3417" s="106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106">
        <v>-31.18</v>
      </c>
      <c r="BC3418" s="106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106">
        <v>165.39500000000001</v>
      </c>
      <c r="BO3419" s="106">
        <v>134.6</v>
      </c>
      <c r="BU3419" s="74">
        <v>158.39500000000001</v>
      </c>
      <c r="CA3419" s="106">
        <v>102.485</v>
      </c>
      <c r="CG3419" s="106">
        <v>95.26</v>
      </c>
      <c r="CS3419" s="74">
        <v>158.58000000000001</v>
      </c>
      <c r="CY3419" s="106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106">
        <v>-8.3249999999999993</v>
      </c>
      <c r="BO3420" s="106">
        <v>-8.17</v>
      </c>
      <c r="BU3420" s="74">
        <v>-15.945</v>
      </c>
      <c r="CA3420" s="106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106">
        <v>-28.61</v>
      </c>
      <c r="BC3421" s="106">
        <v>-48.57</v>
      </c>
      <c r="BI3421" s="106">
        <v>-66.094999999999999</v>
      </c>
      <c r="BO3421" s="106">
        <v>-67.239999999999995</v>
      </c>
      <c r="BU3421" s="74">
        <v>-62.2</v>
      </c>
      <c r="CA3421" s="106">
        <v>-42.44</v>
      </c>
      <c r="CG3421" s="106">
        <v>-32.270000000000003</v>
      </c>
      <c r="CS3421" s="74">
        <v>-32.19</v>
      </c>
      <c r="CY3421" s="106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106">
        <v>-25.55</v>
      </c>
      <c r="BU3422" s="74">
        <v>-24.465</v>
      </c>
      <c r="CA3422" s="106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106">
        <v>-8.3800000000000008</v>
      </c>
      <c r="BI3425" s="106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106">
        <v>419.43599999999998</v>
      </c>
      <c r="BI3426" s="106">
        <v>297.54500000000002</v>
      </c>
      <c r="BO3426" s="106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92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106">
        <v>303.98</v>
      </c>
      <c r="BO3427" s="106">
        <v>289.64999999999998</v>
      </c>
      <c r="CG3427" s="106">
        <v>290.07499999999999</v>
      </c>
      <c r="CY3427" s="106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106">
        <v>-31.79</v>
      </c>
      <c r="BO3428" s="106">
        <v>-81.87</v>
      </c>
      <c r="BY3428" s="42">
        <v>34.36</v>
      </c>
      <c r="CK3428" s="42">
        <v>34.81</v>
      </c>
      <c r="CS3428" s="74">
        <v>-32.229999999999997</v>
      </c>
      <c r="CY3428" s="106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106">
        <v>-79.489999999999995</v>
      </c>
      <c r="BU3429" s="74">
        <v>-62.384999999999998</v>
      </c>
      <c r="CG3429" s="106">
        <v>-32.164999999999999</v>
      </c>
      <c r="CY3429" s="106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106">
        <v>-65.569999999999993</v>
      </c>
      <c r="BC3430" s="106">
        <v>-28.9</v>
      </c>
      <c r="BI3430" s="106">
        <v>-66.224999999999994</v>
      </c>
      <c r="BO3430" s="106">
        <v>-66.53</v>
      </c>
      <c r="BU3430" s="74">
        <v>-65.33</v>
      </c>
      <c r="CG3430" s="106">
        <v>-60.88</v>
      </c>
      <c r="CS3430" s="74">
        <v>-32.229999999999997</v>
      </c>
      <c r="CY3430" s="106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106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106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106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106">
        <v>-8.42</v>
      </c>
      <c r="BC3435" s="106">
        <v>-8.4</v>
      </c>
      <c r="BI3435" s="106">
        <v>-7.57</v>
      </c>
      <c r="BO3435" s="106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106">
        <v>-8.4600000000000009</v>
      </c>
      <c r="CA3436" s="106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106">
        <v>-8.59</v>
      </c>
      <c r="BU3438" s="74">
        <v>-15.904999999999999</v>
      </c>
      <c r="CY3438" s="106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106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106">
        <v>97.18</v>
      </c>
      <c r="CM3442" s="106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74">
        <v>-30.64</v>
      </c>
      <c r="CA3443" s="106">
        <v>-32.840000000000003</v>
      </c>
      <c r="CM3443" s="106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106">
        <f>-8.09-8.08</f>
        <v>-16.170000000000002</v>
      </c>
      <c r="BO3444" s="106">
        <v>-8.23</v>
      </c>
      <c r="BU3444" s="74">
        <v>-7.5750000000000002</v>
      </c>
      <c r="CA3444" s="106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106">
        <v>-31.28</v>
      </c>
      <c r="BI3445" s="106">
        <v>-31.98</v>
      </c>
      <c r="BO3445" s="106">
        <v>-64.3</v>
      </c>
      <c r="BU3445" s="74">
        <v>-49.494999999999997</v>
      </c>
      <c r="CA3445" s="106">
        <v>-33.31</v>
      </c>
      <c r="CG3445" s="106">
        <v>-16.13</v>
      </c>
      <c r="CM3445" s="106">
        <v>-16.03</v>
      </c>
      <c r="CS3445" s="74">
        <v>-16.16</v>
      </c>
      <c r="CY3445" s="106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106">
        <v>-29.38</v>
      </c>
      <c r="BO3446" s="106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106">
        <v>-8.65</v>
      </c>
      <c r="BI3448" s="106">
        <v>-16.809999999999999</v>
      </c>
      <c r="BO3448" s="106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106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106">
        <v>-6.94</v>
      </c>
      <c r="BI3451" s="106">
        <v>-8.15</v>
      </c>
      <c r="BO3451" s="106">
        <v>-8.02</v>
      </c>
      <c r="BU3451" s="74">
        <v>-8.0500000000000007</v>
      </c>
      <c r="CA3451" s="106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74">
        <v>-8.64</v>
      </c>
      <c r="AR3453" s="74">
        <v>-7.84</v>
      </c>
      <c r="AW3453" s="106">
        <v>-15.86</v>
      </c>
      <c r="BC3453" s="106">
        <v>-22.38</v>
      </c>
      <c r="BI3453" s="106">
        <v>-16.27</v>
      </c>
      <c r="BO3453" s="106">
        <v>-15.95</v>
      </c>
      <c r="BU3453" s="74">
        <v>-15.555</v>
      </c>
      <c r="CA3453" s="106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106">
        <v>-7.75</v>
      </c>
      <c r="BI3454" s="106">
        <v>-8.14</v>
      </c>
      <c r="BO3454" s="106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106">
        <f>213.64+128.87</f>
        <v>342.51</v>
      </c>
      <c r="CS3455" s="74">
        <v>314.37</v>
      </c>
      <c r="DE3455" s="74">
        <v>102.71</v>
      </c>
      <c r="DK3455" s="106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106">
        <v>-16.5</v>
      </c>
      <c r="BI3456" s="106">
        <v>-17.105</v>
      </c>
      <c r="BO3456" s="106">
        <v>-17.13</v>
      </c>
      <c r="CA3456" s="106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106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106">
        <v>-8.2100000000000009</v>
      </c>
      <c r="BI3458" s="106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106">
        <v>-16.63</v>
      </c>
      <c r="CS3459" s="74">
        <v>-16.765000000000001</v>
      </c>
      <c r="CY3459" s="106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106">
        <v>-61.12</v>
      </c>
      <c r="BC3460" s="106">
        <v>-67.040000000000006</v>
      </c>
      <c r="BO3460" s="106">
        <v>-67.805000000000007</v>
      </c>
      <c r="BU3460" s="74">
        <v>-68.245000000000005</v>
      </c>
      <c r="CA3460" s="106">
        <v>-170.655</v>
      </c>
      <c r="CG3460" s="106">
        <v>-64.224999999999994</v>
      </c>
      <c r="CM3460" s="106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106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106">
        <v>-16.864999999999998</v>
      </c>
      <c r="BO3463" s="106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106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106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106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106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106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106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106">
        <v>-7.94</v>
      </c>
      <c r="BC3473" s="106">
        <v>-8.36</v>
      </c>
      <c r="BI3473" s="106">
        <v>-8.9350000000000005</v>
      </c>
      <c r="BO3473" s="106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74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106">
        <v>-7.97</v>
      </c>
      <c r="BC3475" s="106">
        <v>-8.24</v>
      </c>
      <c r="BI3475" s="106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106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74">
        <v>-17.2</v>
      </c>
      <c r="AW3477" s="106">
        <v>-15.93</v>
      </c>
      <c r="BC3477" s="106">
        <v>-8.41</v>
      </c>
      <c r="BI3477" s="106">
        <v>-8.23</v>
      </c>
      <c r="BU3477" s="74">
        <v>-8.5500000000000007</v>
      </c>
      <c r="CA3477" s="106">
        <v>-8.4250000000000007</v>
      </c>
      <c r="CG3477" s="106">
        <v>-8.2050000000000001</v>
      </c>
      <c r="CM3477" s="106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106">
        <v>-36.26</v>
      </c>
      <c r="BC3478" s="106">
        <v>-33.549999999999997</v>
      </c>
      <c r="BI3478" s="106">
        <v>-34.484999999999999</v>
      </c>
      <c r="BM3478" s="88">
        <v>-15.82</v>
      </c>
      <c r="BU3478" s="74">
        <v>-32.9</v>
      </c>
      <c r="CA3478" s="106">
        <v>-68.489999999999995</v>
      </c>
      <c r="CG3478" s="106">
        <v>-33.585000000000001</v>
      </c>
      <c r="CM3478" s="106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106">
        <v>-33.61</v>
      </c>
      <c r="BI3479" s="106">
        <v>-29.9</v>
      </c>
      <c r="BO3479" s="106">
        <v>-16.344999999999999</v>
      </c>
      <c r="CA3479" s="106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106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92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106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106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106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106">
        <v>-7.99</v>
      </c>
      <c r="BC3490" s="106">
        <v>-16.84</v>
      </c>
      <c r="BO3490" s="106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106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106">
        <v>-8.4049999999999994</v>
      </c>
      <c r="CG3492" s="106">
        <v>-8.0399999999999991</v>
      </c>
      <c r="CS3492" s="74">
        <v>-8.02</v>
      </c>
      <c r="CY3492" s="106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106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106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106">
        <v>-8.1</v>
      </c>
      <c r="BC3498" s="106">
        <v>-16.809999999999999</v>
      </c>
      <c r="BI3498" s="106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106">
        <v>-75.5</v>
      </c>
      <c r="BI3499" s="106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106">
        <f>-9-8.01</f>
        <v>-17.010000000000002</v>
      </c>
      <c r="BC3500" s="106">
        <f>-8.42-8.37</f>
        <v>-16.79</v>
      </c>
      <c r="BI3500" s="106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106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106">
        <v>149.93</v>
      </c>
      <c r="BU3503" s="74">
        <v>150.9</v>
      </c>
      <c r="CA3503" s="106">
        <v>161.30500000000001</v>
      </c>
      <c r="CG3503" s="106">
        <v>165.73</v>
      </c>
      <c r="CY3503" s="106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106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106">
        <v>-36.14</v>
      </c>
      <c r="BC3507" s="106">
        <v>-16.91</v>
      </c>
      <c r="BI3507" s="106">
        <v>-33.24</v>
      </c>
      <c r="CS3507" s="74">
        <v>-16.675000000000001</v>
      </c>
      <c r="CY3507" s="106">
        <v>-32.130000000000003</v>
      </c>
      <c r="DK3507" s="106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106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106">
        <v>-9.1</v>
      </c>
      <c r="BI3510" s="106">
        <v>-8.4700000000000006</v>
      </c>
      <c r="BO3510" s="106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106">
        <v>-9.02</v>
      </c>
      <c r="BC3511" s="106">
        <v>-8.48</v>
      </c>
      <c r="BI3511" s="106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74">
        <v>-34.4</v>
      </c>
      <c r="BC3512" s="106">
        <v>-33.72</v>
      </c>
      <c r="BO3512" s="106">
        <v>-35.380000000000003</v>
      </c>
      <c r="BU3512" s="74">
        <v>-16.72</v>
      </c>
      <c r="CA3512" s="106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106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106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74">
        <v>-17.21</v>
      </c>
      <c r="AL3516" s="42">
        <v>-8.56</v>
      </c>
      <c r="AW3516" s="106">
        <v>-32.15</v>
      </c>
      <c r="BA3516" s="42">
        <v>-27.66</v>
      </c>
      <c r="BI3516" s="106">
        <f>-32.715-33.535</f>
        <v>-66.25</v>
      </c>
      <c r="BO3516" s="106">
        <f>-39.975-32.935</f>
        <v>-72.91</v>
      </c>
      <c r="BU3516" s="74">
        <v>-16.68</v>
      </c>
      <c r="CA3516" s="106">
        <v>-15.79</v>
      </c>
      <c r="CG3516" s="106">
        <v>-16.600000000000001</v>
      </c>
      <c r="CM3516" s="106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106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106">
        <v>-13.8</v>
      </c>
      <c r="BO3524" s="106">
        <v>-8.0500000000000007</v>
      </c>
      <c r="CG3524" s="106">
        <v>-16.32</v>
      </c>
      <c r="CM3524" s="106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106">
        <v>180.51</v>
      </c>
      <c r="CS3526" s="74">
        <v>229.76499999999999</v>
      </c>
      <c r="CY3526" s="106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106">
        <v>-72.19</v>
      </c>
      <c r="BM3527" s="88">
        <v>-34.89</v>
      </c>
      <c r="CG3527" s="106">
        <v>-66.349999999999994</v>
      </c>
      <c r="CS3527" s="74">
        <v>-33.145000000000003</v>
      </c>
      <c r="CY3527" s="106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106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106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74">
        <v>-8.6199999999999992</v>
      </c>
      <c r="AN3534" s="74">
        <v>-8.61</v>
      </c>
      <c r="BI3534" s="106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106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74">
        <v>-8.6</v>
      </c>
      <c r="AN3537" s="74">
        <v>-9.1300000000000008</v>
      </c>
      <c r="AW3537" s="106">
        <v>-6.96</v>
      </c>
      <c r="CA3537" s="106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106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106">
        <v>-28.76</v>
      </c>
      <c r="DK3539" s="106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106">
        <v>-8.69</v>
      </c>
      <c r="CY3540" s="106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106">
        <v>167.69</v>
      </c>
      <c r="BU3541" s="74">
        <v>161.785</v>
      </c>
      <c r="CA3541" s="106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106">
        <v>-13.85</v>
      </c>
      <c r="BI3542" s="106">
        <v>-15.88</v>
      </c>
      <c r="BO3542" s="106">
        <v>-23.94</v>
      </c>
      <c r="BU3542" s="74">
        <v>-64.430000000000007</v>
      </c>
      <c r="CA3542" s="106">
        <v>-32.984999999999999</v>
      </c>
      <c r="CG3542" s="106">
        <v>-16.66</v>
      </c>
      <c r="CM3542" s="106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106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106">
        <v>-14.835000000000001</v>
      </c>
      <c r="CA3548" s="106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106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106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46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106">
        <v>-3.82</v>
      </c>
      <c r="DM3552" s="46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106">
        <v>429.04</v>
      </c>
      <c r="BI3553" s="106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106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74">
        <v>-17.22</v>
      </c>
      <c r="BC3557" s="106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106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106">
        <v>-6.9249999999999998</v>
      </c>
      <c r="BC3559" s="106">
        <v>-6.99</v>
      </c>
      <c r="BI3559" s="106">
        <v>-9.08</v>
      </c>
      <c r="BO3559" s="106">
        <v>-8.6199999999999992</v>
      </c>
      <c r="BU3559" s="74">
        <v>-8.35</v>
      </c>
      <c r="CA3559" s="106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106">
        <v>-85.27</v>
      </c>
      <c r="BI3560" s="106">
        <v>-137.15</v>
      </c>
      <c r="BO3560" s="106">
        <v>-35.090000000000003</v>
      </c>
      <c r="BU3560" s="74">
        <v>-31.795000000000002</v>
      </c>
      <c r="CA3560" s="106">
        <v>-132.63499999999999</v>
      </c>
      <c r="CG3560" s="106">
        <v>-134.85</v>
      </c>
      <c r="CM3560" s="106">
        <v>-132.4</v>
      </c>
      <c r="CS3560" s="74">
        <v>-67.015000000000001</v>
      </c>
      <c r="CY3560" s="106">
        <v>-66.05</v>
      </c>
      <c r="DE3560" s="74">
        <v>-36.01</v>
      </c>
      <c r="DK3560" s="106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106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106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106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106">
        <v>-6.97</v>
      </c>
      <c r="BI3565" s="106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106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74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106">
        <v>-29.07</v>
      </c>
      <c r="BI3568" s="106">
        <v>-63.3</v>
      </c>
      <c r="CM3568" s="106">
        <v>-33.130000000000003</v>
      </c>
      <c r="DE3568" s="74">
        <v>-32.65</v>
      </c>
      <c r="DK3568" s="106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106">
        <v>-29.15</v>
      </c>
      <c r="BC3569" s="106">
        <v>-28.48</v>
      </c>
      <c r="BO3569" s="106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106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92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106">
        <f>-8.21-8.31-6.92</f>
        <v>-23.44</v>
      </c>
      <c r="CG3573" s="106">
        <v>-32.28</v>
      </c>
      <c r="CM3573" s="106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106">
        <v>-101.5</v>
      </c>
      <c r="BC3574" s="106">
        <v>-85.73</v>
      </c>
      <c r="BU3574" s="74">
        <v>-66.084999999999994</v>
      </c>
      <c r="CA3574" s="106">
        <v>-33.034999999999997</v>
      </c>
      <c r="CG3574" s="106">
        <v>-34.08</v>
      </c>
      <c r="CS3574" s="74">
        <v>-32.924999999999997</v>
      </c>
      <c r="DK3574" s="106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106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106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74">
        <v>-68.234999999999999</v>
      </c>
      <c r="CY3577" s="106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106">
        <v>-7.91</v>
      </c>
      <c r="BO3578" s="106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106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106">
        <v>283.61500000000001</v>
      </c>
      <c r="CA3584" s="106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106">
        <v>-42.85</v>
      </c>
      <c r="BU3586" s="74">
        <v>-8.2899999999999991</v>
      </c>
      <c r="CA3586" s="106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106">
        <v>-27.42</v>
      </c>
      <c r="BC3587" s="106">
        <v>-29.31</v>
      </c>
      <c r="BI3587" s="106">
        <v>-34.22</v>
      </c>
      <c r="BO3587" s="106">
        <v>-33.125</v>
      </c>
      <c r="BU3587" s="74">
        <v>-33.880000000000003</v>
      </c>
      <c r="CA3587" s="106">
        <v>-32.424999999999997</v>
      </c>
      <c r="CM3587" s="106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106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106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106">
        <v>-64.064999999999998</v>
      </c>
      <c r="BC3592" s="106">
        <v>-57.06</v>
      </c>
      <c r="BI3592" s="106">
        <v>-68.45</v>
      </c>
      <c r="BO3592" s="106">
        <v>-67.87</v>
      </c>
      <c r="BU3592" s="74">
        <v>-64.754999999999995</v>
      </c>
      <c r="CA3592" s="106">
        <v>-65.44</v>
      </c>
      <c r="CM3592" s="106">
        <v>-64.92</v>
      </c>
      <c r="CS3592" s="74">
        <v>-67.05</v>
      </c>
      <c r="CY3592" s="106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106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106">
        <v>-8.5299999999999994</v>
      </c>
      <c r="BO3598" s="106">
        <v>-8.61</v>
      </c>
      <c r="CA3598" s="106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106">
        <v>-6.77</v>
      </c>
      <c r="BI3599" s="106">
        <v>-8.61</v>
      </c>
      <c r="BO3599" s="106">
        <v>-7.96</v>
      </c>
      <c r="BU3599" s="74">
        <v>-7.68</v>
      </c>
      <c r="CA3599" s="106">
        <v>-8.1199999999999992</v>
      </c>
      <c r="CG3599" s="106">
        <v>-8.48</v>
      </c>
      <c r="CM3599" s="106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74">
        <v>-3.48</v>
      </c>
      <c r="CY3602" s="106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106">
        <v>-16.824999999999999</v>
      </c>
      <c r="CA3603" s="106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106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106">
        <v>172.49</v>
      </c>
      <c r="DK3605" s="106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106">
        <v>-34.159999999999997</v>
      </c>
      <c r="BO3606" s="106">
        <v>-33.674999999999997</v>
      </c>
      <c r="CA3606" s="106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106">
        <v>-33.734999999999999</v>
      </c>
      <c r="BO3607" s="106">
        <v>-16.425000000000001</v>
      </c>
      <c r="CA3607" s="106">
        <v>-32.424999999999997</v>
      </c>
      <c r="CY3607" s="106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106">
        <v>-8.1150000000000002</v>
      </c>
      <c r="CG3610" s="106">
        <v>-4.12</v>
      </c>
      <c r="CM3610" s="106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106">
        <v>-8.5299999999999994</v>
      </c>
      <c r="DE3611" s="74">
        <v>-16.579999999999998</v>
      </c>
      <c r="DK3611" s="106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106">
        <v>-8.6999999999999993</v>
      </c>
      <c r="CA3614" s="106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106">
        <v>-31.274999999999999</v>
      </c>
      <c r="CA3615" s="106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106">
        <v>64.305000000000007</v>
      </c>
      <c r="CM3617" s="106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106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386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106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106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386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106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106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106">
        <v>-8.4949999999999992</v>
      </c>
      <c r="BO3631" s="106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106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106">
        <v>-31.59</v>
      </c>
      <c r="CY3636" s="106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106">
        <f>63.36+152.94</f>
        <v>216.3</v>
      </c>
      <c r="BO3637" s="106">
        <v>33.5</v>
      </c>
      <c r="BU3637" s="74">
        <v>34.445</v>
      </c>
      <c r="CA3637" s="106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106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106">
        <v>-33.5</v>
      </c>
      <c r="CA3639" s="106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106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106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106">
        <v>7.8</v>
      </c>
      <c r="BI3642" s="106">
        <v>6.46</v>
      </c>
      <c r="CG3642" s="106">
        <v>5.42</v>
      </c>
      <c r="CS3642" s="74">
        <v>5.66</v>
      </c>
      <c r="DK3642" s="106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386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106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106">
        <v>-32.869999999999997</v>
      </c>
      <c r="CA3647" s="106">
        <v>-64.314999999999998</v>
      </c>
      <c r="CM3647" s="106">
        <v>-167.51</v>
      </c>
      <c r="CY3647" s="106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106">
        <v>-32.409999999999997</v>
      </c>
      <c r="DE3648" s="74">
        <v>-67.17</v>
      </c>
      <c r="DK3648" s="106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106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106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92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106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106">
        <v>-7.08</v>
      </c>
      <c r="BI3656" s="106">
        <v>-17.29</v>
      </c>
      <c r="BO3656" s="106">
        <v>-24.725000000000001</v>
      </c>
      <c r="BU3656" s="74">
        <v>-33.725000000000001</v>
      </c>
      <c r="CA3656" s="106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106">
        <v>179.63</v>
      </c>
      <c r="BO3657" s="106">
        <v>158.44499999999999</v>
      </c>
      <c r="BU3657" s="74">
        <v>166.19499999999999</v>
      </c>
      <c r="CG3657" s="106">
        <v>159.46</v>
      </c>
      <c r="CY3657" s="106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106">
        <v>-17.66</v>
      </c>
      <c r="BC3658" s="106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106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106">
        <v>-17.940000000000001</v>
      </c>
      <c r="BI3661" s="106">
        <v>-27.135000000000002</v>
      </c>
      <c r="BO3661" s="106">
        <v>-15.41</v>
      </c>
      <c r="CA3661" s="106">
        <v>-8.0649999999999995</v>
      </c>
      <c r="CG3661" s="106">
        <v>-15.84</v>
      </c>
      <c r="CY3661" s="106">
        <v>-17.355</v>
      </c>
      <c r="DE3661" s="74">
        <v>-16.62</v>
      </c>
      <c r="DK3661" s="106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386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106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106">
        <v>-32.799999999999997</v>
      </c>
      <c r="BO3665" s="106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106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106">
        <v>-16.68</v>
      </c>
      <c r="CY3669" s="106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106">
        <v>-36.314999999999998</v>
      </c>
      <c r="BM3670" s="88">
        <f>-8.77-8.78-8.75</f>
        <v>-26.3</v>
      </c>
      <c r="BO3670" s="106">
        <v>-8.1300000000000008</v>
      </c>
      <c r="BU3670" s="74">
        <v>-66.8</v>
      </c>
      <c r="CA3670" s="106">
        <v>-64.314999999999998</v>
      </c>
      <c r="CG3670" s="106">
        <v>-31.83</v>
      </c>
      <c r="DE3670" s="74">
        <v>-33.83</v>
      </c>
      <c r="DK3670" s="106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106">
        <v>-8.3149999999999995</v>
      </c>
      <c r="CM3671" s="106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106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106">
        <v>-8.0250000000000004</v>
      </c>
      <c r="CM3674" s="106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106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106">
        <v>-9.1050000000000004</v>
      </c>
      <c r="CM3676" s="106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106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106">
        <v>-9.09</v>
      </c>
      <c r="BU3679" s="74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106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106">
        <v>-35.93</v>
      </c>
      <c r="BI3681" s="106">
        <v>-18.190000000000001</v>
      </c>
      <c r="CA3681" s="106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106">
        <v>-9.0399999999999991</v>
      </c>
      <c r="BI3682" s="106">
        <v>-9.19</v>
      </c>
      <c r="CA3682" s="106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106">
        <f>89.32+35.91</f>
        <v>125.23</v>
      </c>
      <c r="BO3685" s="106">
        <v>136.6</v>
      </c>
      <c r="BU3685" s="74">
        <v>114.95</v>
      </c>
      <c r="CA3685" s="106">
        <v>81.224999999999994</v>
      </c>
      <c r="CG3685" s="106">
        <v>101.17</v>
      </c>
      <c r="CS3685" s="74">
        <v>83.8</v>
      </c>
      <c r="DE3685" s="74">
        <v>69.09</v>
      </c>
      <c r="DK3685" s="106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106">
        <v>-16.05</v>
      </c>
      <c r="BC3686" s="106">
        <v>-17.945</v>
      </c>
      <c r="BI3686" s="106">
        <v>-18.38</v>
      </c>
      <c r="BO3686" s="106">
        <v>-25.31</v>
      </c>
      <c r="BU3686" s="74">
        <v>-24.5</v>
      </c>
      <c r="CA3686" s="106">
        <v>-24.14</v>
      </c>
      <c r="CG3686" s="106">
        <v>-8.5350000000000001</v>
      </c>
      <c r="CM3686" s="106">
        <v>-16.36</v>
      </c>
      <c r="CS3686" s="74">
        <v>-8.2200000000000006</v>
      </c>
      <c r="CY3686" s="106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106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106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106">
        <v>-35.865000000000002</v>
      </c>
      <c r="BI3695" s="106">
        <v>-35.365000000000002</v>
      </c>
      <c r="BO3695" s="106">
        <v>-34.130000000000003</v>
      </c>
      <c r="BU3695" s="74">
        <v>-32.94</v>
      </c>
      <c r="CM3695" s="106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106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106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106">
        <v>-8.9250000000000007</v>
      </c>
      <c r="BI3701" s="106">
        <v>-9.0350000000000001</v>
      </c>
      <c r="BO3701" s="106">
        <v>-8.4849999999999994</v>
      </c>
      <c r="CA3701" s="106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74">
        <v>69.234999999999999</v>
      </c>
      <c r="AN3703" s="74">
        <v>69.295000000000002</v>
      </c>
      <c r="AR3703" s="74">
        <v>74.325000000000003</v>
      </c>
      <c r="AW3703" s="106">
        <v>106.1</v>
      </c>
      <c r="BC3703" s="106">
        <v>216.32</v>
      </c>
      <c r="BI3703" s="106">
        <v>213.53</v>
      </c>
      <c r="BO3703" s="106">
        <v>34.299999999999997</v>
      </c>
      <c r="BU3703" s="74">
        <v>65.834999999999994</v>
      </c>
      <c r="CA3703" s="106">
        <v>98.25</v>
      </c>
      <c r="CG3703" s="106">
        <f>75.89+242.25</f>
        <v>318.14</v>
      </c>
      <c r="CS3703" s="74">
        <v>206.04</v>
      </c>
      <c r="CY3703" s="106">
        <v>104.655</v>
      </c>
      <c r="DE3703" s="74">
        <v>68.045000000000002</v>
      </c>
      <c r="DK3703" s="106">
        <v>98.004999999999995</v>
      </c>
      <c r="DP3703" s="74">
        <v>63.99</v>
      </c>
      <c r="DU3703" s="106">
        <v>68.305000000000007</v>
      </c>
      <c r="EA3703" s="74">
        <v>103.58</v>
      </c>
      <c r="HF3703" s="92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74">
        <v>-69.234999999999999</v>
      </c>
      <c r="AN3704" s="74">
        <v>-34.715000000000003</v>
      </c>
      <c r="AR3704" s="74">
        <v>-37.325000000000003</v>
      </c>
      <c r="BI3704" s="106">
        <v>-35.695</v>
      </c>
      <c r="BU3704" s="74">
        <v>-65.834999999999994</v>
      </c>
      <c r="CA3704" s="106">
        <v>-98.25</v>
      </c>
      <c r="CG3704" s="106">
        <v>-102.14</v>
      </c>
      <c r="CM3704" s="106">
        <v>-64.239999999999995</v>
      </c>
      <c r="CS3704" s="74">
        <v>-34.344999999999999</v>
      </c>
      <c r="CY3704" s="106">
        <v>-34.85</v>
      </c>
      <c r="DK3704" s="106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106">
        <v>-26.49</v>
      </c>
      <c r="BU3705" s="74">
        <v>-49.11</v>
      </c>
      <c r="CM3705" s="106">
        <v>-48.9</v>
      </c>
      <c r="CS3705" s="74">
        <v>-33.57</v>
      </c>
      <c r="CY3705" s="106">
        <v>-17.385000000000002</v>
      </c>
      <c r="DE3705" s="74">
        <v>-35.445</v>
      </c>
      <c r="DK3705" s="106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106">
        <v>-32.43</v>
      </c>
      <c r="CS3706" s="74">
        <v>-16.635000000000002</v>
      </c>
      <c r="CY3706" s="106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106">
        <v>-70.415000000000006</v>
      </c>
      <c r="BC3708" s="106">
        <v>-72.094999999999999</v>
      </c>
      <c r="BI3708" s="106">
        <v>-71.474999999999994</v>
      </c>
      <c r="BO3708" s="106">
        <v>-34.299999999999997</v>
      </c>
      <c r="BY3708" s="42">
        <v>-33.43</v>
      </c>
      <c r="CA3708" s="106">
        <v>-32.884999999999998</v>
      </c>
      <c r="CG3708" s="106">
        <v>-65.58</v>
      </c>
      <c r="CM3708" s="106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106">
        <v>-35.685000000000002</v>
      </c>
      <c r="BC3709" s="106">
        <v>-35.96</v>
      </c>
      <c r="BI3709" s="106">
        <v>-35.524999999999999</v>
      </c>
      <c r="BO3709" s="106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106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106">
        <v>-9.0549999999999997</v>
      </c>
      <c r="BI3711" s="106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106">
        <v>-8.875</v>
      </c>
      <c r="BO3712" s="106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106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106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92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106">
        <v>-8.08</v>
      </c>
      <c r="BC3717" s="106">
        <v>-9.0500000000000007</v>
      </c>
      <c r="BI3717" s="106">
        <v>-8.875</v>
      </c>
      <c r="BO3717" s="106">
        <v>-16.594999999999999</v>
      </c>
      <c r="BU3717" s="74">
        <v>-8.24</v>
      </c>
      <c r="CA3717" s="106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92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92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106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106">
        <v>-23.19</v>
      </c>
      <c r="CG3723" s="106">
        <v>-16.635000000000002</v>
      </c>
      <c r="CM3723" s="106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106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106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106">
        <v>-8.2200000000000006</v>
      </c>
      <c r="CG3730" s="106">
        <v>-8.5150000000000006</v>
      </c>
      <c r="CM3730" s="106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106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106">
        <v>-8.4499999999999993</v>
      </c>
      <c r="BC3733" s="106">
        <v>-9.09</v>
      </c>
      <c r="BI3733" s="106">
        <v>-8.9</v>
      </c>
      <c r="BO3733" s="106">
        <v>-6.86</v>
      </c>
      <c r="CG3733" s="106">
        <v>-8.5549999999999997</v>
      </c>
      <c r="CM3733" s="106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74">
        <v>51.905000000000001</v>
      </c>
      <c r="AR3735" s="74">
        <v>144.86000000000001</v>
      </c>
      <c r="AW3735" s="106">
        <v>141.66999999999999</v>
      </c>
      <c r="BC3735" s="106">
        <v>72.069999999999993</v>
      </c>
      <c r="BI3735" s="106">
        <v>106.58</v>
      </c>
      <c r="CA3735" s="106">
        <v>99.16</v>
      </c>
      <c r="CM3735" s="106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106">
        <v>-35.130000000000003</v>
      </c>
      <c r="BI3738" s="106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106">
        <v>-8.8249999999999993</v>
      </c>
      <c r="CA3741" s="106">
        <v>-8.23</v>
      </c>
      <c r="CG3741" s="106">
        <v>-8.5399999999999991</v>
      </c>
      <c r="CM3741" s="106">
        <v>-8.4700000000000006</v>
      </c>
      <c r="CY3741" s="106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106">
        <v>-8.4749999999999996</v>
      </c>
      <c r="BC3742" s="106">
        <v>-8.9250000000000007</v>
      </c>
      <c r="BI3742" s="106">
        <v>-8.8550000000000004</v>
      </c>
      <c r="CA3742" s="106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106">
        <v>-8.77</v>
      </c>
      <c r="BI3743" s="106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106">
        <v>-8.91</v>
      </c>
      <c r="CA3744" s="106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106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106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106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74">
        <v>-8.6</v>
      </c>
      <c r="AN3748" s="74">
        <v>-8.64</v>
      </c>
      <c r="AR3748" s="74">
        <v>-9</v>
      </c>
      <c r="AW3748" s="106">
        <v>-8.7050000000000001</v>
      </c>
      <c r="CA3748" s="106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106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74">
        <v>69.209999999999994</v>
      </c>
      <c r="AR3751" s="74">
        <v>108</v>
      </c>
      <c r="BI3751" s="106">
        <v>158.91999999999999</v>
      </c>
      <c r="DK3751" s="106">
        <v>259.14499999999998</v>
      </c>
      <c r="DP3751" s="74">
        <v>178.54499999999999</v>
      </c>
      <c r="EA3751" s="74">
        <v>98.305000000000007</v>
      </c>
      <c r="GQ3751" s="92">
        <v>197.87</v>
      </c>
      <c r="HF3751" s="92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106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106">
        <v>-9.1050000000000004</v>
      </c>
      <c r="BI3756" s="106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74">
        <v>-17.2</v>
      </c>
      <c r="AN3757" s="74">
        <v>-25.815000000000001</v>
      </c>
      <c r="AR3757" s="74">
        <v>-18.114999999999998</v>
      </c>
      <c r="AW3757" s="106">
        <v>-35.695</v>
      </c>
      <c r="BC3757" s="106">
        <v>-35.880000000000003</v>
      </c>
      <c r="BI3757" s="106">
        <v>-35.770000000000003</v>
      </c>
      <c r="CG3757" s="106">
        <v>-25</v>
      </c>
      <c r="CM3757" s="106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106">
        <v>205.37</v>
      </c>
      <c r="BU3759" s="74">
        <v>214.33</v>
      </c>
      <c r="CA3759" s="106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106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106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106">
        <v>-8.85</v>
      </c>
      <c r="BC3762" s="106">
        <v>-9.07</v>
      </c>
      <c r="BI3762" s="106">
        <v>-8.82</v>
      </c>
      <c r="CA3762" s="106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106">
        <v>-36.005000000000003</v>
      </c>
      <c r="BI3763" s="106">
        <v>-34.445</v>
      </c>
      <c r="BU3763" s="74">
        <v>-24.54</v>
      </c>
      <c r="CA3763" s="106">
        <v>-15.96</v>
      </c>
      <c r="CY3763" s="106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106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106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106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106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106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74">
        <v>-8.6300000000000008</v>
      </c>
      <c r="BO3773" s="106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106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106">
        <v>-8.9700000000000006</v>
      </c>
      <c r="BU3779" s="74">
        <v>-9.0150000000000006</v>
      </c>
      <c r="CA3779" s="106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106">
        <v>95.515000000000001</v>
      </c>
      <c r="BU3782" s="74">
        <v>99.07</v>
      </c>
      <c r="CG3782" s="106">
        <v>64.209999999999994</v>
      </c>
      <c r="CM3782" s="106">
        <v>65.8</v>
      </c>
      <c r="CY3782" s="106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92">
        <v>-109.625</v>
      </c>
      <c r="HJ3783" s="79">
        <v>-84.31</v>
      </c>
      <c r="HP3783" s="92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106">
        <v>-44.88</v>
      </c>
      <c r="BI3784" s="106">
        <v>-17.84</v>
      </c>
      <c r="BO3784" s="106">
        <v>-30.914999999999999</v>
      </c>
      <c r="CA3784" s="106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106">
        <v>-17.535</v>
      </c>
      <c r="CM3786" s="106">
        <v>-32.715000000000003</v>
      </c>
      <c r="CY3786" s="106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106">
        <v>-8.85</v>
      </c>
      <c r="BO3787" s="106">
        <v>-8.08</v>
      </c>
      <c r="CA3787" s="106">
        <v>-7.9950000000000001</v>
      </c>
      <c r="CG3787" s="106">
        <v>-8.0399999999999991</v>
      </c>
      <c r="CM3787" s="106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106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106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106">
        <v>-32.854999999999997</v>
      </c>
      <c r="BU3792" s="74">
        <v>-32.914999999999999</v>
      </c>
      <c r="CA3792" s="106">
        <v>-31.895</v>
      </c>
      <c r="DK3792" s="106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106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106">
        <v>-33.520000000000003</v>
      </c>
      <c r="BU3796" s="74">
        <v>-33.935000000000002</v>
      </c>
      <c r="CA3796" s="106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106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74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106">
        <v>105.19499999999999</v>
      </c>
      <c r="BC3799" s="106">
        <v>34.56</v>
      </c>
      <c r="BI3799" s="106">
        <v>100.6</v>
      </c>
      <c r="BU3799" s="74">
        <v>216.505</v>
      </c>
      <c r="CA3799" s="106">
        <v>75.855000000000004</v>
      </c>
      <c r="CG3799" s="106">
        <v>95.125</v>
      </c>
      <c r="CM3799" s="106">
        <v>66.900000000000006</v>
      </c>
      <c r="CS3799" s="74">
        <v>166.82499999999999</v>
      </c>
      <c r="CY3799" s="106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106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106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106">
        <v>-18.074999999999999</v>
      </c>
      <c r="BC3802" s="106">
        <v>-17.254999999999999</v>
      </c>
      <c r="BI3802" s="106">
        <v>-8.9550000000000001</v>
      </c>
      <c r="BO3802" s="106">
        <v>-7.5549999999999997</v>
      </c>
      <c r="BU3802" s="74">
        <v>-24.65</v>
      </c>
      <c r="CA3802" s="106">
        <v>-22.26</v>
      </c>
      <c r="CG3802" s="106">
        <v>-16.079999999999998</v>
      </c>
      <c r="CM3802" s="106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106">
        <v>-8.7050000000000001</v>
      </c>
      <c r="BI3807" s="106">
        <v>-8.5649999999999995</v>
      </c>
      <c r="BO3807" s="106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106">
        <v>101.06</v>
      </c>
      <c r="BC3808" s="106">
        <v>166.98</v>
      </c>
      <c r="BI3808" s="106">
        <v>155.36500000000001</v>
      </c>
      <c r="BO3808" s="106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106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106">
        <v>-76.055000000000007</v>
      </c>
      <c r="BU3810" s="74">
        <v>-99.33</v>
      </c>
      <c r="CA3810" s="106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106">
        <v>-26.1</v>
      </c>
      <c r="BC3811" s="106">
        <v>-22.905000000000001</v>
      </c>
      <c r="BI3811" s="106">
        <v>-25.21</v>
      </c>
      <c r="BU3811" s="74">
        <v>-8.2149999999999999</v>
      </c>
      <c r="CA3811" s="106">
        <v>-14.09</v>
      </c>
      <c r="CG3811" s="106">
        <v>-24.21</v>
      </c>
      <c r="CY3811" s="106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106">
        <v>-7.6150000000000002</v>
      </c>
      <c r="BI3812" s="106">
        <v>-7.81</v>
      </c>
      <c r="BO3812" s="106">
        <v>-7.63</v>
      </c>
      <c r="BU3812" s="74">
        <v>-8.2100000000000009</v>
      </c>
      <c r="CA3812" s="106">
        <v>-8.3800000000000008</v>
      </c>
      <c r="CG3812" s="106">
        <v>-7.9850000000000003</v>
      </c>
      <c r="CS3812" s="74">
        <v>-8.39</v>
      </c>
      <c r="CY3812" s="106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106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106">
        <v>-24.94</v>
      </c>
      <c r="CM3816" s="106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106">
        <v>-7.9850000000000003</v>
      </c>
      <c r="CG3817" s="106">
        <v>-24.065000000000001</v>
      </c>
      <c r="CM3817" s="106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106">
        <v>-17.945</v>
      </c>
      <c r="BC3818" s="106">
        <v>-20.010000000000002</v>
      </c>
      <c r="BI3818" s="106">
        <v>-17.39</v>
      </c>
      <c r="BO3818" s="106">
        <v>-15.045</v>
      </c>
      <c r="CG3818" s="106">
        <v>-16.05</v>
      </c>
      <c r="CM3818" s="106">
        <v>-8.0299999999999994</v>
      </c>
      <c r="CS3818" s="74">
        <v>-24.04</v>
      </c>
      <c r="CY3818" s="106">
        <v>-24.164999999999999</v>
      </c>
      <c r="DE3818" s="74">
        <v>-16.809999999999999</v>
      </c>
      <c r="DK3818" s="106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106">
        <v>-41.814999999999998</v>
      </c>
      <c r="CS3820" s="74">
        <v>-42.09</v>
      </c>
      <c r="CY3820" s="106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74">
        <v>-34.615000000000002</v>
      </c>
      <c r="BC3821" s="106">
        <v>-26.605</v>
      </c>
      <c r="BI3821" s="106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106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106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106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74">
        <v>-8.65</v>
      </c>
      <c r="CY3830" s="106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74">
        <v>-17.245000000000001</v>
      </c>
      <c r="AN3833" s="74">
        <v>-34.549999999999997</v>
      </c>
      <c r="AR3833" s="74">
        <v>-35.93</v>
      </c>
      <c r="CY3833" s="106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106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106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106">
        <v>215.59</v>
      </c>
      <c r="BI3838" s="106">
        <v>209</v>
      </c>
      <c r="BO3838" s="106">
        <v>193.98</v>
      </c>
      <c r="BU3838" s="74">
        <v>196.035</v>
      </c>
      <c r="CA3838" s="106">
        <v>198.53</v>
      </c>
      <c r="CG3838" s="106">
        <v>197.13</v>
      </c>
      <c r="CM3838" s="106">
        <v>192.19499999999999</v>
      </c>
      <c r="CS3838" s="74">
        <v>197.47</v>
      </c>
      <c r="CY3838" s="106">
        <v>196.76</v>
      </c>
      <c r="DK3838" s="106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106">
        <v>-26.844999999999999</v>
      </c>
      <c r="BI3839" s="106">
        <v>-70.084999999999994</v>
      </c>
      <c r="BO3839" s="106">
        <v>-65.334999999999994</v>
      </c>
      <c r="BU3839" s="74">
        <v>-63.7</v>
      </c>
      <c r="CA3839" s="106">
        <v>-98.905000000000001</v>
      </c>
      <c r="CG3839" s="106">
        <v>-66.25</v>
      </c>
      <c r="CM3839" s="106">
        <v>-64.185000000000002</v>
      </c>
      <c r="CS3839" s="74">
        <v>-32.74</v>
      </c>
      <c r="CY3839" s="106">
        <v>-32.994999999999997</v>
      </c>
      <c r="DK3839" s="106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106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106">
        <v>-18.03</v>
      </c>
      <c r="CA3842" s="106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106">
        <v>-9.11</v>
      </c>
      <c r="BC3843" s="106">
        <f>-9.09-7.525-6.76</f>
        <v>-23.375</v>
      </c>
      <c r="BI3843" s="106">
        <f>-8.69-8.69-8.725</f>
        <v>-26.105</v>
      </c>
      <c r="BO3843" s="106">
        <f>-8.15-8.18-8.165</f>
        <v>-24.495000000000001</v>
      </c>
      <c r="BU3843" s="74">
        <v>-7.93</v>
      </c>
      <c r="CA3843" s="106">
        <f>-8.275-7.96</f>
        <v>-16.234999999999999</v>
      </c>
      <c r="CG3843" s="106">
        <f>-8.445-8.485-8.475</f>
        <v>-25.405000000000001</v>
      </c>
      <c r="CM3843" s="106">
        <f>-8.135-8.14</f>
        <v>-16.274999999999999</v>
      </c>
      <c r="CS3843" s="74">
        <v>-8.2899999999999991</v>
      </c>
      <c r="CY3843" s="106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106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106">
        <v>-36.024999999999999</v>
      </c>
      <c r="BI3847" s="106">
        <v>-34.67</v>
      </c>
      <c r="BO3847" s="106">
        <v>-32.354999999999997</v>
      </c>
      <c r="CG3847" s="106">
        <v>-33.64</v>
      </c>
      <c r="CM3847" s="106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106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106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106">
        <v>-8.7750000000000004</v>
      </c>
      <c r="CM3852" s="106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106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106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106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106">
        <v>207.18199999999999</v>
      </c>
      <c r="BI3861" s="106">
        <v>206.36500000000001</v>
      </c>
      <c r="BO3861" s="106">
        <v>201.1</v>
      </c>
      <c r="BU3861" s="74">
        <v>197.76</v>
      </c>
      <c r="CA3861" s="106">
        <v>197.55</v>
      </c>
      <c r="CG3861" s="106">
        <v>200.8</v>
      </c>
      <c r="CM3861" s="106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106">
        <v>-8.1300000000000008</v>
      </c>
      <c r="CG3862" s="106">
        <v>-8.4499999999999993</v>
      </c>
      <c r="CM3862" s="106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106">
        <v>-26.914999999999999</v>
      </c>
      <c r="BC3863" s="106">
        <v>-25.97</v>
      </c>
      <c r="BI3863" s="106">
        <v>-34.115000000000002</v>
      </c>
      <c r="BO3863" s="106">
        <v>-37.58</v>
      </c>
      <c r="BU3863" s="74">
        <v>-40.81</v>
      </c>
      <c r="CA3863" s="106">
        <v>-32.909999999999997</v>
      </c>
      <c r="CG3863" s="106">
        <v>-8.5299999999999994</v>
      </c>
      <c r="CM3863" s="106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106">
        <v>-8.64</v>
      </c>
      <c r="BI3864" s="106">
        <v>-8.5150000000000006</v>
      </c>
      <c r="BO3864" s="106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106">
        <v>-16.295000000000002</v>
      </c>
      <c r="BI3866" s="106">
        <v>-16.91</v>
      </c>
      <c r="BU3866" s="74">
        <v>-8.2050000000000001</v>
      </c>
      <c r="CA3866" s="106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106">
        <v>-35.865000000000002</v>
      </c>
      <c r="BC3867" s="106">
        <v>-34.392000000000003</v>
      </c>
      <c r="BI3867" s="106">
        <v>-35.03</v>
      </c>
      <c r="BO3867" s="106">
        <v>-30.72</v>
      </c>
      <c r="BU3867" s="74">
        <v>-32.715000000000003</v>
      </c>
      <c r="CA3867" s="106">
        <v>-65.94</v>
      </c>
      <c r="CG3867" s="106">
        <v>-67.844999999999999</v>
      </c>
      <c r="CM3867" s="106">
        <v>-32.49</v>
      </c>
      <c r="CS3867" s="74">
        <v>-30.145</v>
      </c>
      <c r="CY3867" s="106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106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106">
        <v>-34.409999999999997</v>
      </c>
      <c r="BI3871" s="106">
        <v>-34.805</v>
      </c>
      <c r="BO3871" s="106">
        <v>-31.18</v>
      </c>
      <c r="CA3871" s="106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106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386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74">
        <v>-34.659999999999997</v>
      </c>
      <c r="AN3874" s="74">
        <v>-35.380000000000003</v>
      </c>
      <c r="BO3874" s="106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106">
        <v>-16.18</v>
      </c>
      <c r="CG3876" s="106">
        <v>-8.4949999999999992</v>
      </c>
      <c r="CM3876" s="106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106">
        <v>167.57499999999999</v>
      </c>
      <c r="BC3879" s="106">
        <v>120.155</v>
      </c>
      <c r="CA3879" s="106">
        <v>173.69</v>
      </c>
      <c r="CG3879" s="106">
        <v>99.32</v>
      </c>
      <c r="CM3879" s="106">
        <v>101.405</v>
      </c>
      <c r="CS3879" s="74">
        <v>169.75</v>
      </c>
      <c r="CY3879" s="106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106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106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106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106">
        <v>-8.9499999999999993</v>
      </c>
      <c r="BC3892" s="106">
        <v>-8.2100000000000009</v>
      </c>
      <c r="BI3892" s="106">
        <v>-8.4499999999999993</v>
      </c>
      <c r="BO3892" s="106">
        <v>-8.8149999999999995</v>
      </c>
      <c r="BU3892" s="74">
        <v>-8.1950000000000003</v>
      </c>
      <c r="CA3892" s="106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74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106">
        <v>-100.53</v>
      </c>
      <c r="BC3895" s="106">
        <v>-67.185000000000002</v>
      </c>
      <c r="BI3895" s="106">
        <v>-98.435000000000002</v>
      </c>
      <c r="CA3895" s="106">
        <v>-138.83000000000001</v>
      </c>
      <c r="CG3895" s="106">
        <v>-133.14500000000001</v>
      </c>
      <c r="CM3895" s="106">
        <v>-168.125</v>
      </c>
      <c r="CS3895" s="74">
        <v>-199.51</v>
      </c>
      <c r="CY3895" s="106">
        <v>-99.83</v>
      </c>
      <c r="DE3895" s="74">
        <v>-66.915000000000006</v>
      </c>
      <c r="DK3895" s="106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106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106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106">
        <v>206.08500000000001</v>
      </c>
      <c r="BU3898" s="74">
        <v>197.91499999999999</v>
      </c>
      <c r="CA3898" s="106">
        <v>188.20500000000001</v>
      </c>
      <c r="CM3898" s="106">
        <v>194.70500000000001</v>
      </c>
      <c r="CY3898" s="106">
        <v>189.24</v>
      </c>
      <c r="DE3898" s="74">
        <v>193.81</v>
      </c>
      <c r="DK3898" s="106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74">
        <v>-16.3</v>
      </c>
      <c r="CS3899" s="74">
        <v>-35.78</v>
      </c>
      <c r="CY3899" s="106">
        <v>-31.55</v>
      </c>
      <c r="DK3899" s="106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106">
        <v>-33.814999999999998</v>
      </c>
      <c r="BO3900" s="106">
        <v>-63.91</v>
      </c>
      <c r="BU3900" s="74">
        <v>-34.064999999999998</v>
      </c>
      <c r="CA3900" s="106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106">
        <v>-69.334999999999994</v>
      </c>
      <c r="BI3901" s="106">
        <v>-67.825000000000003</v>
      </c>
      <c r="BO3901" s="106">
        <v>-31.465</v>
      </c>
      <c r="BU3901" s="74">
        <v>-32.69</v>
      </c>
      <c r="CG3901" s="106">
        <v>-30.535</v>
      </c>
      <c r="CM3901" s="106">
        <v>-32.479999999999997</v>
      </c>
      <c r="CS3901" s="74">
        <v>-32.835000000000001</v>
      </c>
      <c r="CY3901" s="106">
        <v>-31.125</v>
      </c>
      <c r="DE3901" s="74">
        <v>-66.78</v>
      </c>
      <c r="DK3901" s="106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106">
        <v>-7.9349999999999996</v>
      </c>
      <c r="BO3902" s="106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74">
        <v>-8.61</v>
      </c>
      <c r="AW3904" s="106">
        <v>-8.3550000000000004</v>
      </c>
      <c r="BO3904" s="106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106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106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106">
        <v>-14.965</v>
      </c>
      <c r="BO3907" s="106">
        <v>-7.25</v>
      </c>
      <c r="CA3907" s="106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74">
        <v>-8.61</v>
      </c>
      <c r="AW3908" s="106">
        <v>-8.3550000000000004</v>
      </c>
      <c r="BO3908" s="106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74">
        <v>-8.61</v>
      </c>
      <c r="AN3909" s="74">
        <v>-8.86</v>
      </c>
      <c r="AR3909" s="74">
        <v>-9.08</v>
      </c>
      <c r="AW3909" s="106">
        <v>-25.395</v>
      </c>
      <c r="BO3909" s="106">
        <v>-15.9</v>
      </c>
      <c r="CA3909" s="106">
        <v>-40.47</v>
      </c>
      <c r="CM3909" s="106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106">
        <v>-29.47</v>
      </c>
      <c r="BO3912" s="106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106">
        <v>148.465</v>
      </c>
      <c r="BC3913" s="106">
        <v>100.105</v>
      </c>
      <c r="CA3913" s="106">
        <v>168.76499999999999</v>
      </c>
      <c r="CG3913" s="106">
        <v>301.97000000000003</v>
      </c>
      <c r="CM3913" s="106">
        <v>133.685</v>
      </c>
      <c r="CS3913" s="74">
        <v>166.91</v>
      </c>
      <c r="CY3913" s="106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106">
        <v>198.393</v>
      </c>
      <c r="BC3914" s="106">
        <v>204.88</v>
      </c>
      <c r="BI3914" s="106">
        <v>196.54499999999999</v>
      </c>
      <c r="BO3914" s="106">
        <v>187.33500000000001</v>
      </c>
      <c r="BU3914" s="74">
        <v>204.41499999999999</v>
      </c>
      <c r="CA3914" s="106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106">
        <v>-41.104999999999997</v>
      </c>
      <c r="BI3916" s="106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106">
        <v>-53.195</v>
      </c>
      <c r="BI3917" s="106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106">
        <v>-34.200000000000003</v>
      </c>
      <c r="BI3918" s="106">
        <v>-30.405000000000001</v>
      </c>
      <c r="BO3918" s="106">
        <v>-31.74</v>
      </c>
      <c r="BU3918" s="74">
        <v>-33.895000000000003</v>
      </c>
      <c r="CS3918" s="74">
        <v>-32.090000000000003</v>
      </c>
      <c r="CY3918" s="106">
        <v>-32.674999999999997</v>
      </c>
      <c r="DK3918" s="106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106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106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106">
        <v>-24.625</v>
      </c>
      <c r="CS3922" s="74">
        <v>-16.55</v>
      </c>
      <c r="DK3922" s="106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106">
        <v>-60.854999999999997</v>
      </c>
      <c r="BI3923" s="106">
        <v>-30.004999999999999</v>
      </c>
      <c r="BO3923" s="106">
        <v>-92.18</v>
      </c>
      <c r="BU3923" s="74">
        <v>-34.325000000000003</v>
      </c>
      <c r="CA3923" s="106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106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386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106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106">
        <v>-8.3550000000000004</v>
      </c>
      <c r="BC3933" s="106">
        <v>-6.6449999999999996</v>
      </c>
      <c r="BI3933" s="106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386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106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106">
        <v>-33.450000000000003</v>
      </c>
      <c r="BC3937" s="106">
        <v>-15.324999999999999</v>
      </c>
      <c r="CA3937" s="106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106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106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106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106">
        <v>-67.37</v>
      </c>
      <c r="BO3941" s="106">
        <v>-31.015000000000001</v>
      </c>
      <c r="CA3941" s="106">
        <v>-34.094999999999999</v>
      </c>
      <c r="DE3941" s="74">
        <v>-65.935000000000002</v>
      </c>
      <c r="DK3941" s="106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106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106">
        <v>-17.274999999999999</v>
      </c>
      <c r="BI3944" s="106">
        <v>-14.055</v>
      </c>
      <c r="CM3944" s="106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106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106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106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106">
        <v>-7.2850000000000001</v>
      </c>
      <c r="BI3949" s="106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106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106">
        <v>-16.02</v>
      </c>
      <c r="BU3953" s="74">
        <v>-8.0350000000000001</v>
      </c>
      <c r="CA3953" s="106">
        <v>-17.420000000000002</v>
      </c>
      <c r="CM3953" s="106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106">
        <v>-9</v>
      </c>
      <c r="CA3954" s="106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106">
        <v>-8.9550000000000001</v>
      </c>
      <c r="BC3955" s="106">
        <v>-8.5749999999999993</v>
      </c>
      <c r="BO3955" s="106">
        <f>-8.005-7.98-7.81</f>
        <v>-23.795000000000002</v>
      </c>
      <c r="BU3955" s="74">
        <v>-25.145</v>
      </c>
      <c r="CA3955" s="106">
        <v>-26.574999999999999</v>
      </c>
      <c r="CG3955" s="106">
        <v>-26.024999999999999</v>
      </c>
      <c r="CM3955" s="106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386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74">
        <v>-8.59</v>
      </c>
      <c r="AN3957" s="74">
        <v>-26.504999999999999</v>
      </c>
      <c r="AR3957" s="74">
        <v>-9.1199999999999992</v>
      </c>
      <c r="AW3957" s="106">
        <v>-18.215</v>
      </c>
      <c r="CA3957" s="106">
        <v>-23.035</v>
      </c>
      <c r="CM3957" s="106">
        <v>-8.1300000000000008</v>
      </c>
      <c r="CY3957" s="106">
        <v>-16.18</v>
      </c>
      <c r="DE3957" s="74">
        <v>-16.260000000000002</v>
      </c>
      <c r="DK3957" s="106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106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74">
        <v>132.47499999999999</v>
      </c>
      <c r="BO3960" s="106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106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106">
        <v>-36.097999999999999</v>
      </c>
      <c r="BO3965" s="106">
        <v>-32.29</v>
      </c>
      <c r="CA3965" s="106">
        <v>-32.96</v>
      </c>
      <c r="CG3965" s="106">
        <v>-103.235</v>
      </c>
      <c r="CM3965" s="106">
        <v>-65.77</v>
      </c>
      <c r="CS3965" s="74">
        <v>-100.005</v>
      </c>
      <c r="CY3965" s="106">
        <v>-31.12</v>
      </c>
      <c r="DE3965" s="74">
        <v>-32.924999999999997</v>
      </c>
      <c r="DK3965" s="106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106">
        <v>-31.48</v>
      </c>
      <c r="CA3966" s="106">
        <v>-6.53</v>
      </c>
      <c r="CG3966" s="106">
        <v>-66.844999999999999</v>
      </c>
      <c r="CM3966" s="106">
        <v>-32.49</v>
      </c>
      <c r="CS3966" s="74">
        <v>-33.134999999999998</v>
      </c>
      <c r="CY3966" s="106">
        <v>-32.17</v>
      </c>
      <c r="DE3966" s="74">
        <v>-59.14</v>
      </c>
      <c r="DK3966" s="106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106">
        <v>97.575000000000003</v>
      </c>
      <c r="BO3967" s="106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92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106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106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106">
        <v>-32.284999999999997</v>
      </c>
      <c r="CA3970" s="106">
        <v>-66.8</v>
      </c>
      <c r="CG3970" s="106">
        <v>-16.43</v>
      </c>
      <c r="CM3970" s="106">
        <v>-16.225000000000001</v>
      </c>
      <c r="CY3970" s="106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106">
        <v>-65.424999999999997</v>
      </c>
      <c r="BO3971" s="106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106">
        <v>-8.07</v>
      </c>
      <c r="CG3974" s="106">
        <v>-33.075000000000003</v>
      </c>
      <c r="CY3974" s="106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106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386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106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74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106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106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106">
        <v>-8.9600000000000009</v>
      </c>
      <c r="BC3986" s="106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106">
        <v>-9</v>
      </c>
      <c r="BC3987" s="106">
        <v>-8.73</v>
      </c>
      <c r="BO3987" s="106">
        <v>-8.0749999999999993</v>
      </c>
      <c r="CA3987" s="106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106">
        <v>-8.06</v>
      </c>
      <c r="CM3988" s="106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106">
        <v>-8.09</v>
      </c>
      <c r="CG3989" s="106">
        <v>-7.95</v>
      </c>
      <c r="CM3989" s="106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92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106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106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106">
        <f>47.255+114.67</f>
        <v>161.92500000000001</v>
      </c>
      <c r="BI3996" s="106">
        <v>134.13999999999999</v>
      </c>
      <c r="BO3996" s="106">
        <v>131.26</v>
      </c>
      <c r="BU3996" s="74">
        <v>87.125</v>
      </c>
      <c r="CA3996" s="106">
        <v>123.625</v>
      </c>
      <c r="CG3996" s="106">
        <v>98.165000000000006</v>
      </c>
      <c r="CM3996" s="106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106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106">
        <v>-8.0050000000000008</v>
      </c>
      <c r="BO3998" s="106">
        <v>-16.03</v>
      </c>
      <c r="BU3998" s="74">
        <v>-8.74</v>
      </c>
      <c r="CA3998" s="106">
        <v>-8.1750000000000007</v>
      </c>
      <c r="CM3998" s="106">
        <v>-8.5350000000000001</v>
      </c>
      <c r="CS3998" s="74">
        <v>-16.565000000000001</v>
      </c>
      <c r="CY3998" s="106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74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106">
        <v>-2.3650000000000002</v>
      </c>
      <c r="BO4000" s="106">
        <v>-2.75</v>
      </c>
      <c r="CM4000" s="106">
        <v>-1.7</v>
      </c>
      <c r="CS4000" s="74">
        <v>-1.8</v>
      </c>
      <c r="CY4000" s="106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106">
        <v>-9.0050000000000008</v>
      </c>
      <c r="BC4001" s="106">
        <v>-16.420000000000002</v>
      </c>
      <c r="BI4001" s="106">
        <v>-24.535</v>
      </c>
      <c r="BO4001" s="106">
        <v>-24.055</v>
      </c>
      <c r="BS4001" s="42">
        <v>-26.11</v>
      </c>
      <c r="CA4001" s="106">
        <v>-16.114999999999998</v>
      </c>
      <c r="CG4001" s="106">
        <v>-23.664999999999999</v>
      </c>
      <c r="CM4001" s="106">
        <v>-8.5449999999999999</v>
      </c>
      <c r="CS4001" s="74">
        <v>-8.6199999999999992</v>
      </c>
      <c r="CY4001" s="106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106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106">
        <v>-8.1950000000000003</v>
      </c>
      <c r="CA4004" s="106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92">
        <v>160.97499999999999</v>
      </c>
      <c r="HJ4006" s="79">
        <v>296.3</v>
      </c>
      <c r="HM4006" s="106">
        <v>231.58</v>
      </c>
      <c r="HP4006" s="92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92">
        <v>-64.45</v>
      </c>
      <c r="HJ4007" s="79">
        <v>-296.3</v>
      </c>
      <c r="HM4007" s="106">
        <v>-117.08499999999999</v>
      </c>
      <c r="HP4007" s="92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106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106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106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106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106">
        <v>-41.61</v>
      </c>
      <c r="DK4013" s="106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106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106">
        <v>-16.684999999999999</v>
      </c>
      <c r="BC4016" s="106">
        <v>-16.364999999999998</v>
      </c>
      <c r="BI4016" s="106">
        <v>-24.725000000000001</v>
      </c>
      <c r="BO4016" s="106">
        <v>-15.96</v>
      </c>
      <c r="CA4016" s="106">
        <v>-7.55</v>
      </c>
      <c r="CM4016" s="106">
        <v>-8.5399999999999991</v>
      </c>
      <c r="CS4016" s="74">
        <v>-8.2550000000000008</v>
      </c>
      <c r="CY4016" s="106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106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106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106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106">
        <v>-8.15</v>
      </c>
      <c r="CA4020" s="106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106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106">
        <v>-7.92</v>
      </c>
      <c r="BL4022" s="115">
        <v>-8.3800000000000008</v>
      </c>
      <c r="BO4022" s="106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106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74">
        <v>-8.17</v>
      </c>
      <c r="AN4024" s="74">
        <v>-8.85</v>
      </c>
      <c r="AR4024" s="74">
        <v>-9.06</v>
      </c>
      <c r="AW4024" s="106">
        <v>-8.89</v>
      </c>
      <c r="BC4024" s="106">
        <v>-7.7</v>
      </c>
      <c r="BI4024" s="106">
        <v>-9.33</v>
      </c>
      <c r="BO4024" s="106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106">
        <v>-7.9950000000000001</v>
      </c>
      <c r="BO4025" s="106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92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106">
        <v>92.355000000000004</v>
      </c>
      <c r="BI4027" s="106">
        <v>129.76</v>
      </c>
      <c r="BO4027" s="106">
        <v>102.32</v>
      </c>
      <c r="BU4027" s="74">
        <v>199.51499999999999</v>
      </c>
      <c r="CG4027" s="106">
        <v>96.724999999999994</v>
      </c>
      <c r="CM4027" s="106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106">
        <v>-110.64</v>
      </c>
      <c r="BC4028" s="106">
        <v>-96.265000000000001</v>
      </c>
      <c r="BI4028" s="106">
        <v>-64.55</v>
      </c>
      <c r="BO4028" s="106">
        <v>-102.32</v>
      </c>
      <c r="BU4028" s="74">
        <v>-132.74</v>
      </c>
      <c r="CA4028" s="106">
        <v>-132.34</v>
      </c>
      <c r="CG4028" s="106">
        <v>-96.724999999999994</v>
      </c>
      <c r="CM4028" s="106">
        <v>-132.47499999999999</v>
      </c>
      <c r="CS4028" s="74">
        <v>-97.114999999999995</v>
      </c>
      <c r="CY4028" s="106">
        <v>-99.385000000000005</v>
      </c>
      <c r="DE4028" s="74">
        <v>-98.094999999999999</v>
      </c>
      <c r="DK4028" s="106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92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106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106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106">
        <v>-9.06</v>
      </c>
      <c r="BO4040" s="106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106">
        <v>-8.15</v>
      </c>
      <c r="BO4045" s="106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106">
        <v>-8.4600000000000009</v>
      </c>
      <c r="DK4047" s="106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106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106">
        <v>-6.48</v>
      </c>
      <c r="CG4049" s="106">
        <v>-8.31</v>
      </c>
      <c r="CM4049" s="106">
        <v>-8.5250000000000004</v>
      </c>
      <c r="CS4049" s="74">
        <v>-8.6300000000000008</v>
      </c>
      <c r="CY4049" s="106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106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106">
        <v>65.760000000000005</v>
      </c>
      <c r="BC4051" s="106">
        <v>96.064999999999998</v>
      </c>
      <c r="BU4051" s="74">
        <v>66.66</v>
      </c>
      <c r="CA4051" s="106">
        <v>99.94</v>
      </c>
      <c r="CY4051" s="106">
        <v>114.495</v>
      </c>
      <c r="DE4051" s="74">
        <v>102.505</v>
      </c>
      <c r="DK4051" s="106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106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106">
        <v>-31.74</v>
      </c>
      <c r="BU4053" s="74">
        <v>-16.675000000000001</v>
      </c>
      <c r="CA4053" s="106">
        <v>-33.484999999999999</v>
      </c>
      <c r="CY4053" s="106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106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106">
        <v>-17.350000000000001</v>
      </c>
      <c r="BC4058" s="106">
        <v>-16.454999999999998</v>
      </c>
      <c r="BM4058" s="88">
        <v>-9.32</v>
      </c>
      <c r="BU4058" s="74">
        <v>-8.3149999999999995</v>
      </c>
      <c r="CA4058" s="106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106">
        <v>-6.36</v>
      </c>
      <c r="CM4061" s="106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106">
        <v>-8.7349999999999994</v>
      </c>
      <c r="BI4063" s="106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106">
        <v>-65.825000000000003</v>
      </c>
      <c r="CA4065" s="106">
        <v>-63.784999999999997</v>
      </c>
      <c r="CY4065" s="106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106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106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106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92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106">
        <v>35.155000000000001</v>
      </c>
      <c r="BO4075" s="106">
        <v>33.284999999999997</v>
      </c>
      <c r="BU4075" s="74">
        <v>32.4</v>
      </c>
      <c r="CG4075" s="106">
        <v>100.625</v>
      </c>
      <c r="CM4075" s="106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106">
        <v>-68.105000000000004</v>
      </c>
      <c r="CS4076" s="74">
        <v>-25.2</v>
      </c>
      <c r="CY4076" s="106">
        <v>-56.854999999999997</v>
      </c>
      <c r="DE4076" s="74">
        <v>-64.14</v>
      </c>
      <c r="DK4076" s="106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92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106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106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106">
        <v>-7.92</v>
      </c>
      <c r="BO4084" s="106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106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106">
        <v>-7.3</v>
      </c>
      <c r="BI4087" s="106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386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106">
        <v>-17.600000000000001</v>
      </c>
      <c r="BO4092" s="106">
        <v>-16.66</v>
      </c>
      <c r="BU4092" s="74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74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106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106">
        <v>69.63</v>
      </c>
      <c r="BU4098" s="74">
        <v>132.745</v>
      </c>
      <c r="CY4098" s="106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106">
        <v>64.510000000000005</v>
      </c>
      <c r="BO4099" s="106">
        <v>62.42</v>
      </c>
      <c r="CA4099" s="106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74">
        <v>106.05</v>
      </c>
      <c r="AW4100" s="106">
        <v>74.605000000000004</v>
      </c>
      <c r="CS4100" s="74">
        <v>101.1</v>
      </c>
      <c r="CY4100" s="106">
        <v>69.415000000000006</v>
      </c>
      <c r="DE4100" s="74">
        <v>114.74</v>
      </c>
      <c r="DK4100" s="106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106">
        <v>-8.2850000000000001</v>
      </c>
      <c r="BO4103" s="106">
        <v>-16.829999999999998</v>
      </c>
      <c r="CA4103" s="106">
        <v>-8.15</v>
      </c>
      <c r="CM4103" s="106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106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106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106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74">
        <v>-8.0549999999999997</v>
      </c>
      <c r="CA4109" s="106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106">
        <v>-6.69</v>
      </c>
      <c r="BI4110" s="106">
        <v>-26.395</v>
      </c>
      <c r="BU4110" s="74">
        <v>-16.22</v>
      </c>
      <c r="CA4110" s="106">
        <v>-16.34</v>
      </c>
      <c r="CS4110" s="74">
        <v>-25.065000000000001</v>
      </c>
      <c r="CY4110" s="106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106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106">
        <v>-1.55</v>
      </c>
      <c r="CM4114" s="106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106">
        <v>-8.3149999999999995</v>
      </c>
      <c r="BI4115" s="106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106">
        <v>-7.23</v>
      </c>
      <c r="BO4117" s="106">
        <v>-8.2550000000000008</v>
      </c>
      <c r="BU4117" s="74">
        <v>-8.34</v>
      </c>
      <c r="CA4117" s="106">
        <v>-8.15</v>
      </c>
      <c r="CM4117" s="106">
        <v>-33.89</v>
      </c>
      <c r="CS4117" s="74">
        <v>-34.06</v>
      </c>
      <c r="CY4117" s="106">
        <v>-32.11</v>
      </c>
      <c r="DE4117" s="74">
        <v>-34.090000000000003</v>
      </c>
      <c r="DK4117" s="106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106">
        <v>-17.149999999999999</v>
      </c>
      <c r="BU4118" s="74">
        <v>-16.684999999999999</v>
      </c>
      <c r="CA4118" s="106">
        <v>-16.324999999999999</v>
      </c>
      <c r="CG4118" s="106">
        <v>-15.935</v>
      </c>
      <c r="CY4118" s="106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74">
        <v>-7.52</v>
      </c>
      <c r="AN4119" s="74">
        <v>-8.66</v>
      </c>
      <c r="AW4119" s="106">
        <v>-17.420000000000002</v>
      </c>
      <c r="BC4119" s="106">
        <v>-8.1449999999999996</v>
      </c>
      <c r="BO4119" s="106">
        <v>-15.115</v>
      </c>
      <c r="BU4119" s="74">
        <v>-16.715</v>
      </c>
      <c r="CA4119" s="106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106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106">
        <v>-8.06</v>
      </c>
      <c r="BU4125" s="74">
        <v>-8.33</v>
      </c>
      <c r="CM4125" s="106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106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106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106">
        <v>-9.9749999999999996</v>
      </c>
      <c r="CS4129" s="74">
        <v>-1.9</v>
      </c>
      <c r="CY4129" s="106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106">
        <v>-5.24</v>
      </c>
      <c r="DK4132" s="106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106">
        <v>60.64</v>
      </c>
      <c r="BI4135" s="106">
        <v>91.58</v>
      </c>
      <c r="BO4135" s="106">
        <v>99.72</v>
      </c>
      <c r="CA4135" s="106">
        <v>97.754999999999995</v>
      </c>
      <c r="CG4135" s="106">
        <v>99.43</v>
      </c>
      <c r="CM4135" s="106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106">
        <v>-17.47</v>
      </c>
      <c r="BC4136" s="106">
        <v>-17.34</v>
      </c>
      <c r="BI4136" s="106">
        <v>-15.37</v>
      </c>
      <c r="BO4136" s="106">
        <v>-16.36</v>
      </c>
      <c r="BU4136" s="74">
        <v>-14.12</v>
      </c>
      <c r="CA4136" s="106">
        <v>-16.3</v>
      </c>
      <c r="CG4136" s="106">
        <v>-16.61</v>
      </c>
      <c r="CM4136" s="106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74">
        <v>-8.59</v>
      </c>
      <c r="AN4137" s="74">
        <v>-8.2200000000000006</v>
      </c>
      <c r="AW4137" s="106">
        <v>-18.395</v>
      </c>
      <c r="BC4137" s="106">
        <v>-16.13</v>
      </c>
      <c r="BI4137" s="106">
        <v>-15.21</v>
      </c>
      <c r="BO4137" s="106">
        <v>-16.385000000000002</v>
      </c>
      <c r="CM4137" s="106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106">
        <v>-8.0649999999999995</v>
      </c>
      <c r="CA4138" s="106">
        <v>-8.1449999999999996</v>
      </c>
      <c r="CM4138" s="106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106">
        <v>-61</v>
      </c>
      <c r="BO4139" s="106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106">
        <v>-6.65</v>
      </c>
      <c r="BO4141" s="106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106">
        <v>-8.1150000000000002</v>
      </c>
      <c r="CG4142" s="106">
        <v>-8.2899999999999991</v>
      </c>
      <c r="CM4142" s="106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106">
        <v>-7.34</v>
      </c>
      <c r="BL4143" s="115">
        <v>-8.3699999999999992</v>
      </c>
      <c r="BO4143" s="106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106">
        <v>-9.3849999999999998</v>
      </c>
      <c r="BC4147" s="106">
        <v>-7.98</v>
      </c>
      <c r="BJ4147" s="121">
        <v>-7.39</v>
      </c>
      <c r="BO4147" s="106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106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106">
        <v>-17.29</v>
      </c>
      <c r="BC4150" s="106">
        <v>-8.0549999999999997</v>
      </c>
      <c r="CG4150" s="106">
        <v>-16.495000000000001</v>
      </c>
      <c r="CM4150" s="106">
        <v>-8.4949999999999992</v>
      </c>
      <c r="DK4150" s="106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106">
        <v>-9.42</v>
      </c>
      <c r="BC4154" s="106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106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106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106">
        <v>-9.23</v>
      </c>
      <c r="CM4162" s="106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106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106">
        <v>-6.6950000000000003</v>
      </c>
      <c r="DM4166" s="46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106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106">
        <v>64.064999999999998</v>
      </c>
      <c r="BI4171" s="106">
        <v>88.694999999999993</v>
      </c>
      <c r="BO4171" s="106">
        <v>97.81</v>
      </c>
      <c r="CA4171" s="106">
        <v>98.07</v>
      </c>
      <c r="CG4171" s="106">
        <v>99.26</v>
      </c>
      <c r="CM4171" s="106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74">
        <v>-7.5149999999999997</v>
      </c>
      <c r="BC4172" s="106">
        <v>-16.940000000000001</v>
      </c>
      <c r="BO4172" s="106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106">
        <v>-2.2999999999999998</v>
      </c>
      <c r="BO4173" s="106">
        <v>-5.24</v>
      </c>
      <c r="BV4173" s="121">
        <v>-7.59</v>
      </c>
      <c r="CA4173" s="106">
        <f>-8.185-1.34</f>
        <v>-9.5250000000000004</v>
      </c>
      <c r="CG4173" s="106">
        <v>-17.125</v>
      </c>
      <c r="CM4173" s="106">
        <v>-15.09</v>
      </c>
      <c r="CS4173" s="74">
        <v>-17.21</v>
      </c>
      <c r="DE4173" s="74">
        <v>-10.585000000000001</v>
      </c>
      <c r="DK4173" s="106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74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106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106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106">
        <v>-6.82</v>
      </c>
      <c r="BO4180" s="106">
        <v>-8.5649999999999995</v>
      </c>
      <c r="CG4180" s="106">
        <v>-8.2949999999999999</v>
      </c>
      <c r="CM4180" s="106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106">
        <v>-8.0850000000000009</v>
      </c>
      <c r="BI4182" s="106">
        <v>-7.36</v>
      </c>
      <c r="CA4182" s="106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74">
        <v>-9.7550000000000008</v>
      </c>
      <c r="BI4183" s="106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106">
        <v>-8.0749999999999993</v>
      </c>
      <c r="CA4184" s="106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106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106">
        <v>-17.45</v>
      </c>
      <c r="BC4186" s="106">
        <v>-13.78</v>
      </c>
      <c r="BO4186" s="106">
        <v>-16.815000000000001</v>
      </c>
      <c r="CA4186" s="106">
        <v>-16.29</v>
      </c>
      <c r="CG4186" s="106">
        <v>-16.605</v>
      </c>
      <c r="CM4186" s="106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106">
        <v>-9.3350000000000009</v>
      </c>
      <c r="BC4187" s="106">
        <v>-6.7149999999999999</v>
      </c>
      <c r="BI4187" s="106">
        <v>-7.6</v>
      </c>
      <c r="BO4187" s="106">
        <v>-6.82</v>
      </c>
      <c r="CA4187" s="106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106">
        <v>-29.175000000000001</v>
      </c>
      <c r="CA4188" s="106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106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106">
        <v>-8.1750000000000007</v>
      </c>
      <c r="CM4192" s="106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106">
        <v>64.400000000000006</v>
      </c>
      <c r="BI4193" s="106">
        <v>174.685</v>
      </c>
      <c r="BO4193" s="106">
        <v>127.495</v>
      </c>
      <c r="BU4193" s="74">
        <v>160.41</v>
      </c>
      <c r="CA4193" s="106">
        <v>131.47</v>
      </c>
      <c r="CG4193" s="106">
        <v>144.435</v>
      </c>
      <c r="CM4193" s="106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106">
        <v>-8.0649999999999995</v>
      </c>
      <c r="BI4196" s="106">
        <v>-16.68</v>
      </c>
      <c r="BO4196" s="106">
        <v>-8.15</v>
      </c>
      <c r="BU4196" s="74">
        <v>-16.2</v>
      </c>
      <c r="CA4196" s="106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106">
        <v>-9.2750000000000004</v>
      </c>
      <c r="BC4197" s="106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106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106">
        <v>-16.04</v>
      </c>
      <c r="BI4201" s="106">
        <v>-15.295</v>
      </c>
      <c r="BO4201" s="106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106">
        <v>-9.2949999999999999</v>
      </c>
      <c r="BC4203" s="106">
        <v>-8.06</v>
      </c>
      <c r="BI4203" s="106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74">
        <v>-7.49</v>
      </c>
      <c r="AU4204" s="42">
        <v>-8.3699999999999992</v>
      </c>
      <c r="BC4204" s="106">
        <v>-8.0549999999999997</v>
      </c>
      <c r="BO4204" s="106">
        <v>-8.6</v>
      </c>
      <c r="CA4204" s="106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106">
        <v>-8.0050000000000008</v>
      </c>
      <c r="BI4205" s="106">
        <v>-7.68</v>
      </c>
      <c r="BO4205" s="106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106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106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74">
        <v>-30.1</v>
      </c>
      <c r="AN4211" s="74">
        <v>-13.25</v>
      </c>
      <c r="AU4211" s="42">
        <v>-17.38</v>
      </c>
      <c r="BC4211" s="106">
        <v>-16.094999999999999</v>
      </c>
      <c r="BO4211" s="106">
        <v>-61.85</v>
      </c>
      <c r="BU4211" s="74">
        <v>-64.965000000000003</v>
      </c>
      <c r="CA4211" s="106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106">
        <v>-8.125</v>
      </c>
      <c r="BI4212" s="106">
        <v>-7.2949999999999999</v>
      </c>
      <c r="BO4212" s="106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386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106">
        <v>-7.2249999999999996</v>
      </c>
      <c r="CA4218" s="106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106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106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106">
        <v>-17.364999999999998</v>
      </c>
      <c r="DK4223" s="106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106">
        <v>139.5</v>
      </c>
      <c r="BU4224" s="74">
        <v>230.7</v>
      </c>
      <c r="CY4224" s="106">
        <v>134.11000000000001</v>
      </c>
      <c r="DK4224" s="106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386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106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106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106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106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106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106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106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106">
        <v>-15.89</v>
      </c>
      <c r="BI4236" s="106">
        <v>-21.684999999999999</v>
      </c>
      <c r="BU4236" s="74">
        <v>-15.17</v>
      </c>
      <c r="CA4236" s="106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106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74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106">
        <v>-8.3450000000000006</v>
      </c>
      <c r="CS4239" s="74">
        <v>-7.24</v>
      </c>
      <c r="CY4239" s="106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386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106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106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106">
        <v>158.625</v>
      </c>
      <c r="BI4249" s="106">
        <v>162.96</v>
      </c>
      <c r="BO4249" s="106">
        <v>127.845</v>
      </c>
      <c r="CA4249" s="106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92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106">
        <v>-48.145000000000003</v>
      </c>
      <c r="BI4250" s="106">
        <v>-49.72</v>
      </c>
      <c r="BO4250" s="106">
        <v>-31.795000000000002</v>
      </c>
      <c r="BU4250" s="74">
        <v>-51.454999999999998</v>
      </c>
      <c r="CA4250" s="106">
        <v>-17.760000000000002</v>
      </c>
      <c r="DK4250" s="106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106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106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106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106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106">
        <v>-7.7949999999999999</v>
      </c>
      <c r="BU4256" s="74">
        <v>-8.7550000000000008</v>
      </c>
      <c r="CG4256" s="106">
        <v>-8.0500000000000007</v>
      </c>
      <c r="CM4256" s="106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106">
        <v>-7.83</v>
      </c>
      <c r="BO4257" s="106">
        <v>-7.93</v>
      </c>
      <c r="CA4257" s="106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106">
        <v>-15.9</v>
      </c>
      <c r="CG4258" s="106">
        <v>-17.510000000000002</v>
      </c>
      <c r="CM4258" s="106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106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106">
        <v>-34.854999999999997</v>
      </c>
      <c r="DK4263" s="106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106">
        <v>-7.9050000000000002</v>
      </c>
      <c r="BC4265" s="106">
        <v>-7.8</v>
      </c>
      <c r="BI4265" s="106">
        <v>-16.11</v>
      </c>
      <c r="BO4265" s="106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92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106">
        <v>-16.22</v>
      </c>
      <c r="BO4267" s="106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106">
        <v>-8.25</v>
      </c>
      <c r="CY4268" s="106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106">
        <v>-31.56</v>
      </c>
      <c r="BC4269" s="106">
        <v>-31.004999999999999</v>
      </c>
      <c r="BI4269" s="106">
        <v>-32.265000000000001</v>
      </c>
      <c r="CM4269" s="106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106">
        <v>-8.11</v>
      </c>
      <c r="BO4271" s="106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106">
        <v>-8.0549999999999997</v>
      </c>
      <c r="BU4272" s="74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106">
        <v>-7.9050000000000002</v>
      </c>
      <c r="BI4273" s="106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106">
        <v>-8.0950000000000006</v>
      </c>
      <c r="BO4275" s="106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106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106">
        <v>-7.9349999999999996</v>
      </c>
      <c r="BC4278" s="106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106">
        <v>-7.8650000000000002</v>
      </c>
      <c r="BI4279" s="106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106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106">
        <v>-7.8949999999999996</v>
      </c>
      <c r="BC4284" s="106">
        <v>-7.84</v>
      </c>
      <c r="BI4284" s="106">
        <v>-8.1349999999999998</v>
      </c>
      <c r="BO4284" s="106">
        <v>-7.9649999999999999</v>
      </c>
      <c r="BU4284" s="74">
        <f>-7.03-17.46</f>
        <v>-24.49</v>
      </c>
      <c r="CA4284" s="106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106">
        <v>-8.8800000000000008</v>
      </c>
      <c r="CG4286" s="106">
        <v>-8.0399999999999991</v>
      </c>
      <c r="CM4286" s="106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106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106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106">
        <v>-6.1349999999999998</v>
      </c>
      <c r="DE4290" s="74">
        <v>-16.059999999999999</v>
      </c>
      <c r="DK4290" s="106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106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106">
        <v>-15.74</v>
      </c>
      <c r="BC4292" s="106">
        <v>-15.824999999999999</v>
      </c>
      <c r="BU4292" s="74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106">
        <v>68.265000000000001</v>
      </c>
      <c r="CM4293" s="106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74">
        <v>-30.605</v>
      </c>
      <c r="AN4294" s="74">
        <v>-33.034999999999997</v>
      </c>
      <c r="AR4294" s="74">
        <v>-72.52</v>
      </c>
      <c r="AW4294" s="106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106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386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106">
        <v>64.37</v>
      </c>
      <c r="BO4299" s="106">
        <v>98.76</v>
      </c>
      <c r="BU4299" s="74">
        <v>102.02500000000001</v>
      </c>
      <c r="CA4299" s="106">
        <v>31.37</v>
      </c>
      <c r="CM4299" s="106">
        <v>103.01</v>
      </c>
      <c r="CS4299" s="74">
        <v>98.555000000000007</v>
      </c>
      <c r="CY4299" s="106">
        <v>67.575000000000003</v>
      </c>
      <c r="DK4299" s="106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106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106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74">
        <v>-8.8149999999999995</v>
      </c>
      <c r="CA4303" s="106">
        <v>-9.0050000000000008</v>
      </c>
      <c r="CH4303" s="121">
        <v>-8.33</v>
      </c>
      <c r="CM4303" s="106">
        <v>-8.49</v>
      </c>
      <c r="CY4303" s="106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106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106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106">
        <v>-8.0950000000000006</v>
      </c>
      <c r="BO4307" s="106">
        <v>-9.3949999999999996</v>
      </c>
      <c r="BU4307" s="74">
        <v>-8.5</v>
      </c>
      <c r="CA4307" s="106">
        <v>-9.32</v>
      </c>
      <c r="CY4307" s="106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106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74">
        <v>-8.8450000000000006</v>
      </c>
      <c r="AN4314" s="74">
        <v>-8.9149999999999991</v>
      </c>
      <c r="AR4314" s="74">
        <v>-9.3049999999999997</v>
      </c>
      <c r="AW4314" s="106">
        <v>-5.2549999999999999</v>
      </c>
      <c r="BA4314" s="42">
        <v>-8.86</v>
      </c>
      <c r="BI4314" s="106">
        <v>-8.0250000000000004</v>
      </c>
      <c r="BO4314" s="106">
        <v>-9.2899999999999991</v>
      </c>
      <c r="BU4314" s="74">
        <v>-8.4550000000000001</v>
      </c>
      <c r="CA4314" s="106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106">
        <v>-8.5350000000000001</v>
      </c>
      <c r="BO4315" s="106">
        <v>-39.090000000000003</v>
      </c>
      <c r="BU4315" s="74">
        <v>-25.524999999999999</v>
      </c>
      <c r="CF4315" s="69">
        <f>-25.48-16.92</f>
        <v>-42.4</v>
      </c>
      <c r="CM4315" s="106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106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106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106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106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106">
        <v>96.77</v>
      </c>
      <c r="BO4321" s="106">
        <v>95.284999999999997</v>
      </c>
      <c r="CM4321" s="106">
        <v>68.715000000000003</v>
      </c>
      <c r="CS4321" s="74">
        <v>128.70500000000001</v>
      </c>
      <c r="CY4321" s="106">
        <v>66.95</v>
      </c>
      <c r="DE4321" s="74">
        <v>89.85</v>
      </c>
      <c r="DK4321" s="106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106">
        <v>136.66999999999999</v>
      </c>
      <c r="BI4322" s="106">
        <v>96.534999999999997</v>
      </c>
      <c r="BU4322" s="74">
        <v>101.565</v>
      </c>
      <c r="DK4322" s="106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92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106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74">
        <v>-17.704999999999998</v>
      </c>
      <c r="AN4327" s="74">
        <v>-71.84</v>
      </c>
      <c r="AW4327" s="106">
        <v>-102.44</v>
      </c>
      <c r="BA4327" s="42">
        <v>-35.39</v>
      </c>
      <c r="BI4327" s="106">
        <v>-96.79</v>
      </c>
      <c r="BO4327" s="106">
        <v>-61.88</v>
      </c>
      <c r="BU4327" s="74">
        <v>-67.84</v>
      </c>
      <c r="CM4327" s="106">
        <v>-34.384999999999998</v>
      </c>
      <c r="CS4327" s="74">
        <v>-96.97</v>
      </c>
      <c r="CY4327" s="106">
        <v>-66.95</v>
      </c>
      <c r="DE4327" s="74">
        <v>-59.33</v>
      </c>
      <c r="DK4327" s="106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106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74">
        <v>-7.52</v>
      </c>
      <c r="BO4330" s="106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106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106">
        <v>-8.0250000000000004</v>
      </c>
      <c r="BO4336" s="106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106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106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106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106">
        <v>-8.5299999999999994</v>
      </c>
      <c r="BI4344" s="106">
        <v>-16.079999999999998</v>
      </c>
      <c r="BO4344" s="106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106">
        <v>-8.0399999999999991</v>
      </c>
      <c r="BU4346" s="74">
        <v>-8.4550000000000001</v>
      </c>
      <c r="BZ4346" s="69">
        <v>-8.44</v>
      </c>
      <c r="CK4346" s="42">
        <v>-9.18</v>
      </c>
      <c r="CY4346" s="106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106">
        <v>-8.6150000000000002</v>
      </c>
      <c r="BI4347" s="106">
        <v>-8.0500000000000007</v>
      </c>
      <c r="BM4347" s="88">
        <v>-7.4</v>
      </c>
      <c r="BY4347" s="42">
        <v>-8.65</v>
      </c>
      <c r="CM4347" s="106">
        <v>-17.204999999999998</v>
      </c>
      <c r="CS4347" s="74">
        <v>-16.414999999999999</v>
      </c>
      <c r="DC4347" s="42">
        <v>-9.76</v>
      </c>
      <c r="DK4347" s="106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106">
        <v>-8.0449999999999999</v>
      </c>
      <c r="BY4351" s="42">
        <v>-8.64</v>
      </c>
      <c r="CM4351" s="106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106">
        <v>-8.56</v>
      </c>
      <c r="BI4352" s="106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106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106">
        <v>-8.5250000000000004</v>
      </c>
      <c r="BI4353" s="106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386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106">
        <v>-8.0549999999999997</v>
      </c>
      <c r="BM4357" s="88">
        <v>-7.1</v>
      </c>
      <c r="BS4357" s="42">
        <v>-8.8650000000000002</v>
      </c>
      <c r="BZ4357" s="69">
        <v>-8.5299999999999994</v>
      </c>
      <c r="CM4357" s="106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106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386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106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106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92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106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106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82">
        <v>-8.82</v>
      </c>
      <c r="CJ4371" s="182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106">
        <v>-8.5250000000000004</v>
      </c>
      <c r="DC4372" s="42">
        <v>-17.12</v>
      </c>
      <c r="DK4372" s="106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82">
        <v>71.400000000000006</v>
      </c>
      <c r="CJ4373" s="182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106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82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106">
        <v>231.08500000000001</v>
      </c>
      <c r="BI4378" s="106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106">
        <v>-16.16</v>
      </c>
      <c r="BI4380" s="106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106">
        <v>-8.1050000000000004</v>
      </c>
      <c r="BI4381" s="106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106">
        <v>-8.0150000000000006</v>
      </c>
      <c r="BX4383" s="182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106">
        <v>-48.53</v>
      </c>
      <c r="CS4385" s="74">
        <v>-32.81</v>
      </c>
      <c r="DK4385" s="106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106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106">
        <v>-15.9</v>
      </c>
      <c r="BX4388" s="182">
        <v>-8.83</v>
      </c>
      <c r="CJ4388" s="182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106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106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106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106">
        <v>-16.085000000000001</v>
      </c>
      <c r="BI4394" s="106">
        <v>-8.1150000000000002</v>
      </c>
      <c r="BR4394" s="115">
        <v>-16.84</v>
      </c>
      <c r="BX4394" s="182">
        <v>-16.965</v>
      </c>
      <c r="BY4394" s="42">
        <v>-8.48</v>
      </c>
      <c r="CJ4394" s="182">
        <v>-8.3350000000000009</v>
      </c>
      <c r="CM4394" s="106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106">
        <v>-8.0950000000000006</v>
      </c>
      <c r="BR4395" s="115">
        <v>-8</v>
      </c>
      <c r="BX4395" s="182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386">
        <v>-7.49</v>
      </c>
      <c r="AD4396" s="115">
        <v>7.4</v>
      </c>
      <c r="AW4396" s="106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92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106">
        <v>-16.100000000000001</v>
      </c>
      <c r="BC4398" s="106">
        <v>-33.365000000000002</v>
      </c>
      <c r="BR4398" s="115">
        <v>-16.395</v>
      </c>
      <c r="CM4398" s="106">
        <v>-17.47</v>
      </c>
      <c r="CS4398" s="74">
        <v>-8.2149999999999999</v>
      </c>
      <c r="CY4398" s="106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106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106">
        <v>-8.1850000000000005</v>
      </c>
      <c r="BR4402" s="115">
        <v>-8.43</v>
      </c>
      <c r="BX4402" s="182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106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106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106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106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106">
        <v>205.56</v>
      </c>
      <c r="BO4415" s="106">
        <v>98.33</v>
      </c>
      <c r="BU4415" s="74">
        <v>83.375</v>
      </c>
      <c r="CA4415" s="106">
        <v>99.564999999999998</v>
      </c>
      <c r="CG4415" s="106">
        <v>83.745000000000005</v>
      </c>
      <c r="CS4415" s="74">
        <v>65.31</v>
      </c>
      <c r="DE4415" s="74">
        <v>69.575000000000003</v>
      </c>
      <c r="DK4415" s="106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106">
        <v>-8.5399999999999991</v>
      </c>
      <c r="BO4417" s="106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106">
        <v>-8.7349999999999994</v>
      </c>
      <c r="CG4418" s="106">
        <v>-8.34</v>
      </c>
      <c r="CM4418" s="106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106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106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106">
        <v>-8.0500000000000007</v>
      </c>
      <c r="BI4423" s="106">
        <v>-8.4250000000000007</v>
      </c>
      <c r="BO4423" s="106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106">
        <v>-8.0500000000000007</v>
      </c>
      <c r="BI4425" s="106">
        <v>-33.89</v>
      </c>
      <c r="BO4425" s="106">
        <v>-16.145</v>
      </c>
      <c r="BU4425" s="74">
        <v>-33.03</v>
      </c>
      <c r="CA4425" s="106">
        <v>-24.594999999999999</v>
      </c>
      <c r="CG4425" s="106">
        <v>-8.81</v>
      </c>
      <c r="CM4425" s="106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106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106">
        <v>-8.9499999999999993</v>
      </c>
      <c r="BC4429" s="106">
        <v>-8.1349999999999998</v>
      </c>
      <c r="BG4429" s="42">
        <v>-6.92</v>
      </c>
      <c r="BI4429" s="106">
        <v>-7.5</v>
      </c>
      <c r="BM4429" s="88">
        <v>-16.61</v>
      </c>
      <c r="BU4429" s="74">
        <v>-16.895</v>
      </c>
      <c r="CA4429" s="106">
        <v>-14.4</v>
      </c>
      <c r="CE4429" s="42">
        <v>-9.01</v>
      </c>
      <c r="CG4429" s="106">
        <f>-8.45-8.315-8.3</f>
        <v>-25.065000000000001</v>
      </c>
      <c r="CM4429" s="106">
        <v>-17.14</v>
      </c>
      <c r="CS4429" s="74">
        <v>-16.975000000000001</v>
      </c>
      <c r="DM4429" s="46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106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106">
        <v>-16.149999999999999</v>
      </c>
      <c r="BI4432" s="106">
        <v>-17.164999999999999</v>
      </c>
      <c r="BO4432" s="106">
        <v>-16.524999999999999</v>
      </c>
      <c r="BU4432" s="74">
        <v>-8.3849999999999998</v>
      </c>
      <c r="CA4432" s="106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106">
        <v>-9.25</v>
      </c>
      <c r="CJ4433" s="182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106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386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106">
        <v>-8.5</v>
      </c>
      <c r="BO4437" s="106">
        <v>-8.2449999999999992</v>
      </c>
      <c r="BX4437" s="182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106">
        <v>96.685000000000002</v>
      </c>
      <c r="BC4438" s="106">
        <v>116.27500000000001</v>
      </c>
      <c r="BO4438" s="106">
        <v>67.400000000000006</v>
      </c>
      <c r="BU4438" s="74">
        <v>84.954999999999998</v>
      </c>
      <c r="CA4438" s="106">
        <v>97.62</v>
      </c>
      <c r="CG4438" s="106">
        <v>116.91500000000001</v>
      </c>
      <c r="CM4438" s="106">
        <v>65.834999999999994</v>
      </c>
      <c r="CS4438" s="74">
        <v>68.234999999999999</v>
      </c>
      <c r="CY4438" s="106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106">
        <v>-8.34</v>
      </c>
      <c r="BC4441" s="106">
        <v>-33.119999999999997</v>
      </c>
      <c r="BU4441" s="74">
        <v>-8.1850000000000005</v>
      </c>
      <c r="CA4441" s="106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106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106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106">
        <v>-8.15</v>
      </c>
      <c r="BO4444" s="106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106">
        <v>-8.32</v>
      </c>
      <c r="BO4445" s="106">
        <v>-8.5299999999999994</v>
      </c>
      <c r="CG4445" s="106">
        <v>-8.2899999999999991</v>
      </c>
      <c r="CM4445" s="106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106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106">
        <v>-8.23</v>
      </c>
      <c r="BC4452" s="106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106">
        <v>-7.58</v>
      </c>
      <c r="BI4453" s="106">
        <v>-17.920000000000002</v>
      </c>
      <c r="BO4453" s="106">
        <v>-17.055</v>
      </c>
      <c r="BU4453" s="74">
        <v>-14.99</v>
      </c>
      <c r="CA4453" s="106">
        <v>-16.95</v>
      </c>
      <c r="CG4453" s="106">
        <v>-8.3800000000000008</v>
      </c>
      <c r="CM4453" s="106">
        <v>-8.5500000000000007</v>
      </c>
      <c r="CS4453" s="74">
        <v>-8.2899999999999991</v>
      </c>
      <c r="CY4453" s="106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106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106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106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106">
        <v>-8.9600000000000009</v>
      </c>
      <c r="BO4458" s="106">
        <v>-8.3849999999999998</v>
      </c>
      <c r="BU4458" s="74">
        <v>-5.3150000000000004</v>
      </c>
      <c r="CA4458" s="106">
        <v>-7.6950000000000003</v>
      </c>
      <c r="CM4458" s="106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106">
        <f>-8.365-7.125</f>
        <v>-15.49</v>
      </c>
      <c r="CA4459" s="106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106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106">
        <v>-8.98</v>
      </c>
      <c r="CM4463" s="106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106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106">
        <v>-8.2750000000000004</v>
      </c>
      <c r="BI4465" s="106">
        <v>-17.074999999999999</v>
      </c>
      <c r="BU4465" s="74">
        <v>-15.63</v>
      </c>
      <c r="CA4465" s="106">
        <v>-16.425000000000001</v>
      </c>
      <c r="CG4465" s="106">
        <v>-8.39</v>
      </c>
      <c r="CM4465" s="106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106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106">
        <v>-8.2650000000000006</v>
      </c>
      <c r="BI4467" s="106">
        <v>-22.56</v>
      </c>
      <c r="BO4467" s="106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106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106">
        <f>-8.28-8.37</f>
        <v>-16.649999999999999</v>
      </c>
      <c r="BI4470" s="106">
        <v>-8.9499999999999993</v>
      </c>
      <c r="BO4470" s="106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106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106">
        <v>-24.29</v>
      </c>
      <c r="BC4474" s="106">
        <v>-16.664999999999999</v>
      </c>
      <c r="BI4474" s="106">
        <v>-35.505000000000003</v>
      </c>
      <c r="CA4474" s="106">
        <v>-14.865</v>
      </c>
      <c r="CG4474" s="106">
        <v>-33.14</v>
      </c>
      <c r="CJ4474" s="182">
        <f>-8.38-8.33</f>
        <v>-16.71</v>
      </c>
      <c r="CS4474" s="74">
        <v>-34.475000000000001</v>
      </c>
      <c r="CY4474" s="106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82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106">
        <v>-7.95</v>
      </c>
      <c r="BC4477" s="106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106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106">
        <v>-8.2750000000000004</v>
      </c>
      <c r="BI4484" s="106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106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106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106">
        <v>96.74</v>
      </c>
      <c r="BC4488" s="106">
        <v>145.01499999999999</v>
      </c>
      <c r="BO4488" s="106">
        <v>68.185000000000002</v>
      </c>
      <c r="BU4488" s="74">
        <v>80.06</v>
      </c>
      <c r="CA4488" s="106">
        <v>95.78</v>
      </c>
      <c r="CM4488" s="106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106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106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106">
        <v>-25.585000000000001</v>
      </c>
      <c r="BU4492" s="74">
        <v>-24.065000000000001</v>
      </c>
      <c r="DK4492" s="106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106">
        <v>-32.414999999999999</v>
      </c>
      <c r="CA4494" s="106">
        <v>-32.704999999999998</v>
      </c>
      <c r="CE4494" s="42">
        <v>-72.599999999999994</v>
      </c>
      <c r="CM4494" s="106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106">
        <v>-24.835000000000001</v>
      </c>
      <c r="BC4495" s="106">
        <v>-6.7649999999999997</v>
      </c>
      <c r="BO4495" s="106">
        <v>-17.015000000000001</v>
      </c>
      <c r="BU4495" s="74">
        <v>-24.015000000000001</v>
      </c>
      <c r="CA4495" s="106">
        <v>-7.18</v>
      </c>
      <c r="CM4495" s="106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106">
        <v>-8.3000000000000007</v>
      </c>
      <c r="CY4496" s="106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106">
        <v>-8.24</v>
      </c>
      <c r="BG4499" s="42">
        <v>-8.35</v>
      </c>
      <c r="BO4499" s="106">
        <v>-8.52</v>
      </c>
      <c r="BU4499" s="74">
        <v>-8</v>
      </c>
      <c r="CA4499" s="106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106">
        <v>-15.435</v>
      </c>
      <c r="BC4501" s="106">
        <v>-30.51</v>
      </c>
      <c r="CE4501" s="42">
        <v>-34.979999999999997</v>
      </c>
      <c r="CK4501" s="42">
        <v>-35.090000000000003</v>
      </c>
      <c r="CM4501" s="106">
        <v>-7.99</v>
      </c>
      <c r="CN4501" s="121">
        <v>-8.0299999999999994</v>
      </c>
      <c r="CS4501" s="74">
        <v>-31.78</v>
      </c>
      <c r="DE4501" s="74">
        <v>-52.134999999999998</v>
      </c>
      <c r="DK4501" s="106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106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106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106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106">
        <v>-8.2850000000000001</v>
      </c>
      <c r="BG4505" s="42">
        <v>-7.9</v>
      </c>
      <c r="CA4505" s="106">
        <v>-8.7899999999999991</v>
      </c>
      <c r="CE4505" s="42">
        <v>-8.7899999999999991</v>
      </c>
      <c r="CY4505" s="106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106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92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106">
        <v>66.355000000000004</v>
      </c>
      <c r="CM4517" s="106">
        <v>97.81</v>
      </c>
      <c r="CY4517" s="106">
        <v>200.04499999999999</v>
      </c>
      <c r="DE4517" s="74">
        <v>202.98</v>
      </c>
      <c r="DK4517" s="106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106">
        <v>-16.059999999999999</v>
      </c>
      <c r="CA4518" s="106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106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106">
        <v>-8.4</v>
      </c>
      <c r="DM4522" s="46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106">
        <f>115.56+83.28</f>
        <v>198.84</v>
      </c>
      <c r="BO4526" s="106">
        <v>208.03</v>
      </c>
      <c r="CA4526" s="106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74">
        <v>155</v>
      </c>
      <c r="AW4527" s="106">
        <v>206.02500000000001</v>
      </c>
      <c r="DK4527" s="106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106">
        <v>-8.6199999999999992</v>
      </c>
      <c r="CF4528" s="69">
        <v>-8.41</v>
      </c>
      <c r="CY4528" s="106">
        <v>-8.9</v>
      </c>
    </row>
    <row r="4529" spans="1:256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74">
        <v>-8.59</v>
      </c>
      <c r="AR4529" s="74">
        <v>-8.8550000000000004</v>
      </c>
      <c r="AW4529" s="106">
        <v>-7.89</v>
      </c>
      <c r="BI4529" s="106">
        <v>-8.2249999999999996</v>
      </c>
      <c r="BO4529" s="106">
        <v>-8.2349999999999994</v>
      </c>
      <c r="BT4529" s="69">
        <v>-8.5449999999999999</v>
      </c>
      <c r="CG4529" s="106">
        <v>-8.0500000000000007</v>
      </c>
    </row>
    <row r="4530" spans="1:256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106">
        <f>-31.97-32.24</f>
        <v>-64.209999999999994</v>
      </c>
      <c r="BO4530" s="106">
        <v>-34.505000000000003</v>
      </c>
    </row>
    <row r="4531" spans="1:256" x14ac:dyDescent="0.25">
      <c r="A4531" s="127">
        <v>45523</v>
      </c>
      <c r="B4531" s="24" t="s">
        <v>32</v>
      </c>
      <c r="C4531" s="21">
        <f t="shared" si="75"/>
        <v>-165.26499999999999</v>
      </c>
      <c r="AW4531" s="106">
        <v>-31.51</v>
      </c>
      <c r="BI4531" s="106">
        <v>-33.125</v>
      </c>
      <c r="BO4531" s="106">
        <v>-34.53</v>
      </c>
      <c r="CA4531" s="106">
        <v>-33.174999999999997</v>
      </c>
      <c r="CM4531" s="106">
        <v>-32.924999999999997</v>
      </c>
    </row>
    <row r="4532" spans="1:256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106">
        <v>-25.47</v>
      </c>
      <c r="CA4532" s="106">
        <v>-16.105</v>
      </c>
      <c r="CG4532" s="106">
        <v>-16.094999999999999</v>
      </c>
      <c r="CY4532" s="106">
        <v>-16.545000000000002</v>
      </c>
      <c r="DK4532" s="106">
        <v>-16.57</v>
      </c>
    </row>
    <row r="4533" spans="1:256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106">
        <v>-33.47</v>
      </c>
      <c r="CY4533" s="106">
        <v>-33.07</v>
      </c>
      <c r="DE4533" s="74">
        <v>-34.564999999999998</v>
      </c>
    </row>
    <row r="4534" spans="1:256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56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56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106">
        <v>-31.234999999999999</v>
      </c>
      <c r="BC4536" s="106">
        <v>-33.9</v>
      </c>
      <c r="BI4536" s="106">
        <f>-32.915-32.97-33.435</f>
        <v>-99.32</v>
      </c>
      <c r="BO4536" s="106">
        <f>-34.67-35.25</f>
        <v>-69.92</v>
      </c>
      <c r="CA4536" s="106">
        <v>-30.18</v>
      </c>
      <c r="CG4536" s="106">
        <f>-32.225-33.235</f>
        <v>-65.459999999999994</v>
      </c>
    </row>
    <row r="4537" spans="1:256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86">
        <v>-0.1</v>
      </c>
      <c r="E4537" s="145"/>
      <c r="F4537" s="145"/>
      <c r="I4537" s="176">
        <v>11.08</v>
      </c>
      <c r="K4537" s="178"/>
      <c r="L4537" s="179">
        <v>0.03</v>
      </c>
      <c r="M4537" s="358"/>
      <c r="N4537" s="178"/>
      <c r="O4537" s="69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74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106">
        <v>19.72</v>
      </c>
      <c r="AX4537" s="179"/>
      <c r="AY4537" s="292"/>
      <c r="AZ4537" s="115"/>
      <c r="BA4537" s="178"/>
      <c r="BB4537" s="69"/>
      <c r="BC4537" s="106"/>
      <c r="BD4537" s="179"/>
      <c r="BE4537" s="179"/>
      <c r="BF4537" s="115"/>
      <c r="BG4537" s="178"/>
      <c r="BH4537" s="69"/>
      <c r="BI4537" s="106"/>
      <c r="BJ4537" s="179"/>
      <c r="BK4537" s="179"/>
      <c r="BL4537" s="115"/>
      <c r="BM4537" s="178"/>
      <c r="BN4537" s="69"/>
      <c r="BO4537" s="106"/>
      <c r="BP4537" s="179"/>
      <c r="BQ4537" s="179"/>
      <c r="BR4537" s="115"/>
      <c r="BS4537" s="178"/>
      <c r="BT4537" s="69"/>
      <c r="BU4537" s="74"/>
      <c r="BV4537" s="179"/>
      <c r="BW4537" s="179"/>
      <c r="BX4537" s="182"/>
      <c r="BY4537" s="178"/>
      <c r="BZ4537" s="179"/>
      <c r="CA4537" s="106">
        <v>2.0299999999999998</v>
      </c>
      <c r="CB4537" s="179"/>
      <c r="CC4537" s="179"/>
      <c r="CD4537" s="182"/>
      <c r="CE4537" s="178"/>
      <c r="CF4537" s="69"/>
      <c r="CG4537" s="106">
        <v>5.0000000000000001E-3</v>
      </c>
      <c r="CH4537" s="179"/>
      <c r="CI4537" s="179"/>
      <c r="CJ4537" s="182"/>
      <c r="CK4537" s="178"/>
      <c r="CL4537" s="179"/>
      <c r="CM4537" s="106"/>
      <c r="CN4537" s="179"/>
      <c r="CO4537" s="179"/>
      <c r="CP4537" s="115"/>
      <c r="CQ4537" s="178"/>
      <c r="CR4537" s="69"/>
      <c r="CS4537" s="74"/>
      <c r="CT4537" s="179"/>
      <c r="CU4537" s="292"/>
      <c r="CV4537" s="177"/>
      <c r="CW4537" s="178"/>
      <c r="CX4537" s="179"/>
      <c r="CY4537" s="106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106">
        <v>8.2850000000000001</v>
      </c>
      <c r="DL4537" s="179"/>
      <c r="DM4537" s="358"/>
      <c r="DN4537" s="178"/>
      <c r="DO4537" s="375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358"/>
      <c r="HG4537" s="178"/>
      <c r="HH4537" s="179"/>
      <c r="HI4537" s="177"/>
      <c r="HJ4537" s="177"/>
      <c r="HL4537" s="178"/>
      <c r="HM4537" s="179"/>
      <c r="HN4537" s="177"/>
      <c r="HO4537" s="178"/>
      <c r="HP4537" s="358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  <c r="IV4537" s="357"/>
    </row>
    <row r="4538" spans="1:256" x14ac:dyDescent="0.25">
      <c r="A4538" s="127">
        <v>45524</v>
      </c>
      <c r="B4538" s="24" t="s">
        <v>20</v>
      </c>
      <c r="C4538" s="21">
        <f t="shared" si="75"/>
        <v>-33.799999999999997</v>
      </c>
      <c r="BI4538" s="106">
        <v>-8.2449999999999992</v>
      </c>
      <c r="BO4538" s="106">
        <v>-8.6549999999999994</v>
      </c>
      <c r="CM4538" s="106">
        <v>-7.96</v>
      </c>
      <c r="CQ4538" s="42">
        <v>-8.94</v>
      </c>
    </row>
    <row r="4539" spans="1:256" x14ac:dyDescent="0.25">
      <c r="A4539" s="127">
        <v>45524</v>
      </c>
      <c r="B4539" s="24" t="s">
        <v>75</v>
      </c>
      <c r="C4539" s="21">
        <f t="shared" si="75"/>
        <v>-26.035</v>
      </c>
      <c r="AG4539" s="74">
        <v>-8.61</v>
      </c>
      <c r="BO4539" s="106">
        <v>-9.3550000000000004</v>
      </c>
      <c r="CA4539" s="106">
        <v>-8.07</v>
      </c>
    </row>
    <row r="4540" spans="1:256" x14ac:dyDescent="0.25">
      <c r="A4540" s="127">
        <v>45524</v>
      </c>
      <c r="B4540" s="24" t="s">
        <v>138</v>
      </c>
      <c r="C4540" s="21">
        <f t="shared" si="75"/>
        <v>-33.125</v>
      </c>
      <c r="AG4540" s="74">
        <v>-8.6050000000000004</v>
      </c>
      <c r="BI4540" s="106">
        <v>-16.454999999999998</v>
      </c>
      <c r="CG4540" s="106">
        <v>-8.0649999999999995</v>
      </c>
    </row>
    <row r="4541" spans="1:256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56" x14ac:dyDescent="0.25">
      <c r="A4542" s="127">
        <v>45525</v>
      </c>
      <c r="B4542" s="24" t="s">
        <v>59</v>
      </c>
      <c r="C4542" s="21">
        <f t="shared" si="75"/>
        <v>-42.67</v>
      </c>
      <c r="CM4542" s="106">
        <f>-8.24-8.255</f>
        <v>-16.495000000000001</v>
      </c>
      <c r="CQ4542" s="42">
        <v>-9</v>
      </c>
      <c r="CY4542" s="106">
        <f>-8.28-8.895</f>
        <v>-17.175000000000001</v>
      </c>
    </row>
    <row r="4543" spans="1:256" x14ac:dyDescent="0.25">
      <c r="A4543" s="127">
        <v>45525</v>
      </c>
      <c r="B4543" s="24" t="s">
        <v>184</v>
      </c>
      <c r="C4543" s="21">
        <f t="shared" si="75"/>
        <v>-33.880000000000003</v>
      </c>
      <c r="CY4543" s="106">
        <v>-8.2100000000000009</v>
      </c>
      <c r="EA4543" s="74">
        <v>-25.67</v>
      </c>
    </row>
    <row r="4544" spans="1:256" x14ac:dyDescent="0.25">
      <c r="A4544" s="127">
        <v>45526</v>
      </c>
      <c r="B4544" s="24" t="s">
        <v>184</v>
      </c>
      <c r="C4544" s="21">
        <f t="shared" si="75"/>
        <v>-57.87</v>
      </c>
      <c r="AW4544" s="106">
        <v>-16.03</v>
      </c>
      <c r="BC4544" s="106">
        <v>-16.079999999999998</v>
      </c>
      <c r="CA4544" s="106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106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106">
        <v>-17.36</v>
      </c>
      <c r="CF4546" s="69">
        <v>-16.670000000000002</v>
      </c>
      <c r="CM4546" s="106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106">
        <v>-8.5299999999999994</v>
      </c>
      <c r="CA4548" s="106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74">
        <v>-8.625</v>
      </c>
      <c r="AN4550" s="74">
        <v>-8.61</v>
      </c>
      <c r="AR4550" s="74">
        <v>-6.58</v>
      </c>
      <c r="AW4550" s="106">
        <v>-15.904999999999999</v>
      </c>
      <c r="BC4550" s="106">
        <v>-16.715</v>
      </c>
      <c r="BY4550" s="42">
        <v>-9.14</v>
      </c>
      <c r="CM4550" s="106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106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106">
        <v>64.465000000000003</v>
      </c>
      <c r="BI4552" s="106">
        <v>82.325000000000003</v>
      </c>
      <c r="BO4552" s="106">
        <v>98.704999999999998</v>
      </c>
      <c r="BU4552" s="74">
        <v>132.30500000000001</v>
      </c>
      <c r="CA4552" s="106">
        <v>69.06</v>
      </c>
      <c r="CG4552" s="106">
        <v>32.729999999999997</v>
      </c>
      <c r="CM4552" s="106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106">
        <v>-33.325000000000003</v>
      </c>
      <c r="BO4553" s="106">
        <v>-65.8</v>
      </c>
      <c r="BU4553" s="74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106">
        <v>-64.465000000000003</v>
      </c>
      <c r="BU4554" s="74">
        <v>-33.36</v>
      </c>
      <c r="CA4554" s="106">
        <v>-34.82</v>
      </c>
      <c r="CY4554" s="106">
        <v>-66.52</v>
      </c>
      <c r="DE4554" s="74">
        <v>-67.784999999999997</v>
      </c>
      <c r="DK4554" s="106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106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106">
        <v>-7.8</v>
      </c>
      <c r="BI4559" s="106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106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106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106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106">
        <v>-15.965</v>
      </c>
      <c r="BI4563" s="106">
        <v>-16.850000000000001</v>
      </c>
      <c r="CM4563" s="106">
        <v>-35.064999999999998</v>
      </c>
      <c r="CY4563" s="106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106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74">
        <v>-8.61</v>
      </c>
      <c r="AN4566" s="74">
        <v>-8.61</v>
      </c>
      <c r="AR4566" s="74">
        <v>-8.39</v>
      </c>
      <c r="AW4566" s="106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74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106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106">
        <v>-8.0399999999999991</v>
      </c>
      <c r="BO4574" s="106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106">
        <v>-8.2100000000000009</v>
      </c>
      <c r="CA4575" s="106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106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106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106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106">
        <v>65.394999999999996</v>
      </c>
      <c r="BC4588" s="106">
        <v>96.775000000000006</v>
      </c>
      <c r="BU4588" s="74">
        <v>66.92</v>
      </c>
      <c r="CS4588" s="74">
        <v>51.3</v>
      </c>
      <c r="CY4588" s="106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106">
        <v>64.334999999999994</v>
      </c>
      <c r="CA4589" s="106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106">
        <v>-32.58</v>
      </c>
      <c r="BC4591" s="106">
        <v>-64.459999999999994</v>
      </c>
      <c r="BI4591" s="106">
        <f>-32.195-32.14</f>
        <v>-64.334999999999994</v>
      </c>
      <c r="BN4591" s="69">
        <v>-34.200000000000003</v>
      </c>
      <c r="BU4591" s="74">
        <v>-33.435000000000002</v>
      </c>
      <c r="CA4591" s="106">
        <v>-33.32</v>
      </c>
      <c r="CG4591" s="106">
        <v>-65.435000000000002</v>
      </c>
      <c r="CM4591" s="106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106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106">
        <v>-33.049999999999997</v>
      </c>
      <c r="DK4597" s="106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74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106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106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74">
        <v>-8.6</v>
      </c>
      <c r="AW4604" s="106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106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106">
        <v>-33.234999999999999</v>
      </c>
      <c r="CF4609" s="69">
        <f>-8.51-8.35-8.505-8.51</f>
        <v>-33.875</v>
      </c>
      <c r="DK4609" s="106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106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106">
        <v>145.005</v>
      </c>
      <c r="BU4612" s="74">
        <f>113.575+66.035</f>
        <v>179.61</v>
      </c>
      <c r="CG4612" s="106">
        <v>102.26</v>
      </c>
      <c r="CY4612" s="106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106">
        <v>64.775000000000006</v>
      </c>
      <c r="CS4613" s="74">
        <v>159.82499999999999</v>
      </c>
      <c r="DE4613" s="74">
        <v>100.34</v>
      </c>
      <c r="DK4613" s="106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74">
        <v>102.44499999999999</v>
      </c>
      <c r="AW4614" s="106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106">
        <v>64.125</v>
      </c>
      <c r="CS4615" s="74">
        <v>166.71</v>
      </c>
      <c r="DE4615" s="74">
        <v>103.05500000000001</v>
      </c>
      <c r="DK4615" s="106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106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106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106">
        <v>-8.0749999999999993</v>
      </c>
      <c r="BC4624" s="106">
        <v>-16.155000000000001</v>
      </c>
      <c r="BI4624" s="106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106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106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106">
        <v>-8.1050000000000004</v>
      </c>
      <c r="BC4631" s="106">
        <v>-8.01</v>
      </c>
      <c r="BI4631" s="106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106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92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106">
        <v>-8.17</v>
      </c>
      <c r="BI4634" s="106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106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106">
        <v>-7.9950000000000001</v>
      </c>
      <c r="BI4635" s="106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106">
        <v>-8.18</v>
      </c>
      <c r="BC4639" s="106">
        <v>-8.02</v>
      </c>
      <c r="BI4639" s="106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106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106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106">
        <v>-7.93</v>
      </c>
      <c r="BI4649" s="106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106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106">
        <v>-8.08</v>
      </c>
      <c r="BC4659" s="106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106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106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106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106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106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106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106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106">
        <v>-32.365000000000002</v>
      </c>
      <c r="BG4679" s="42">
        <f>-8.79-8.78-8.8</f>
        <v>-26.37</v>
      </c>
      <c r="BI4679" s="106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74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74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106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106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106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106">
        <v>-8.56</v>
      </c>
      <c r="BC4690" s="106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106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106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106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106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106">
        <v>67.204999999999998</v>
      </c>
      <c r="BC4701" s="106">
        <v>100.44</v>
      </c>
      <c r="BI4701" s="106">
        <v>97.31</v>
      </c>
      <c r="BO4701" s="106">
        <v>103.96</v>
      </c>
      <c r="BU4701" s="74">
        <v>64.86</v>
      </c>
      <c r="CG4701" s="106">
        <v>104.675</v>
      </c>
      <c r="CM4701" s="106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106">
        <v>-33.534999999999997</v>
      </c>
      <c r="BO4702" s="106">
        <v>-34.505000000000003</v>
      </c>
      <c r="CG4702" s="106">
        <v>-17.32</v>
      </c>
      <c r="CM4702" s="106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106">
        <v>-8.3550000000000004</v>
      </c>
      <c r="BC4703" s="106">
        <v>-16.704999999999998</v>
      </c>
      <c r="BU4703" s="74">
        <v>-8.48</v>
      </c>
      <c r="CG4703" s="106">
        <v>-8.7349999999999994</v>
      </c>
      <c r="CM4703" s="106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106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386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106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106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106">
        <v>-59.064999999999998</v>
      </c>
      <c r="BH4710" s="69">
        <v>-101.93</v>
      </c>
      <c r="BN4710" s="69">
        <v>-33.51</v>
      </c>
      <c r="BO4710" s="106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92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106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106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106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386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106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106">
        <v>-32.465000000000003</v>
      </c>
      <c r="BU4723" s="74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106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106">
        <v>-7.83</v>
      </c>
      <c r="BC4730" s="106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106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106">
        <v>-32.454999999999998</v>
      </c>
      <c r="DK4733" s="106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106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106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106">
        <v>-18.34</v>
      </c>
      <c r="BC4737" s="106">
        <v>-16.489999999999998</v>
      </c>
      <c r="BI4737" s="106">
        <v>-16.510000000000002</v>
      </c>
      <c r="BT4737" s="69">
        <v>-16.670000000000002</v>
      </c>
      <c r="CF4737" s="69">
        <v>-8.4649999999999999</v>
      </c>
      <c r="CM4737" s="106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106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106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106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74">
        <v>104.355</v>
      </c>
      <c r="AN4746" s="74">
        <v>140.11500000000001</v>
      </c>
      <c r="AW4746" s="106">
        <v>67.400000000000006</v>
      </c>
      <c r="BI4746" s="106">
        <v>209.58</v>
      </c>
      <c r="BO4746" s="106">
        <v>173.06</v>
      </c>
      <c r="CM4746" s="106">
        <v>97.28</v>
      </c>
      <c r="CY4746" s="106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106">
        <v>63.44</v>
      </c>
      <c r="CA4747" s="106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106">
        <v>-32.185000000000002</v>
      </c>
      <c r="BI4748" s="106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74">
        <v>-8.5850000000000009</v>
      </c>
      <c r="AN4749" s="74">
        <v>-8.7550000000000008</v>
      </c>
      <c r="AR4749" s="74">
        <v>-8.4849999999999994</v>
      </c>
      <c r="AW4749" s="106">
        <v>-8.42</v>
      </c>
      <c r="BC4749" s="106">
        <v>-8.11</v>
      </c>
      <c r="BI4749" s="106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106">
        <v>-8.4350000000000005</v>
      </c>
      <c r="BC4750" s="106">
        <v>-7.1050000000000004</v>
      </c>
      <c r="BI4750" s="106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106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106">
        <v>-17.344999999999999</v>
      </c>
      <c r="CA4752" s="106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106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106">
        <v>-34.634999999999998</v>
      </c>
      <c r="BS4759" s="42">
        <v>-34.409999999999997</v>
      </c>
      <c r="CA4759" s="106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386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106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106">
        <v>-7.98</v>
      </c>
      <c r="BI4762" s="106">
        <v>-8.09</v>
      </c>
      <c r="BO4762" s="106">
        <v>-8.67</v>
      </c>
      <c r="CM4762" s="106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106">
        <v>-16.850000000000001</v>
      </c>
      <c r="BI4764" s="106">
        <v>-16.114999999999998</v>
      </c>
      <c r="BO4764" s="106">
        <v>-34.555</v>
      </c>
      <c r="CF4764" s="69">
        <v>-16.809999999999999</v>
      </c>
      <c r="CM4764" s="106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106">
        <v>-8.0549999999999997</v>
      </c>
      <c r="CF4765" s="69">
        <v>-8.4700000000000006</v>
      </c>
      <c r="CL4765" s="69">
        <v>-8.4450000000000003</v>
      </c>
      <c r="CY4765" s="106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106">
        <v>-8.14</v>
      </c>
      <c r="BO4766" s="106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106">
        <v>-8.4749999999999996</v>
      </c>
      <c r="BC4767" s="106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106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106">
        <v>-8.4550000000000001</v>
      </c>
      <c r="BI4770" s="106">
        <v>-8.02</v>
      </c>
      <c r="BO4770" s="106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74">
        <v>-8.57</v>
      </c>
      <c r="AN4771" s="74">
        <v>-8.7550000000000008</v>
      </c>
      <c r="AR4771" s="74">
        <v>-8.42</v>
      </c>
      <c r="AW4771" s="106">
        <v>-8.4049999999999994</v>
      </c>
      <c r="BO4771" s="106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386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106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106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106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106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106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106">
        <v>95.484999999999999</v>
      </c>
      <c r="BC4781" s="106">
        <v>96.504999999999995</v>
      </c>
      <c r="BI4781" s="106">
        <v>92.334999999999994</v>
      </c>
      <c r="BO4781" s="106">
        <v>91.814999999999998</v>
      </c>
      <c r="BU4781" s="74">
        <f>76.67+73.33</f>
        <v>150</v>
      </c>
      <c r="CA4781" s="106">
        <v>100.7</v>
      </c>
      <c r="CG4781" s="106">
        <v>96.364999999999995</v>
      </c>
      <c r="CM4781" s="106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106">
        <v>-34.615000000000002</v>
      </c>
      <c r="GW4782" s="92">
        <v>-7.1749999999999998</v>
      </c>
      <c r="GZ4782" s="106">
        <v>-50.76</v>
      </c>
      <c r="HP4782" s="92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106">
        <v>-8.1950000000000003</v>
      </c>
      <c r="CS4783" s="74">
        <v>-8.3949999999999996</v>
      </c>
      <c r="CY4783" s="106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106">
        <v>-6.66</v>
      </c>
      <c r="BC4784" s="106">
        <v>-8.1750000000000007</v>
      </c>
      <c r="BI4784" s="106">
        <v>-14.625</v>
      </c>
      <c r="BO4784" s="106">
        <v>-24.53</v>
      </c>
      <c r="BU4784" s="74">
        <v>-16.234999999999999</v>
      </c>
      <c r="CA4784" s="106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106">
        <v>-64.73</v>
      </c>
      <c r="BI4786" s="106">
        <v>-64.545000000000002</v>
      </c>
      <c r="BO4786" s="106">
        <v>-59.12</v>
      </c>
      <c r="BU4786" s="74">
        <v>-66.63</v>
      </c>
      <c r="CA4786" s="106">
        <v>-67.045000000000002</v>
      </c>
      <c r="CW4786" s="42">
        <f>-32-33.26</f>
        <v>-65.260000000000005</v>
      </c>
      <c r="CY4786" s="106">
        <v>-32.4</v>
      </c>
      <c r="DE4786" s="74">
        <v>-33.805</v>
      </c>
      <c r="DK4786" s="106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386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106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106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386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386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106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106">
        <v>-8.25</v>
      </c>
      <c r="CA4795" s="106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106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106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106">
        <v>-7.86</v>
      </c>
      <c r="BI4803" s="106">
        <v>-8.0350000000000001</v>
      </c>
      <c r="CG4803" s="106">
        <v>-8.39</v>
      </c>
      <c r="CM4803" s="106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106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74">
        <v>-8.61</v>
      </c>
      <c r="AN4805" s="74">
        <v>-8.76</v>
      </c>
      <c r="AR4805" s="74">
        <v>-8.4849999999999994</v>
      </c>
      <c r="AW4805" s="106">
        <v>-8.0500000000000007</v>
      </c>
      <c r="BU4805" s="74">
        <v>-26.16</v>
      </c>
      <c r="CG4805" s="106">
        <v>-31.155000000000001</v>
      </c>
      <c r="CM4805" s="106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106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106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106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106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106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106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106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74">
        <v>-8.57</v>
      </c>
      <c r="BO4818" s="106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106">
        <v>-8.0549999999999997</v>
      </c>
      <c r="BI4821" s="106">
        <v>-7.835</v>
      </c>
      <c r="BU4821" s="74">
        <v>-8.15</v>
      </c>
      <c r="CG4821" s="106">
        <v>-8.3800000000000008</v>
      </c>
      <c r="CM4821" s="106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46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92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106">
        <v>97.435000000000002</v>
      </c>
      <c r="BC4829" s="106">
        <v>65.155000000000001</v>
      </c>
      <c r="BI4829" s="106">
        <v>94.204999999999998</v>
      </c>
      <c r="BO4829" s="106">
        <v>64.61</v>
      </c>
      <c r="CG4829" s="106">
        <v>98.734999999999999</v>
      </c>
      <c r="CM4829" s="106">
        <v>97.92</v>
      </c>
      <c r="CS4829" s="74">
        <v>65.944999999999993</v>
      </c>
      <c r="CY4829" s="106">
        <v>102.685</v>
      </c>
      <c r="DE4829" s="74">
        <v>99.36</v>
      </c>
      <c r="DK4829" s="106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106">
        <v>32.51</v>
      </c>
      <c r="BC4830" s="106">
        <v>92.555000000000007</v>
      </c>
      <c r="BO4830" s="106">
        <v>127.05</v>
      </c>
      <c r="BU4830" s="74">
        <v>130.41999999999999</v>
      </c>
      <c r="CA4830" s="106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106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106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106">
        <v>-15.42</v>
      </c>
      <c r="BI4834" s="106">
        <v>-15.715</v>
      </c>
      <c r="BO4834" s="106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106">
        <v>-8.09</v>
      </c>
      <c r="BO4835" s="106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106">
        <v>-32.520000000000003</v>
      </c>
      <c r="BC4837" s="106">
        <v>-63.75</v>
      </c>
      <c r="BI4837" s="106">
        <v>-31.37</v>
      </c>
      <c r="BO4837" s="106">
        <v>-32.06</v>
      </c>
      <c r="BU4837" s="74">
        <v>-32.344999999999999</v>
      </c>
      <c r="CA4837" s="106">
        <v>-34.21</v>
      </c>
      <c r="CM4837" s="106">
        <v>-32.384999999999998</v>
      </c>
      <c r="DK4837" s="106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106">
        <v>-8.11</v>
      </c>
      <c r="BC4838" s="106">
        <v>-8.09</v>
      </c>
      <c r="BI4838" s="106">
        <v>-7.55</v>
      </c>
      <c r="BO4838" s="106">
        <v>-8.1850000000000005</v>
      </c>
      <c r="BU4838" s="74">
        <v>-16.805</v>
      </c>
      <c r="CA4838" s="106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106">
        <v>-16.260000000000002</v>
      </c>
      <c r="BI4839" s="106">
        <v>-31.4</v>
      </c>
      <c r="BO4839" s="106">
        <v>-29.87</v>
      </c>
      <c r="BU4839" s="74">
        <v>-32.479999999999997</v>
      </c>
      <c r="CA4839" s="106">
        <v>-34.195</v>
      </c>
      <c r="CG4839" s="106">
        <v>-16.734999999999999</v>
      </c>
      <c r="CM4839" s="106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106">
        <v>-16.215</v>
      </c>
      <c r="BC4840" s="106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106">
        <v>-8.8699999999999992</v>
      </c>
      <c r="CA4842" s="106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106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106">
        <v>-7.92</v>
      </c>
      <c r="BC4844" s="106">
        <v>-7.8449999999999998</v>
      </c>
      <c r="BO4844" s="106">
        <v>-8.1449999999999996</v>
      </c>
      <c r="BU4844" s="74">
        <v>-24.35</v>
      </c>
      <c r="CA4844" s="106">
        <v>-8.5250000000000004</v>
      </c>
      <c r="CG4844" s="106">
        <v>-7.9</v>
      </c>
      <c r="CM4844" s="106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106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106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106">
        <v>-8.0749999999999993</v>
      </c>
      <c r="BC4849" s="106">
        <v>-8.0649999999999995</v>
      </c>
      <c r="BO4849" s="106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106">
        <v>221.4</v>
      </c>
      <c r="BI4851" s="106">
        <v>113.325</v>
      </c>
      <c r="BO4851" s="106">
        <v>135.19999999999999</v>
      </c>
      <c r="BU4851" s="74">
        <v>130.99</v>
      </c>
      <c r="CA4851" s="106">
        <v>68.010000000000005</v>
      </c>
      <c r="CM4851" s="106">
        <v>99.32</v>
      </c>
      <c r="CY4851" s="106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106">
        <v>-32.454999999999998</v>
      </c>
      <c r="BO4852" s="106">
        <v>-33.82</v>
      </c>
      <c r="CM4852" s="106">
        <v>-33.869999999999997</v>
      </c>
      <c r="CS4852" s="74">
        <v>-33.765000000000001</v>
      </c>
      <c r="CY4852" s="106">
        <v>-68.34</v>
      </c>
      <c r="DE4852" s="74">
        <v>-67.02</v>
      </c>
      <c r="DK4852" s="106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106">
        <v>-48.73</v>
      </c>
      <c r="BC4853" s="106">
        <v>-48.03</v>
      </c>
      <c r="BI4853" s="106">
        <v>-48.594999999999999</v>
      </c>
      <c r="BO4853" s="106">
        <v>-50.73</v>
      </c>
      <c r="BU4853" s="74">
        <v>-49.155000000000001</v>
      </c>
      <c r="CM4853" s="106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74">
        <v>-8.5399999999999991</v>
      </c>
      <c r="AW4854" s="106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106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106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106">
        <v>-16.135000000000002</v>
      </c>
      <c r="BI4858" s="106">
        <v>-8.0749999999999993</v>
      </c>
      <c r="CA4858" s="106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106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106">
        <f>-8.085-7.885</f>
        <v>-15.97</v>
      </c>
      <c r="BI4860" s="106">
        <v>-32.405000000000001</v>
      </c>
      <c r="BO4860" s="106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106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106">
        <v>-8.49</v>
      </c>
      <c r="CM4865" s="106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106">
        <v>-64.564999999999998</v>
      </c>
      <c r="CS4867" s="74">
        <v>-33.770000000000003</v>
      </c>
      <c r="CY4867" s="106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106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106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106">
        <v>-8.1549999999999994</v>
      </c>
      <c r="BI4870" s="106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106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106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106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106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386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106">
        <v>-8.1999999999999993</v>
      </c>
      <c r="CY4880" s="106">
        <v>-25.77</v>
      </c>
    </row>
    <row r="4881" spans="1:256" x14ac:dyDescent="0.25">
      <c r="A4881" s="127">
        <v>45633</v>
      </c>
      <c r="B4881" s="24" t="s">
        <v>188</v>
      </c>
      <c r="C4881" s="21">
        <f t="shared" si="80"/>
        <v>-24.08</v>
      </c>
      <c r="AW4881" s="106">
        <v>-7.82</v>
      </c>
      <c r="BI4881" s="106">
        <v>-8.0950000000000006</v>
      </c>
      <c r="BU4881" s="74">
        <v>-8.1649999999999991</v>
      </c>
    </row>
    <row r="4882" spans="1:256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106">
        <v>-8.1649999999999991</v>
      </c>
    </row>
    <row r="4883" spans="1:256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56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56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106">
        <v>-8.06</v>
      </c>
    </row>
    <row r="4886" spans="1:256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56" x14ac:dyDescent="0.25">
      <c r="A4887" s="127">
        <v>45636</v>
      </c>
      <c r="B4887" s="24" t="s">
        <v>134</v>
      </c>
      <c r="C4887" s="21">
        <f t="shared" si="80"/>
        <v>-40.729999999999997</v>
      </c>
      <c r="D4887" s="386">
        <v>-24.14</v>
      </c>
      <c r="F4887" s="145">
        <v>-16.59</v>
      </c>
    </row>
    <row r="4888" spans="1:256" x14ac:dyDescent="0.25">
      <c r="A4888" s="127">
        <v>45636</v>
      </c>
      <c r="B4888" s="24" t="s">
        <v>113</v>
      </c>
      <c r="C4888" s="21">
        <f t="shared" si="80"/>
        <v>518.68499999999995</v>
      </c>
      <c r="BC4888" s="106">
        <v>30.905000000000001</v>
      </c>
      <c r="BO4888" s="106">
        <v>34.83</v>
      </c>
      <c r="BU4888" s="74">
        <v>128.44999999999999</v>
      </c>
      <c r="CA4888" s="106">
        <v>129.6</v>
      </c>
      <c r="CG4888" s="106">
        <v>66.290000000000006</v>
      </c>
      <c r="EA4888" s="74">
        <v>128.61000000000001</v>
      </c>
    </row>
    <row r="4889" spans="1:256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74">
        <v>33.695</v>
      </c>
      <c r="AN4889" s="74">
        <v>34.034999999999997</v>
      </c>
      <c r="AW4889" s="106">
        <v>97.28</v>
      </c>
      <c r="BI4889" s="106">
        <v>94.2</v>
      </c>
      <c r="BO4889" s="106">
        <v>97.55</v>
      </c>
      <c r="CG4889" s="106">
        <v>61.524999999999999</v>
      </c>
      <c r="CM4889" s="106">
        <v>97.504999999999995</v>
      </c>
      <c r="CS4889" s="74">
        <v>83.65</v>
      </c>
      <c r="CY4889" s="106">
        <v>64.394999999999996</v>
      </c>
      <c r="DE4889" s="74">
        <v>97.1</v>
      </c>
      <c r="DK4889" s="106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56" x14ac:dyDescent="0.25">
      <c r="A4890" s="127">
        <v>45636</v>
      </c>
      <c r="B4890" s="24" t="s">
        <v>152</v>
      </c>
      <c r="C4890" s="21">
        <f t="shared" si="80"/>
        <v>-961.91</v>
      </c>
      <c r="BC4890" s="106">
        <v>-63.164999999999999</v>
      </c>
      <c r="BI4890" s="106">
        <v>-62.865000000000002</v>
      </c>
      <c r="BO4890" s="106">
        <v>-99.88</v>
      </c>
      <c r="BU4890" s="74">
        <v>-95.39</v>
      </c>
      <c r="CA4890" s="106">
        <v>-95.224999999999994</v>
      </c>
      <c r="CG4890" s="106">
        <v>-127.815</v>
      </c>
      <c r="CM4890" s="106">
        <v>-33.005000000000003</v>
      </c>
      <c r="CY4890" s="106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56" x14ac:dyDescent="0.25">
      <c r="A4891" s="127">
        <v>45636</v>
      </c>
      <c r="B4891" s="24" t="s">
        <v>79</v>
      </c>
      <c r="C4891" s="21">
        <f t="shared" si="80"/>
        <v>-16.215</v>
      </c>
      <c r="BO4891" s="106">
        <f>-8.1-8.115</f>
        <v>-16.215</v>
      </c>
    </row>
    <row r="4892" spans="1:256" x14ac:dyDescent="0.25">
      <c r="A4892" s="127">
        <v>45637</v>
      </c>
      <c r="B4892" s="24" t="s">
        <v>213</v>
      </c>
      <c r="C4892" s="21">
        <f t="shared" si="80"/>
        <v>-67.275000000000006</v>
      </c>
      <c r="BC4892" s="106">
        <v>-8.11</v>
      </c>
      <c r="BO4892" s="106">
        <v>-8.16</v>
      </c>
      <c r="CA4892" s="106">
        <v>-34.375</v>
      </c>
      <c r="CF4892" s="69">
        <v>-8.4649999999999999</v>
      </c>
      <c r="CG4892" s="106">
        <v>-8.1649999999999991</v>
      </c>
    </row>
    <row r="4893" spans="1:256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56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56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86" t="s">
        <v>216</v>
      </c>
      <c r="E4895" s="145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69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74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106">
        <v>-8.06</v>
      </c>
      <c r="AX4895" s="179"/>
      <c r="AY4895" s="292"/>
      <c r="AZ4895" s="115"/>
      <c r="BA4895" s="178"/>
      <c r="BB4895" s="69"/>
      <c r="BC4895" s="106" t="s">
        <v>216</v>
      </c>
      <c r="BD4895" s="179"/>
      <c r="BE4895" s="179"/>
      <c r="BF4895" s="115"/>
      <c r="BG4895" s="178"/>
      <c r="BH4895" s="69"/>
      <c r="BI4895" s="106" t="s">
        <v>216</v>
      </c>
      <c r="BJ4895" s="179"/>
      <c r="BK4895" s="179"/>
      <c r="BL4895" s="115"/>
      <c r="BM4895" s="178"/>
      <c r="BN4895" s="69"/>
      <c r="BO4895" s="106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82"/>
      <c r="BY4895" s="178"/>
      <c r="BZ4895" s="179"/>
      <c r="CA4895" s="106"/>
      <c r="CB4895" s="179"/>
      <c r="CC4895" s="179"/>
      <c r="CD4895" s="182"/>
      <c r="CE4895" s="178"/>
      <c r="CF4895" s="69" t="s">
        <v>216</v>
      </c>
      <c r="CG4895" s="106"/>
      <c r="CH4895" s="179"/>
      <c r="CI4895" s="179"/>
      <c r="CJ4895" s="182"/>
      <c r="CK4895" s="178"/>
      <c r="CL4895" s="179"/>
      <c r="CM4895" s="106" t="s">
        <v>216</v>
      </c>
      <c r="CN4895" s="179"/>
      <c r="CO4895" s="179"/>
      <c r="CP4895" s="115"/>
      <c r="CQ4895" s="178"/>
      <c r="CR4895" s="69"/>
      <c r="CS4895" s="74">
        <v>8.4</v>
      </c>
      <c r="CT4895" s="179"/>
      <c r="CU4895" s="292"/>
      <c r="CV4895" s="177"/>
      <c r="CW4895" s="178"/>
      <c r="CX4895" s="179"/>
      <c r="CY4895" s="106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106">
        <v>-6.875</v>
      </c>
      <c r="DL4895" s="179"/>
      <c r="DM4895" s="358" t="s">
        <v>216</v>
      </c>
      <c r="DN4895" s="178"/>
      <c r="DO4895" s="375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358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358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  <c r="IV4895" s="357"/>
    </row>
    <row r="4896" spans="1:256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106">
        <v>-7.8449999999999998</v>
      </c>
      <c r="BO4901" s="106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82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106">
        <v>-14.4</v>
      </c>
      <c r="BI4903" s="106">
        <v>-29.87</v>
      </c>
      <c r="BR4903" s="115">
        <v>-16.98</v>
      </c>
      <c r="BX4903" s="182">
        <v>-16.66</v>
      </c>
      <c r="CD4903" s="182">
        <v>-17.87</v>
      </c>
      <c r="CM4903" s="106">
        <v>-31.68</v>
      </c>
      <c r="CS4903" s="74">
        <v>-37.74</v>
      </c>
      <c r="CY4903" s="106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74">
        <v>-8.4350000000000005</v>
      </c>
      <c r="AR4908" s="74">
        <v>-8.0850000000000009</v>
      </c>
      <c r="BI4908" s="106">
        <v>-7.8250000000000002</v>
      </c>
      <c r="BR4908" s="115">
        <v>-8.4749999999999996</v>
      </c>
      <c r="CM4908" s="106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106">
        <v>31.35</v>
      </c>
      <c r="CA4912" s="106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106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106">
        <v>-7.94</v>
      </c>
      <c r="BC4915" s="106">
        <v>-5.8</v>
      </c>
      <c r="BI4915" s="106">
        <v>-7.83</v>
      </c>
      <c r="BO4915" s="106">
        <v>-7.14</v>
      </c>
      <c r="BU4915" s="74">
        <v>-8.26</v>
      </c>
      <c r="CA4915" s="106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106">
        <v>-24.19</v>
      </c>
      <c r="BI4916" s="106">
        <v>-15.94</v>
      </c>
      <c r="BO4916" s="106">
        <v>-15.965</v>
      </c>
      <c r="BX4916" s="182">
        <v>-16.670000000000002</v>
      </c>
      <c r="CA4916" s="106">
        <v>-17.27</v>
      </c>
      <c r="CG4916" s="106">
        <v>-8.4049999999999994</v>
      </c>
      <c r="CM4916" s="106">
        <v>-16.5</v>
      </c>
      <c r="CS4916" s="74">
        <v>-8.24</v>
      </c>
      <c r="CY4916" s="106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106">
        <v>-17.175000000000001</v>
      </c>
      <c r="CG4917" s="106">
        <v>-16.704999999999998</v>
      </c>
      <c r="CS4917" s="74">
        <v>-16.484999999999999</v>
      </c>
      <c r="CY4917" s="106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106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92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106">
        <v>100.005</v>
      </c>
      <c r="BO4921" s="106">
        <v>94.86</v>
      </c>
      <c r="BU4921" s="74">
        <v>158.59</v>
      </c>
      <c r="CA4921" s="106">
        <v>117.97499999999999</v>
      </c>
      <c r="CG4921" s="106">
        <v>66.680000000000007</v>
      </c>
      <c r="CM4921" s="106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106">
        <v>-32.435000000000002</v>
      </c>
      <c r="BC4923" s="106">
        <v>-66.17</v>
      </c>
      <c r="BO4923" s="106">
        <v>-63.62</v>
      </c>
      <c r="BU4923" s="74">
        <v>-94.13</v>
      </c>
      <c r="CA4923" s="106">
        <v>-101.825</v>
      </c>
      <c r="CG4923" s="106">
        <v>-66.680000000000007</v>
      </c>
      <c r="DK4923" s="106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106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106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106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106">
        <v>-8.1850000000000005</v>
      </c>
      <c r="CA4927" s="106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106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106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106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74">
        <v>-8.4</v>
      </c>
      <c r="BC4935" s="106">
        <v>-8.41</v>
      </c>
      <c r="BI4935" s="106">
        <v>-32.78</v>
      </c>
      <c r="BO4935" s="106">
        <v>-31.864999999999998</v>
      </c>
      <c r="BU4935" s="74">
        <v>-32.854999999999997</v>
      </c>
      <c r="CA4935" s="106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106">
        <v>-15.68</v>
      </c>
      <c r="BO4939" s="106">
        <v>-7.62</v>
      </c>
      <c r="CM4939" s="106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74">
        <v>-8.4350000000000005</v>
      </c>
      <c r="AN4940" s="74">
        <v>-8.5150000000000006</v>
      </c>
      <c r="AR4940" s="74">
        <v>-8.3800000000000008</v>
      </c>
      <c r="AW4940" s="106">
        <v>-16.215</v>
      </c>
      <c r="BC4940" s="106">
        <v>-8.41</v>
      </c>
      <c r="BU4940" s="74">
        <v>-8.1999999999999993</v>
      </c>
      <c r="CM4940" s="106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69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375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106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74">
        <v>66.989999999999995</v>
      </c>
      <c r="AN4945" s="74">
        <v>68.010000000000005</v>
      </c>
      <c r="BC4945" s="106">
        <v>32.225000000000001</v>
      </c>
      <c r="BI4945" s="106">
        <v>63.43</v>
      </c>
      <c r="CG4945" s="106">
        <v>34.085000000000001</v>
      </c>
      <c r="CM4945" s="106">
        <v>48.594999999999999</v>
      </c>
      <c r="CY4945" s="106">
        <v>176.23500000000001</v>
      </c>
      <c r="DE4945" s="74">
        <v>148.44999999999999</v>
      </c>
      <c r="DK4945" s="106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106">
        <v>311.95</v>
      </c>
      <c r="BC4946" s="106">
        <v>179.41</v>
      </c>
      <c r="BI4946" s="106">
        <v>277.52999999999997</v>
      </c>
      <c r="BO4946" s="106">
        <v>128.64500000000001</v>
      </c>
      <c r="CG4946" s="106">
        <v>65.484999999999999</v>
      </c>
      <c r="CM4946" s="106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106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106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106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106">
        <v>-7.38</v>
      </c>
      <c r="BI4950" s="106">
        <v>-16.484999999999999</v>
      </c>
      <c r="BO4950" s="106">
        <v>-17.329999999999998</v>
      </c>
      <c r="BZ4950" s="69">
        <v>-5.15</v>
      </c>
      <c r="CG4950" s="106">
        <v>-8.43</v>
      </c>
      <c r="CM4950" s="106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74">
        <v>-67.534999999999997</v>
      </c>
      <c r="AN4951" s="74">
        <v>-33.984999999999999</v>
      </c>
      <c r="AR4951" s="74">
        <v>-33.39</v>
      </c>
      <c r="AW4951" s="106">
        <v>-98.614999999999995</v>
      </c>
      <c r="BC4951" s="106">
        <v>-32.03</v>
      </c>
      <c r="BI4951" s="106">
        <v>-64.27</v>
      </c>
      <c r="BO4951" s="106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106">
        <v>-33.994999999999997</v>
      </c>
      <c r="CS4951" s="74">
        <v>-66.204999999999998</v>
      </c>
      <c r="CY4951" s="106">
        <v>-32.164999999999999</v>
      </c>
      <c r="DE4951" s="74">
        <v>-33.33</v>
      </c>
      <c r="DK4951" s="106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106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106">
        <v>-24.364999999999998</v>
      </c>
      <c r="BI4953" s="106">
        <v>-30.795000000000002</v>
      </c>
      <c r="BN4953" s="69">
        <v>-7.55</v>
      </c>
      <c r="BO4953" s="106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106">
        <v>-8.2100000000000009</v>
      </c>
      <c r="BO4954" s="106">
        <v>-8.68</v>
      </c>
      <c r="BU4954" s="74">
        <v>-8.4</v>
      </c>
      <c r="CM4954" s="106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106">
        <v>-8.23</v>
      </c>
      <c r="BO4955" s="106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106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106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106">
        <v>-8.2550000000000008</v>
      </c>
      <c r="BC4961" s="106">
        <v>-8</v>
      </c>
      <c r="BI4961" s="106">
        <v>-8.19</v>
      </c>
      <c r="BO4961" s="106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106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106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386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106">
        <v>-8.0649999999999995</v>
      </c>
      <c r="BC4966" s="106">
        <v>-8.44</v>
      </c>
      <c r="BI4966" s="106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106">
        <v>31.65</v>
      </c>
      <c r="BO4970" s="106">
        <v>97.2</v>
      </c>
      <c r="BU4970" s="74">
        <v>136.56</v>
      </c>
      <c r="CA4970" s="106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74">
        <v>-8.5749999999999993</v>
      </c>
      <c r="AN4971" s="74">
        <v>-8.5150000000000006</v>
      </c>
      <c r="AR4971" s="74">
        <v>-8.4849999999999994</v>
      </c>
      <c r="AW4971" s="106">
        <v>-8.17</v>
      </c>
      <c r="BC4971" s="106">
        <v>-15.89</v>
      </c>
      <c r="BI4971" s="106">
        <v>-16.27</v>
      </c>
      <c r="BO4971" s="106">
        <v>-16.035</v>
      </c>
      <c r="BU4971" s="74">
        <v>-8.64</v>
      </c>
      <c r="CA4971" s="106">
        <v>-17.100000000000001</v>
      </c>
      <c r="CG4971" s="106">
        <v>-16.524999999999999</v>
      </c>
      <c r="CM4971" s="106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106">
        <v>-8.08</v>
      </c>
      <c r="BU4972" s="74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106">
        <v>-32.854999999999997</v>
      </c>
      <c r="BU4975" s="74">
        <v>-17.3</v>
      </c>
      <c r="CA4975" s="106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106">
        <v>-15.565</v>
      </c>
      <c r="BU4976" s="74">
        <v>-16.79</v>
      </c>
      <c r="CA4976" s="106">
        <v>-17.09</v>
      </c>
      <c r="CM4976" s="106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106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106">
        <v>-8.4649999999999999</v>
      </c>
      <c r="DE4979" s="74">
        <v>-8.39</v>
      </c>
      <c r="DK4979" s="106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106">
        <v>-7.7</v>
      </c>
      <c r="BI4981" s="106">
        <v>-8.0399999999999991</v>
      </c>
      <c r="BO4981" s="106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106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106">
        <v>-8.08</v>
      </c>
      <c r="BC4983" s="106">
        <v>-16.899999999999999</v>
      </c>
      <c r="BI4983" s="106">
        <v>-8.0449999999999999</v>
      </c>
      <c r="BO4983" s="106">
        <v>-16.059999999999999</v>
      </c>
      <c r="BU4983" s="74">
        <v>-8.15</v>
      </c>
      <c r="CA4983" s="106">
        <v>-17.12</v>
      </c>
      <c r="CG4983" s="106">
        <v>-8.33</v>
      </c>
      <c r="CM4983" s="106">
        <v>-16.96</v>
      </c>
      <c r="CY4983" s="106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106">
        <v>-16.405000000000001</v>
      </c>
      <c r="CA4984" s="106">
        <v>-8.5549999999999997</v>
      </c>
      <c r="CG4984" s="106">
        <v>-16.465</v>
      </c>
      <c r="CM4984" s="106">
        <v>-17.03</v>
      </c>
      <c r="CY4984" s="106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106">
        <v>-24.344999999999999</v>
      </c>
      <c r="BO4986" s="106">
        <v>-57.204999999999998</v>
      </c>
      <c r="BU4986" s="74">
        <v>-34.045000000000002</v>
      </c>
      <c r="CM4986" s="106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69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106">
        <v>-16.43</v>
      </c>
      <c r="CS4994" s="74">
        <v>-25.184999999999999</v>
      </c>
      <c r="CY4994" s="106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106">
        <v>-66.150000000000006</v>
      </c>
      <c r="CS4995" s="74">
        <v>-66.765000000000001</v>
      </c>
      <c r="CY4995" s="106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106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106">
        <v>28.18</v>
      </c>
      <c r="BO4997" s="106">
        <v>65.795000000000002</v>
      </c>
      <c r="BU4997" s="74">
        <v>137.99</v>
      </c>
      <c r="CA4997" s="106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106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106">
        <v>-8.0649999999999995</v>
      </c>
      <c r="BO4999" s="106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106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106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106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74">
        <v>-8.57</v>
      </c>
      <c r="AN5005" s="74">
        <v>-8.1349999999999998</v>
      </c>
      <c r="AW5005" s="106">
        <v>-8.19</v>
      </c>
      <c r="BI5005" s="106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106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106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106">
        <v>-8.3550000000000004</v>
      </c>
      <c r="BI5010" s="106">
        <v>-31.074999999999999</v>
      </c>
      <c r="BO5010" s="106">
        <v>-25.315000000000001</v>
      </c>
      <c r="BU5010" s="74">
        <v>-33.07</v>
      </c>
      <c r="CA5010" s="106">
        <v>-32.405000000000001</v>
      </c>
      <c r="CM5010" s="106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106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106">
        <v>-16.614999999999998</v>
      </c>
      <c r="BU5013" s="74">
        <v>-17.324999999999999</v>
      </c>
      <c r="CG5013" s="106">
        <v>-25.355</v>
      </c>
      <c r="DA5013" s="126">
        <v>-9.23</v>
      </c>
      <c r="DD5013" s="69">
        <v>-5.8</v>
      </c>
      <c r="DK5013" s="106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106">
        <v>-31.66</v>
      </c>
      <c r="CM5015" s="106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386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106">
        <v>-8.1999999999999993</v>
      </c>
      <c r="BI5019" s="106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106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106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106">
        <v>-21.85</v>
      </c>
      <c r="BO5022" s="106">
        <v>-25.97</v>
      </c>
      <c r="BU5022" s="74">
        <v>-24.954999999999998</v>
      </c>
      <c r="CA5022" s="106">
        <v>-14.89</v>
      </c>
      <c r="CG5022" s="106">
        <v>-24.92</v>
      </c>
      <c r="CM5022" s="106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106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106">
        <v>149.55000000000001</v>
      </c>
      <c r="BO5027" s="106">
        <v>103.4</v>
      </c>
      <c r="BU5027" s="74">
        <v>101.13500000000001</v>
      </c>
      <c r="CA5027" s="106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106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106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74">
        <v>-16.975000000000001</v>
      </c>
      <c r="AW5030" s="106">
        <v>-32.770000000000003</v>
      </c>
      <c r="BI5030" s="106">
        <v>-32.42</v>
      </c>
      <c r="BO5030" s="106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106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106">
        <v>-15.975</v>
      </c>
      <c r="BI5035" s="106">
        <v>-35.869999999999997</v>
      </c>
      <c r="BO5035" s="106">
        <v>-34.045000000000002</v>
      </c>
      <c r="BU5035" s="74">
        <v>-28.91</v>
      </c>
      <c r="CA5035" s="106">
        <v>-34.055</v>
      </c>
      <c r="CG5035" s="106">
        <v>-33.119999999999997</v>
      </c>
      <c r="CM5035" s="106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106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106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106">
        <v>-8.1150000000000002</v>
      </c>
      <c r="BI5040" s="106">
        <v>-14.935</v>
      </c>
      <c r="BU5040" s="74">
        <v>-14.73</v>
      </c>
      <c r="CA5040" s="106">
        <v>-14.93</v>
      </c>
      <c r="CG5040" s="106">
        <v>-8.7100000000000009</v>
      </c>
      <c r="CM5040" s="106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106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106">
        <v>-7.5650000000000004</v>
      </c>
      <c r="BO5043" s="106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106">
        <v>-7.2350000000000003</v>
      </c>
      <c r="BU5044" s="74">
        <v>-7.0549999999999997</v>
      </c>
      <c r="CA5044" s="106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106">
        <v>67.95</v>
      </c>
      <c r="BI5046" s="106">
        <v>62.805</v>
      </c>
      <c r="BO5046" s="106">
        <v>97.49</v>
      </c>
      <c r="BU5046" s="74">
        <v>120.605</v>
      </c>
      <c r="CY5046" s="106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106">
        <v>-65.25</v>
      </c>
      <c r="BI5048" s="106">
        <v>-31.055</v>
      </c>
      <c r="BU5048" s="74">
        <v>-59.784999999999997</v>
      </c>
      <c r="CG5048" s="106">
        <v>-68.055000000000007</v>
      </c>
      <c r="CY5048" s="106">
        <v>-32.015000000000001</v>
      </c>
      <c r="DE5048" s="74">
        <v>-32.659999999999997</v>
      </c>
      <c r="DK5048" s="106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106">
        <v>-8.3699999999999992</v>
      </c>
      <c r="BO5050" s="106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106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106">
        <v>-8.7200000000000006</v>
      </c>
      <c r="BU5052" s="74">
        <v>-8.0150000000000006</v>
      </c>
      <c r="CA5052" s="106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74">
        <v>-8.4350000000000005</v>
      </c>
      <c r="BC5053" s="106">
        <v>-8.3949999999999996</v>
      </c>
      <c r="BO5053" s="106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106">
        <v>-9.0150000000000006</v>
      </c>
      <c r="BI5054" s="106">
        <v>-7.85</v>
      </c>
      <c r="BO5054" s="106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106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106">
        <v>-8.1549999999999994</v>
      </c>
      <c r="BC5057" s="106">
        <v>-25.074999999999999</v>
      </c>
      <c r="CG5057" s="106">
        <v>-8.67</v>
      </c>
      <c r="CM5057" s="106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106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74">
        <v>-14.945</v>
      </c>
      <c r="CA5060" s="106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106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106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106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106">
        <v>-15.88</v>
      </c>
      <c r="BO5066" s="106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106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106">
        <v>33.534999999999997</v>
      </c>
      <c r="CA5076" s="106">
        <v>73.075000000000003</v>
      </c>
      <c r="CG5076" s="106">
        <v>102.965</v>
      </c>
      <c r="CM5076" s="106">
        <v>34.594999999999999</v>
      </c>
      <c r="CS5076" s="74">
        <v>47.994999999999997</v>
      </c>
      <c r="DK5076" s="106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106">
        <v>32</v>
      </c>
      <c r="BI5077" s="106">
        <v>33.49</v>
      </c>
      <c r="BO5077" s="106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106">
        <v>-15.99</v>
      </c>
      <c r="BO5079" s="106">
        <v>-16.29</v>
      </c>
      <c r="BU5079" s="74">
        <v>-13.785</v>
      </c>
      <c r="CA5079" s="106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106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106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106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106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106">
        <v>-8.2149999999999999</v>
      </c>
      <c r="BO5086" s="106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106">
        <v>-8.16</v>
      </c>
      <c r="BO5087" s="106">
        <v>-8.2349999999999994</v>
      </c>
      <c r="CA5087" s="106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106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106">
        <f>-8.22-8.195</f>
        <v>-16.414999999999999</v>
      </c>
      <c r="CA5090" s="106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106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106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74">
        <v>-8.4049999999999994</v>
      </c>
      <c r="CA5094" s="106">
        <v>-7.8</v>
      </c>
      <c r="CG5094" s="106">
        <v>-8.77</v>
      </c>
      <c r="CM5094" s="106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106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106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106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106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106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106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386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106">
        <v>-8.16</v>
      </c>
      <c r="BI5108" s="106">
        <v>-8.36</v>
      </c>
      <c r="BO5108" s="106">
        <v>-8.1850000000000005</v>
      </c>
      <c r="CG5108" s="106">
        <v>-7.73</v>
      </c>
      <c r="CM5108" s="106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74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106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106">
        <v>117.285</v>
      </c>
      <c r="CM5124" s="106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106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106">
        <v>-29.055</v>
      </c>
      <c r="CF5127" s="69">
        <v>-33.64</v>
      </c>
      <c r="CM5127" s="106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106">
        <v>-8.0950000000000006</v>
      </c>
      <c r="BU5128" s="74">
        <v>-15.795</v>
      </c>
      <c r="CA5128" s="106">
        <v>-7.54</v>
      </c>
      <c r="CG5128" s="106">
        <v>-18.585000000000001</v>
      </c>
      <c r="CM5128" s="106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106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106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106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106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106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106">
        <v>-8.0500000000000007</v>
      </c>
      <c r="BB5141" s="69">
        <v>-8.4749999999999996</v>
      </c>
      <c r="BH5141" s="69">
        <v>-25.285</v>
      </c>
      <c r="CA5141" s="106">
        <v>-14.805</v>
      </c>
      <c r="CG5141" s="106">
        <v>-9.2149999999999999</v>
      </c>
      <c r="CM5141" s="106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106">
        <v>-16.32</v>
      </c>
      <c r="BB5142" s="69">
        <v>-17.015000000000001</v>
      </c>
      <c r="CM5142" s="106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106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106">
        <v>-7.48</v>
      </c>
      <c r="CM5144" s="106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106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386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386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386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106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106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106">
        <v>-8.2949999999999999</v>
      </c>
      <c r="DM5172" s="46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106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375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106">
        <v>64.025000000000006</v>
      </c>
      <c r="CA5192" s="106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106">
        <v>99.504999999999995</v>
      </c>
      <c r="BI5193" s="106">
        <v>64.635000000000005</v>
      </c>
      <c r="BO5193" s="106">
        <v>96.974999999999994</v>
      </c>
      <c r="BU5193" s="74">
        <v>66.655000000000001</v>
      </c>
      <c r="CM5193" s="106">
        <v>101.15</v>
      </c>
      <c r="CS5193" s="74">
        <v>32.119999999999997</v>
      </c>
      <c r="CY5193" s="106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106">
        <v>-8.0150000000000006</v>
      </c>
      <c r="BI5194" s="106">
        <v>-8.0500000000000007</v>
      </c>
      <c r="BO5194" s="106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106">
        <v>-8.14</v>
      </c>
      <c r="BO5196" s="106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106">
        <v>-8.25</v>
      </c>
      <c r="BI5197" s="106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106">
        <v>-8.0749999999999993</v>
      </c>
      <c r="BO5198" s="106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106">
        <v>-8.2200000000000006</v>
      </c>
      <c r="BI5199" s="106">
        <v>-24.135000000000002</v>
      </c>
      <c r="BO5199" s="106">
        <v>-32.325000000000003</v>
      </c>
      <c r="BU5199" s="74">
        <v>-16.66</v>
      </c>
      <c r="CY5199" s="106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106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106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106">
        <v>-32.020000000000003</v>
      </c>
      <c r="BI5203" s="106">
        <v>-8.0649999999999995</v>
      </c>
      <c r="BO5203" s="106">
        <v>-16.175000000000001</v>
      </c>
      <c r="BU5203" s="74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106">
        <v>32.284999999999997</v>
      </c>
      <c r="BC5207" s="106">
        <v>32.04</v>
      </c>
      <c r="BI5207" s="106">
        <v>129.47</v>
      </c>
      <c r="BO5207" s="106">
        <f>147.375+14.9</f>
        <v>162.27500000000001</v>
      </c>
      <c r="BU5207" s="74">
        <v>142.965</v>
      </c>
      <c r="CA5207" s="106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106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106">
        <v>-16.055</v>
      </c>
      <c r="BO5209" s="106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74">
        <v>-8.31</v>
      </c>
      <c r="CA5210" s="106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74">
        <v>-8.43</v>
      </c>
      <c r="AR5212" s="74">
        <v>-8.5299999999999994</v>
      </c>
      <c r="BC5212" s="106">
        <v>-16.010000000000002</v>
      </c>
      <c r="BI5212" s="106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106">
        <v>-64.63</v>
      </c>
      <c r="BO5213" s="106">
        <v>-63.945</v>
      </c>
      <c r="BU5213" s="74">
        <v>-95.015000000000001</v>
      </c>
      <c r="CA5213" s="106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106">
        <v>-16.559999999999999</v>
      </c>
      <c r="BU5214" s="74">
        <v>-8.0250000000000004</v>
      </c>
      <c r="CM5214" s="106">
        <v>-33.465000000000003</v>
      </c>
      <c r="CS5214" s="74">
        <v>-16.47</v>
      </c>
      <c r="CY5214" s="106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106">
        <v>-16.545000000000002</v>
      </c>
      <c r="CA5215" s="106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106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106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106">
        <v>-8.2100000000000009</v>
      </c>
      <c r="BO5219" s="106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106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106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106">
        <v>-7.99</v>
      </c>
      <c r="BO5223" s="106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106">
        <v>-16.47</v>
      </c>
      <c r="BC5225" s="106">
        <v>-8.0350000000000001</v>
      </c>
      <c r="BO5225" s="106">
        <v>-16.5</v>
      </c>
      <c r="CA5225" s="106">
        <v>-7.53</v>
      </c>
      <c r="CG5225" s="106">
        <v>-8.4499999999999993</v>
      </c>
      <c r="CM5225" s="106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106">
        <v>-7.9950000000000001</v>
      </c>
      <c r="BI5226" s="106">
        <v>-8.0950000000000006</v>
      </c>
      <c r="BO5226" s="106">
        <v>-16.52</v>
      </c>
      <c r="CA5226" s="106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106">
        <v>-8.67</v>
      </c>
      <c r="BI5229" s="106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106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106">
        <v>66.194999999999993</v>
      </c>
      <c r="BI5234" s="106">
        <v>101.69499999999999</v>
      </c>
      <c r="BO5234" s="106">
        <v>108.125</v>
      </c>
      <c r="BU5234" s="74">
        <v>167.215</v>
      </c>
      <c r="CA5234" s="106">
        <v>102.155</v>
      </c>
      <c r="CS5234" s="74">
        <v>99.674999999999997</v>
      </c>
      <c r="DK5234" s="106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106">
        <v>-8.0950000000000006</v>
      </c>
      <c r="CA5235" s="106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106">
        <v>-33.774999999999999</v>
      </c>
      <c r="BO5237" s="106">
        <v>-30.32</v>
      </c>
      <c r="BU5237" s="74">
        <v>-34.265000000000001</v>
      </c>
      <c r="CA5237" s="106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106">
        <v>-33.86</v>
      </c>
      <c r="CA5238" s="106">
        <v>-67.625</v>
      </c>
      <c r="DK5238" s="106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106">
        <v>-33.880000000000003</v>
      </c>
      <c r="BO5239" s="106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106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74">
        <v>-8.6</v>
      </c>
      <c r="AN5241" s="74">
        <v>-5.83</v>
      </c>
      <c r="AR5241" s="74">
        <v>-8.2899999999999991</v>
      </c>
      <c r="AW5241" s="106">
        <v>-8.0449999999999999</v>
      </c>
      <c r="BC5241" s="106">
        <v>-8</v>
      </c>
      <c r="BI5241" s="106">
        <v>-8.5050000000000008</v>
      </c>
      <c r="BO5241" s="106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106">
        <v>-8.1199999999999992</v>
      </c>
      <c r="BC5242" s="106">
        <v>-8</v>
      </c>
      <c r="BI5242" s="106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74">
        <v>-8.58</v>
      </c>
      <c r="BC5244" s="106">
        <v>-24.324999999999999</v>
      </c>
      <c r="BO5244" s="106">
        <v>-7.8650000000000002</v>
      </c>
      <c r="BU5244" s="74">
        <v>-7.12</v>
      </c>
      <c r="CA5244" s="106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106">
        <v>-8.0950000000000006</v>
      </c>
      <c r="BO5245" s="106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106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106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106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106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74">
        <v>-35.774999999999999</v>
      </c>
      <c r="BZ5253" s="69">
        <v>-8.58</v>
      </c>
      <c r="CA5253" s="106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106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106">
        <v>-16.625</v>
      </c>
      <c r="CS5255" s="74">
        <v>-16.594999999999999</v>
      </c>
      <c r="CY5255" s="106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106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106">
        <v>101.21</v>
      </c>
      <c r="BC5262" s="106">
        <v>65.165000000000006</v>
      </c>
      <c r="BO5262" s="106">
        <v>101.06</v>
      </c>
      <c r="CA5262" s="106">
        <v>94.88</v>
      </c>
      <c r="CG5262" s="106">
        <v>103.73</v>
      </c>
      <c r="CM5262" s="106">
        <v>95.564999999999998</v>
      </c>
      <c r="CY5262" s="106">
        <v>65.215000000000003</v>
      </c>
      <c r="DE5262" s="74">
        <v>78.459999999999994</v>
      </c>
      <c r="DK5262" s="106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106">
        <v>-8.26</v>
      </c>
      <c r="BC5263" s="106">
        <v>-33.125</v>
      </c>
      <c r="BO5263" s="106">
        <v>-8.3450000000000006</v>
      </c>
      <c r="CA5263" s="106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74">
        <v>-8.5850000000000009</v>
      </c>
      <c r="AN5264" s="74">
        <v>-8.24</v>
      </c>
      <c r="AR5264" s="74">
        <v>-8.32</v>
      </c>
      <c r="AW5264" s="106">
        <v>-16.765000000000001</v>
      </c>
      <c r="BO5264" s="106">
        <v>-16.73</v>
      </c>
      <c r="CA5264" s="106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106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106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106">
        <v>-33.83</v>
      </c>
      <c r="CA5267" s="106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106">
        <f>-8.17-8.015-9.06</f>
        <v>-25.245000000000001</v>
      </c>
      <c r="BC5268" s="106">
        <f>-8.01-8.02</f>
        <v>-16.03</v>
      </c>
      <c r="BO5268" s="106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106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106">
        <v>-8.8000000000000007</v>
      </c>
      <c r="BC5272" s="106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106">
        <v>30.63</v>
      </c>
      <c r="BI5274" s="106">
        <v>100.09</v>
      </c>
      <c r="BU5274" s="74">
        <v>34.35</v>
      </c>
      <c r="CA5274" s="106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386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106">
        <v>-8.0549999999999997</v>
      </c>
      <c r="BI5277" s="106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106">
        <v>-33.53</v>
      </c>
      <c r="BO5278" s="106">
        <v>-15.76</v>
      </c>
      <c r="BU5278" s="74">
        <v>-17.204999999999998</v>
      </c>
      <c r="CA5278" s="106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106">
        <v>-8.4149999999999991</v>
      </c>
      <c r="BI5279" s="106">
        <v>-16.445</v>
      </c>
      <c r="BU5279" s="74">
        <v>-8.57</v>
      </c>
      <c r="DO5279" s="375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106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106">
        <v>-16.940000000000001</v>
      </c>
      <c r="BI5282" s="106">
        <v>-16.7</v>
      </c>
      <c r="BO5282" s="106">
        <v>-16.87</v>
      </c>
      <c r="CA5282" s="106">
        <v>-16.094999999999999</v>
      </c>
      <c r="CM5282" s="106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106">
        <v>-8</v>
      </c>
      <c r="BI5283" s="106">
        <v>-8.3699999999999992</v>
      </c>
      <c r="BO5283" s="106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106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106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106">
        <v>-8.3699999999999992</v>
      </c>
      <c r="BO5286" s="106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106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106">
        <v>-7.98</v>
      </c>
      <c r="BC5288" s="106">
        <v>-7.4850000000000003</v>
      </c>
      <c r="CM5288" s="106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386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106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106">
        <v>-7.98</v>
      </c>
      <c r="BI5293" s="106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74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106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106">
        <v>64.265000000000001</v>
      </c>
      <c r="BI5300" s="106">
        <v>93.504999999999995</v>
      </c>
      <c r="BO5300" s="106">
        <v>130.11000000000001</v>
      </c>
      <c r="BU5300" s="74">
        <v>154.01499999999999</v>
      </c>
      <c r="CA5300" s="106">
        <f>93.545+41.3</f>
        <v>134.845</v>
      </c>
      <c r="CG5300" s="106">
        <f>43.735+73.405</f>
        <v>117.14</v>
      </c>
      <c r="CM5300" s="106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106">
        <v>-65.474999999999994</v>
      </c>
      <c r="BU5301" s="74">
        <v>-69.174999999999997</v>
      </c>
      <c r="CA5301" s="106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106">
        <v>-8.0350000000000001</v>
      </c>
      <c r="BI5302" s="106">
        <v>-8.0299999999999994</v>
      </c>
      <c r="BO5302" s="106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106">
        <v>-16.055</v>
      </c>
      <c r="BI5303" s="106">
        <v>-23.785</v>
      </c>
      <c r="CA5303" s="106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106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106">
        <v>-8.2100000000000009</v>
      </c>
      <c r="BU5308" s="74">
        <v>-8.2799999999999994</v>
      </c>
      <c r="CG5308" s="106">
        <v>-7.56</v>
      </c>
      <c r="CM5308" s="106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106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106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106">
        <v>-16.094999999999999</v>
      </c>
      <c r="BI5312" s="106">
        <v>-15.515000000000001</v>
      </c>
      <c r="BO5312" s="106">
        <v>-16.309999999999999</v>
      </c>
      <c r="BU5312" s="74">
        <v>-17.239999999999998</v>
      </c>
      <c r="CA5312" s="106">
        <v>-17.14</v>
      </c>
      <c r="CM5312" s="106">
        <v>-15.21</v>
      </c>
      <c r="CY5312" s="106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106">
        <v>-16.035</v>
      </c>
      <c r="BI5313" s="106">
        <v>-15.31</v>
      </c>
      <c r="BO5313" s="106">
        <v>-16.225000000000001</v>
      </c>
      <c r="BU5313" s="74">
        <v>-17.21</v>
      </c>
      <c r="CA5313" s="106">
        <v>-16.905000000000001</v>
      </c>
      <c r="CG5313" s="106">
        <v>-28.9</v>
      </c>
      <c r="CY5313" s="106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106">
        <v>-7.9</v>
      </c>
      <c r="BO5314" s="106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106">
        <v>36</v>
      </c>
      <c r="BC5318" s="106">
        <v>130.08000000000001</v>
      </c>
      <c r="CA5318" s="106">
        <v>46.604999999999997</v>
      </c>
      <c r="CG5318" s="106">
        <v>98.245000000000005</v>
      </c>
      <c r="CM5318" s="106">
        <v>168.57499999999999</v>
      </c>
      <c r="CY5318" s="106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106">
        <v>61.78</v>
      </c>
      <c r="BO5319" s="106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106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106">
        <v>-36</v>
      </c>
      <c r="BC5324" s="106">
        <v>-66.03</v>
      </c>
      <c r="BI5324" s="106">
        <v>-30.585000000000001</v>
      </c>
      <c r="BO5324" s="106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106">
        <v>-16.414999999999999</v>
      </c>
      <c r="BO5326" s="106">
        <v>-8.4</v>
      </c>
      <c r="BU5326" s="74">
        <v>-16.86</v>
      </c>
      <c r="CG5326" s="106">
        <v>-8.0749999999999993</v>
      </c>
      <c r="CM5326" s="106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106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106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106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106">
        <v>-14.545</v>
      </c>
      <c r="BQ5331" s="126">
        <v>-8.89</v>
      </c>
      <c r="CA5331" s="106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74">
        <v>-16.87</v>
      </c>
      <c r="CA5334" s="106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106">
        <v>-7.9950000000000001</v>
      </c>
      <c r="BQ5336" s="126">
        <v>-7.75</v>
      </c>
      <c r="BU5336" s="74">
        <v>-7.95</v>
      </c>
      <c r="CG5336" s="106">
        <v>-8.08</v>
      </c>
      <c r="CM5336" s="106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106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74">
        <v>-8.6199999999999992</v>
      </c>
      <c r="AR5339" s="74">
        <v>-15.955</v>
      </c>
      <c r="AW5339" s="106">
        <v>-7.94</v>
      </c>
      <c r="BC5339" s="106">
        <v>-15.994999999999999</v>
      </c>
      <c r="BU5339" s="74">
        <v>-8.4049999999999994</v>
      </c>
      <c r="CG5339" s="106">
        <v>-17.545000000000002</v>
      </c>
      <c r="CM5339" s="106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46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106">
        <v>-8.0449999999999999</v>
      </c>
      <c r="BU5341" s="74">
        <v>-8.2799999999999994</v>
      </c>
      <c r="CA5341" s="106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106">
        <v>-7.98</v>
      </c>
      <c r="BC5347" s="106">
        <v>-8.0250000000000004</v>
      </c>
      <c r="CA5347" s="106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106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106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106">
        <v>-6</v>
      </c>
      <c r="BC5351" s="106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106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74">
        <f>-8.61-8.615</f>
        <v>-17.225000000000001</v>
      </c>
      <c r="AN5353" s="74">
        <v>-8.44</v>
      </c>
      <c r="AR5353" s="74">
        <v>-7.9950000000000001</v>
      </c>
      <c r="AW5353" s="106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106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106">
        <v>-15.88</v>
      </c>
      <c r="BC5356" s="106">
        <v>-16.079999999999998</v>
      </c>
      <c r="CM5356" s="106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106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106">
        <v>34.555</v>
      </c>
      <c r="BI5359" s="106">
        <v>64.44</v>
      </c>
      <c r="BO5359" s="106">
        <v>44.005000000000003</v>
      </c>
      <c r="BU5359" s="74">
        <v>41.515000000000001</v>
      </c>
      <c r="CA5359" s="106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106">
        <v>-16.785</v>
      </c>
      <c r="BI5361" s="106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106">
        <v>-8.06</v>
      </c>
      <c r="BO5362" s="106">
        <v>-13.78</v>
      </c>
      <c r="BU5362" s="74">
        <v>-14.22</v>
      </c>
      <c r="CA5362" s="106">
        <v>-17.77</v>
      </c>
      <c r="CG5362" s="106">
        <v>-8.6999999999999993</v>
      </c>
      <c r="CM5362" s="106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106">
        <v>-7.6349999999999998</v>
      </c>
      <c r="BO5363" s="106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106">
        <v>-30.925000000000001</v>
      </c>
      <c r="BO5364" s="106">
        <v>-16.094999999999999</v>
      </c>
      <c r="BU5364" s="74">
        <v>-13.09</v>
      </c>
      <c r="CA5364" s="106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106">
        <v>-8.5</v>
      </c>
      <c r="DA5367" s="126">
        <v>-7.77</v>
      </c>
      <c r="DK5367" s="106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106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106">
        <f>39.985+37.55</f>
        <v>77.534999999999997</v>
      </c>
      <c r="BO5370" s="106">
        <v>65.36</v>
      </c>
      <c r="BU5370" s="74">
        <v>70.055000000000007</v>
      </c>
      <c r="CA5370" s="106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106">
        <v>-8.0399999999999991</v>
      </c>
      <c r="BO5371" s="106">
        <v>-7.2249999999999996</v>
      </c>
      <c r="BU5371" s="74">
        <v>-8.93</v>
      </c>
      <c r="CA5371" s="106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106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106">
        <v>-8.81</v>
      </c>
      <c r="BI5373" s="106">
        <v>-14.535</v>
      </c>
      <c r="BO5373" s="106">
        <v>-16.12</v>
      </c>
      <c r="BU5373" s="74">
        <v>-17.12</v>
      </c>
      <c r="CA5373" s="106">
        <v>-15.685</v>
      </c>
      <c r="CM5373" s="106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106">
        <v>-8.9600000000000009</v>
      </c>
      <c r="BI5375" s="106">
        <v>-31.97</v>
      </c>
      <c r="BO5375" s="106">
        <v>-16.785</v>
      </c>
      <c r="BU5375" s="74">
        <v>-17.594999999999999</v>
      </c>
      <c r="CA5375" s="106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106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106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106">
        <v>-22.99</v>
      </c>
      <c r="BO5378" s="106">
        <v>-24.454999999999998</v>
      </c>
      <c r="BU5378" s="74">
        <v>-17.64</v>
      </c>
      <c r="CA5378" s="106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74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106">
        <v>64.375</v>
      </c>
      <c r="BU5380" s="74">
        <v>33.08</v>
      </c>
      <c r="CM5380" s="106">
        <v>88.39</v>
      </c>
      <c r="DE5380" s="74">
        <f>42.535+40.775</f>
        <v>83.31</v>
      </c>
      <c r="DK5380" s="106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106">
        <v>98.355000000000004</v>
      </c>
      <c r="BC5381" s="106">
        <v>34.104999999999997</v>
      </c>
      <c r="BO5381" s="106">
        <v>34.774999999999999</v>
      </c>
      <c r="BU5381" s="74">
        <v>32.549999999999997</v>
      </c>
      <c r="CG5381" s="106">
        <v>29.9</v>
      </c>
      <c r="CS5381" s="74">
        <v>66.965000000000003</v>
      </c>
      <c r="CY5381" s="106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106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106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106">
        <v>-8.2550000000000008</v>
      </c>
      <c r="BC5386" s="106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74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106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106">
        <v>-8.2449999999999992</v>
      </c>
      <c r="BI5389" s="106">
        <v>-24.66</v>
      </c>
      <c r="BO5389" s="106">
        <v>-8.125</v>
      </c>
      <c r="BU5389" s="74">
        <v>-16.675000000000001</v>
      </c>
      <c r="CM5389" s="106">
        <v>-8.5050000000000008</v>
      </c>
      <c r="CS5389" s="74">
        <v>-42.435000000000002</v>
      </c>
      <c r="CY5389" s="106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106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386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106">
        <v>-8.0399999999999991</v>
      </c>
      <c r="BI5393" s="106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106">
        <v>-24.905000000000001</v>
      </c>
      <c r="BC5397" s="106">
        <v>-25.594999999999999</v>
      </c>
      <c r="BO5397" s="106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106">
        <v>-8.3800000000000008</v>
      </c>
      <c r="BI5398" s="106">
        <v>-8.1649999999999991</v>
      </c>
      <c r="BO5398" s="106">
        <v>-8.875</v>
      </c>
      <c r="BU5398" s="74">
        <v>-8.1449999999999996</v>
      </c>
      <c r="CG5398" s="106">
        <v>-5.6950000000000003</v>
      </c>
      <c r="CM5398" s="106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106">
        <v>-16.04</v>
      </c>
      <c r="BI5399" s="106">
        <v>-15.904999999999999</v>
      </c>
      <c r="BO5399" s="106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106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106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106">
        <v>95.11</v>
      </c>
      <c r="BU5407" s="74">
        <v>63.86</v>
      </c>
      <c r="CA5407" s="106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106">
        <v>-18.585000000000001</v>
      </c>
      <c r="BO5408" s="106">
        <v>-49.31</v>
      </c>
      <c r="BU5408" s="74">
        <v>-40.270000000000003</v>
      </c>
      <c r="CA5408" s="106">
        <v>-34.625</v>
      </c>
      <c r="CG5408" s="106">
        <v>-37.765000000000001</v>
      </c>
      <c r="CM5408" s="106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106">
        <v>-8.64</v>
      </c>
      <c r="CM5409" s="106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74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106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74">
        <v>-8.125</v>
      </c>
      <c r="CA5414" s="106">
        <v>-8.625</v>
      </c>
      <c r="CM5414" s="106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106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106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74">
        <v>-8.6150000000000002</v>
      </c>
      <c r="DK5418" s="106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106">
        <v>-8.6050000000000004</v>
      </c>
      <c r="CG5420" s="106">
        <v>-8.8849999999999998</v>
      </c>
      <c r="CM5420" s="106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106">
        <v>66.040000000000006</v>
      </c>
      <c r="CA5422" s="106">
        <v>67.72</v>
      </c>
      <c r="CM5422" s="106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92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92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74">
        <v>-8.6150000000000002</v>
      </c>
      <c r="AN5424" s="74">
        <v>-17.245000000000001</v>
      </c>
      <c r="AR5424" s="74">
        <v>-16.64</v>
      </c>
      <c r="BO5424" s="106">
        <v>-15.2</v>
      </c>
      <c r="CA5424" s="106">
        <v>-16.190000000000001</v>
      </c>
      <c r="CM5424" s="106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74">
        <v>-8.6199999999999992</v>
      </c>
      <c r="AN5426" s="74">
        <v>-8.61</v>
      </c>
      <c r="AR5426" s="74">
        <v>-8.3550000000000004</v>
      </c>
      <c r="BO5426" s="106">
        <v>-22.34</v>
      </c>
      <c r="CA5426" s="106">
        <v>-17.344999999999999</v>
      </c>
      <c r="CG5426" s="106">
        <v>-17.64</v>
      </c>
      <c r="CM5426" s="106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106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106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106">
        <v>-25.52</v>
      </c>
      <c r="BU5432" s="74">
        <v>-6.69</v>
      </c>
      <c r="CA5432" s="106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106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106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106">
        <v>50.96</v>
      </c>
      <c r="BC5437" s="106">
        <v>66.930000000000007</v>
      </c>
      <c r="BI5437" s="106">
        <v>140.96</v>
      </c>
      <c r="BO5437" s="106">
        <v>96.275000000000006</v>
      </c>
      <c r="BU5437" s="74">
        <v>101.64</v>
      </c>
      <c r="CA5437" s="106">
        <v>115.36499999999999</v>
      </c>
      <c r="CG5437" s="106">
        <v>102</v>
      </c>
      <c r="CS5437" s="74">
        <v>66.344999999999999</v>
      </c>
      <c r="CY5437" s="106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106">
        <v>-16.515000000000001</v>
      </c>
      <c r="BU5438" s="74">
        <v>-17.175000000000001</v>
      </c>
      <c r="CA5438" s="106">
        <v>-16.614999999999998</v>
      </c>
      <c r="CG5438" s="106">
        <v>-16.940000000000001</v>
      </c>
      <c r="CM5438" s="106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106">
        <v>-6.45</v>
      </c>
      <c r="BC5439" s="106">
        <v>-8.23</v>
      </c>
      <c r="BO5439" s="106">
        <v>-7.18</v>
      </c>
      <c r="BU5439" s="74">
        <v>-7.88</v>
      </c>
      <c r="CA5439" s="106">
        <v>-24.905000000000001</v>
      </c>
      <c r="CG5439" s="106">
        <v>-8.51</v>
      </c>
      <c r="CM5439" s="106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106">
        <v>-8.3550000000000004</v>
      </c>
      <c r="BI5440" s="106">
        <v>-17</v>
      </c>
      <c r="BO5440" s="106">
        <v>-16.09</v>
      </c>
      <c r="BU5440" s="74">
        <v>-17.204999999999998</v>
      </c>
      <c r="CA5440" s="106">
        <v>-16.61</v>
      </c>
      <c r="CG5440" s="106">
        <v>-16.95</v>
      </c>
      <c r="CM5440" s="106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106">
        <v>-8.3000000000000007</v>
      </c>
      <c r="BI5443" s="106">
        <v>-34.229999999999997</v>
      </c>
      <c r="BO5443" s="106">
        <v>-23.56</v>
      </c>
      <c r="BU5443" s="74">
        <v>-17.504999999999999</v>
      </c>
      <c r="CA5443" s="106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106">
        <v>-6.1050000000000004</v>
      </c>
      <c r="BC5444" s="106">
        <v>-8.3949999999999996</v>
      </c>
      <c r="BI5444" s="106">
        <v>-13.615</v>
      </c>
      <c r="BO5444" s="106">
        <v>-17.59</v>
      </c>
      <c r="BU5444" s="74">
        <v>-8.6950000000000003</v>
      </c>
      <c r="CA5444" s="106">
        <v>-15.505000000000001</v>
      </c>
      <c r="CG5444" s="106">
        <v>-8.52</v>
      </c>
      <c r="CM5444" s="106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106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106">
        <v>-6.5750000000000002</v>
      </c>
      <c r="BC5446" s="106">
        <v>-8.48</v>
      </c>
      <c r="BI5446" s="106">
        <v>-8.2249999999999996</v>
      </c>
      <c r="BO5446" s="106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106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46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106">
        <v>-12.69</v>
      </c>
      <c r="BI5450" s="106">
        <v>-15.01</v>
      </c>
      <c r="BO5450" s="106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106">
        <v>-12.765000000000001</v>
      </c>
      <c r="BC5451" s="106">
        <v>-25.11</v>
      </c>
      <c r="BI5451" s="106">
        <v>-29.39</v>
      </c>
      <c r="BO5451" s="106">
        <v>-15.46</v>
      </c>
      <c r="BU5451" s="74">
        <v>-33.18</v>
      </c>
      <c r="CA5451" s="106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106">
        <v>-7.5049999999999999</v>
      </c>
      <c r="BO5454" s="106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106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106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106">
        <v>66.594999999999999</v>
      </c>
      <c r="DE5457" s="74">
        <v>63.365000000000002</v>
      </c>
      <c r="DK5457" s="106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106">
        <v>32.82</v>
      </c>
      <c r="BC5458" s="106">
        <v>95.13</v>
      </c>
      <c r="BI5458" s="106">
        <v>98.355000000000004</v>
      </c>
      <c r="BO5458" s="106">
        <v>97.35</v>
      </c>
      <c r="BU5458" s="74">
        <v>102.76</v>
      </c>
      <c r="CA5458" s="106">
        <v>105.325</v>
      </c>
      <c r="CG5458" s="106">
        <v>102.14</v>
      </c>
      <c r="CM5458" s="106">
        <v>100.11499999999999</v>
      </c>
      <c r="CS5458" s="74">
        <v>33.89</v>
      </c>
      <c r="CY5458" s="106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106">
        <v>-24.645</v>
      </c>
      <c r="BC5461" s="106">
        <v>-8.34</v>
      </c>
      <c r="BI5461" s="106">
        <v>-32.520000000000003</v>
      </c>
      <c r="BO5461" s="106">
        <v>-8.18</v>
      </c>
      <c r="BU5461" s="74">
        <v>-8.6449999999999996</v>
      </c>
      <c r="CA5461" s="106">
        <v>-17.37</v>
      </c>
      <c r="CG5461" s="106">
        <v>-17.045000000000002</v>
      </c>
      <c r="CM5461" s="106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106">
        <v>-24.69</v>
      </c>
      <c r="BC5462" s="106">
        <v>-23.54</v>
      </c>
      <c r="BO5462" s="106">
        <v>-32.380000000000003</v>
      </c>
      <c r="BU5462" s="74">
        <v>-17.34</v>
      </c>
      <c r="CA5462" s="106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106">
        <v>-8.1649999999999991</v>
      </c>
      <c r="BC5463" s="106">
        <v>-16.149999999999999</v>
      </c>
      <c r="BI5463" s="106">
        <v>-33.04</v>
      </c>
      <c r="BU5463" s="74">
        <v>-34.045000000000002</v>
      </c>
      <c r="CA5463" s="106">
        <v>-35.86</v>
      </c>
      <c r="CG5463" s="106">
        <v>-33.994999999999997</v>
      </c>
      <c r="CM5463" s="106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106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106">
        <v>-7.4249999999999998</v>
      </c>
      <c r="BI5465" s="106">
        <v>-8.2200000000000006</v>
      </c>
      <c r="CY5465" s="106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106">
        <v>-7.85</v>
      </c>
      <c r="CM5468" s="106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106">
        <v>-7.8049999999999997</v>
      </c>
      <c r="BI5470" s="106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106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106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106">
        <v>-8.3849999999999998</v>
      </c>
      <c r="BC5474" s="106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106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106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106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106">
        <v>-8.2349999999999994</v>
      </c>
      <c r="BO5483" s="106">
        <v>-8.1649999999999991</v>
      </c>
      <c r="DE5483" s="74">
        <v>-9.0950000000000006</v>
      </c>
      <c r="DK5483" s="106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106">
        <v>99.375</v>
      </c>
      <c r="BC5485" s="106">
        <v>68.36</v>
      </c>
      <c r="BI5485" s="106">
        <f>40.545+56.645</f>
        <v>97.19</v>
      </c>
      <c r="BO5485" s="106">
        <v>97.435000000000002</v>
      </c>
      <c r="BU5485" s="74">
        <f>68.25+34.765</f>
        <v>103.015</v>
      </c>
      <c r="CA5485" s="106">
        <v>69.545000000000002</v>
      </c>
      <c r="CG5485" s="106">
        <v>35.424999999999997</v>
      </c>
      <c r="CM5485" s="106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106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74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106">
        <v>-8.35</v>
      </c>
      <c r="BU5489" s="74">
        <v>-8.2449999999999992</v>
      </c>
      <c r="CA5489" s="106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106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106">
        <v>-32.344999999999999</v>
      </c>
      <c r="BO5491" s="106">
        <v>-16.195</v>
      </c>
      <c r="CA5491" s="106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74">
        <v>-8.6199999999999992</v>
      </c>
      <c r="AN5492" s="74">
        <v>-17.164999999999999</v>
      </c>
      <c r="AR5492" s="74">
        <v>-33.475000000000001</v>
      </c>
      <c r="AW5492" s="106">
        <v>-8.4550000000000001</v>
      </c>
      <c r="BO5492" s="106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74">
        <v>-17.21</v>
      </c>
      <c r="AR5493" s="74">
        <v>-33.46</v>
      </c>
      <c r="AW5493" s="106">
        <v>-66.38</v>
      </c>
      <c r="BI5493" s="106">
        <v>-32.43</v>
      </c>
      <c r="BO5493" s="106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106">
        <v>-8.3699999999999992</v>
      </c>
      <c r="BC5494" s="106">
        <v>-8.5250000000000004</v>
      </c>
      <c r="BI5494" s="106">
        <v>-16.21</v>
      </c>
      <c r="BO5494" s="106">
        <v>-8.14</v>
      </c>
      <c r="BU5494" s="74">
        <v>-8.4949999999999992</v>
      </c>
      <c r="CA5494" s="106">
        <v>-8.6549999999999994</v>
      </c>
      <c r="CG5494" s="106">
        <v>-16.864999999999998</v>
      </c>
      <c r="CM5494" s="106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106">
        <v>-8.32</v>
      </c>
      <c r="BO5495" s="106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106">
        <v>-8.56</v>
      </c>
      <c r="BI5497" s="106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106">
        <v>-16.324999999999999</v>
      </c>
      <c r="BO5499" s="106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106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74">
        <v>99.58</v>
      </c>
      <c r="AN5501" s="74">
        <v>28.47</v>
      </c>
      <c r="AR5501" s="74">
        <v>33.524999999999999</v>
      </c>
      <c r="BC5501" s="106">
        <v>101.145</v>
      </c>
      <c r="BI5501" s="106">
        <v>145.61500000000001</v>
      </c>
      <c r="BO5501" s="106">
        <v>47.975000000000001</v>
      </c>
      <c r="BU5501" s="74">
        <v>34.594999999999999</v>
      </c>
      <c r="CA5501" s="106">
        <v>100.86</v>
      </c>
      <c r="CM5501" s="106">
        <v>139.785</v>
      </c>
      <c r="CY5501" s="106">
        <f>91.725+41.31</f>
        <v>133.035</v>
      </c>
      <c r="DE5501" s="74">
        <v>103.78</v>
      </c>
      <c r="DK5501" s="106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74">
        <v>-8.5950000000000006</v>
      </c>
      <c r="AN5502" s="74">
        <v>-8.59</v>
      </c>
      <c r="AR5502" s="74">
        <v>-8.2799999999999994</v>
      </c>
      <c r="BC5502" s="106">
        <v>-6.94</v>
      </c>
      <c r="BI5502" s="106">
        <v>-24.105</v>
      </c>
      <c r="BO5502" s="106">
        <v>-13.99</v>
      </c>
      <c r="BU5502" s="74">
        <v>-17.29</v>
      </c>
      <c r="CA5502" s="106">
        <v>-17.364999999999998</v>
      </c>
      <c r="CM5502" s="106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106">
        <v>-41.56</v>
      </c>
      <c r="BC5503" s="106">
        <v>-51.715000000000003</v>
      </c>
      <c r="BI5503" s="106">
        <v>-32.42</v>
      </c>
      <c r="BO5503" s="106">
        <v>-64.984999999999999</v>
      </c>
      <c r="BU5503" s="74">
        <f>-60.685-25.595</f>
        <v>-86.28</v>
      </c>
      <c r="CA5503" s="106">
        <v>-50.414999999999999</v>
      </c>
      <c r="CG5503" s="106">
        <v>-17.074999999999999</v>
      </c>
      <c r="CM5503" s="106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92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106">
        <v>-8.5749999999999993</v>
      </c>
      <c r="BI5505" s="106">
        <v>-8.11</v>
      </c>
      <c r="BO5505" s="106">
        <v>-8.09</v>
      </c>
      <c r="BU5505" s="74">
        <v>-8.4649999999999999</v>
      </c>
      <c r="CA5505" s="106">
        <v>-8.69</v>
      </c>
      <c r="CM5505" s="106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106">
        <v>-8.4949999999999992</v>
      </c>
      <c r="CM5506" s="106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386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106">
        <v>-7.9249999999999998</v>
      </c>
      <c r="BC5508" s="106">
        <v>-8.5150000000000006</v>
      </c>
      <c r="BI5508" s="106">
        <v>-8.0649999999999995</v>
      </c>
      <c r="BO5508" s="106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106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106">
        <v>-8.25</v>
      </c>
      <c r="CM5510" s="106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106">
        <v>-8.3000000000000007</v>
      </c>
      <c r="CM5511" s="106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74">
        <v>-8.6050000000000004</v>
      </c>
      <c r="AW5512" s="106">
        <v>-8.2949999999999999</v>
      </c>
      <c r="CG5512" s="106">
        <v>-8.48</v>
      </c>
      <c r="CY5512" s="106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74">
        <v>-8.6050000000000004</v>
      </c>
      <c r="AN5513" s="74">
        <v>-8.57</v>
      </c>
      <c r="AW5513" s="106">
        <v>-8.4849999999999994</v>
      </c>
      <c r="BC5513" s="106">
        <v>-8.58</v>
      </c>
      <c r="BI5513" s="106">
        <v>-16.225000000000001</v>
      </c>
      <c r="BO5513" s="106">
        <v>-8.4849999999999994</v>
      </c>
      <c r="CA5513" s="106">
        <v>-8.27</v>
      </c>
      <c r="CM5513" s="106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106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106">
        <v>-6.375</v>
      </c>
      <c r="BC5515" s="106">
        <f>-8.535-8.545</f>
        <v>-17.079999999999998</v>
      </c>
      <c r="BI5515" s="106">
        <v>-32.340000000000003</v>
      </c>
      <c r="BO5515" s="106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74">
        <v>-8.61</v>
      </c>
      <c r="CY5516" s="106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74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74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106">
        <v>-8.26</v>
      </c>
      <c r="CM5520" s="106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106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74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106">
        <v>98.52</v>
      </c>
      <c r="BC5524" s="106">
        <v>66.605000000000004</v>
      </c>
      <c r="BI5524" s="106">
        <v>59.085000000000001</v>
      </c>
      <c r="BO5524" s="106">
        <v>65.194999999999993</v>
      </c>
      <c r="BU5524" s="74">
        <v>100.19</v>
      </c>
      <c r="CA5524" s="106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106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74">
        <v>-16.855</v>
      </c>
      <c r="CA5528" s="106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106">
        <v>-8.0549999999999997</v>
      </c>
      <c r="BC5529" s="106">
        <v>-8.32</v>
      </c>
      <c r="BI5529" s="106">
        <v>-7.5350000000000001</v>
      </c>
      <c r="CA5529" s="106">
        <v>-6.7149999999999999</v>
      </c>
      <c r="CG5529" s="106">
        <v>-8.2850000000000001</v>
      </c>
      <c r="CS5529" s="74">
        <v>-7.3449999999999998</v>
      </c>
      <c r="CY5529" s="106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106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106">
        <v>-3.22</v>
      </c>
      <c r="CY5533" s="106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74">
        <v>-8.5299999999999994</v>
      </c>
      <c r="AW5534" s="106">
        <v>-16.440000000000001</v>
      </c>
      <c r="BI5534" s="106">
        <v>-15.525</v>
      </c>
      <c r="BO5534" s="106">
        <v>-16.329999999999998</v>
      </c>
      <c r="CM5534" s="106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106">
        <v>-32.765000000000001</v>
      </c>
      <c r="BC5535" s="106">
        <v>-35.44</v>
      </c>
      <c r="BI5535" s="106">
        <v>-29.085000000000001</v>
      </c>
      <c r="BU5535" s="74">
        <v>-33.564999999999998</v>
      </c>
      <c r="CM5535" s="106">
        <v>-34.799999999999997</v>
      </c>
      <c r="CY5535" s="106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106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106">
        <v>-16.715</v>
      </c>
      <c r="BC5537" s="106">
        <v>-8.51</v>
      </c>
      <c r="BI5537" s="106">
        <v>-8.1199999999999992</v>
      </c>
      <c r="BO5537" s="106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106">
        <v>-8.4600000000000009</v>
      </c>
      <c r="BC5538" s="106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106">
        <v>66.534999999999997</v>
      </c>
      <c r="BC5541" s="106">
        <v>62.98</v>
      </c>
      <c r="BI5541" s="106">
        <f>77.89+21.395</f>
        <v>99.284999999999997</v>
      </c>
      <c r="BO5541" s="106">
        <f>80.345+46.56</f>
        <v>126.905</v>
      </c>
      <c r="BU5541" s="74">
        <v>96.76</v>
      </c>
      <c r="CA5541" s="106">
        <f>32.28+72.77</f>
        <v>105.05</v>
      </c>
      <c r="CG5541" s="106">
        <v>102.86</v>
      </c>
      <c r="CM5541" s="106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106">
        <v>-48.865000000000002</v>
      </c>
      <c r="BU5543" s="74">
        <v>-32.4</v>
      </c>
      <c r="CA5543" s="106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74">
        <v>-7.9850000000000003</v>
      </c>
      <c r="CA5545" s="106">
        <v>-8.0250000000000004</v>
      </c>
      <c r="CG5545" s="106">
        <v>-8.5649999999999995</v>
      </c>
      <c r="CM5545" s="106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106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106">
        <v>-14.125</v>
      </c>
      <c r="BO5549" s="106">
        <v>-16.350000000000001</v>
      </c>
      <c r="BU5549" s="74">
        <v>-15.9</v>
      </c>
      <c r="CA5549" s="106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106">
        <v>-7.3650000000000002</v>
      </c>
      <c r="BO5550" s="106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106">
        <v>-28.135000000000002</v>
      </c>
      <c r="BO5552" s="106">
        <v>-30.265000000000001</v>
      </c>
      <c r="BU5552" s="74">
        <v>-16.53</v>
      </c>
      <c r="CA5552" s="106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106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106">
        <v>-7.3449999999999998</v>
      </c>
      <c r="BO5554" s="106">
        <v>-8.15</v>
      </c>
      <c r="CG5554" s="106">
        <v>-8.6150000000000002</v>
      </c>
      <c r="CM5554" s="106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106">
        <v>-8.61</v>
      </c>
      <c r="BU5555" s="74">
        <v>-8.3249999999999993</v>
      </c>
      <c r="CA5555" s="106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106">
        <v>-6.65</v>
      </c>
      <c r="BO5556" s="106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106">
        <v>-13.98</v>
      </c>
      <c r="BO5558" s="106">
        <v>-7.0449999999999999</v>
      </c>
      <c r="BU5558" s="74">
        <v>-16.315000000000001</v>
      </c>
      <c r="CM5558" s="106">
        <v>-16.855</v>
      </c>
      <c r="CY5558" s="106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106">
        <v>-33.04</v>
      </c>
      <c r="BC5559" s="106">
        <v>-32.125</v>
      </c>
      <c r="BO5559" s="106">
        <v>-32.515000000000001</v>
      </c>
      <c r="CM5559" s="106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106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378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106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106">
        <v>-16.84</v>
      </c>
      <c r="BC5565" s="106">
        <v>-14.875</v>
      </c>
      <c r="BI5565" s="106">
        <v>-11.975</v>
      </c>
      <c r="CA5565" s="106">
        <v>-8.0549999999999997</v>
      </c>
      <c r="CG5565" s="106">
        <v>-14.475</v>
      </c>
      <c r="CM5565" s="106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74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106">
        <v>-8.3450000000000006</v>
      </c>
      <c r="BC5567" s="106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74">
        <v>-8.6150000000000002</v>
      </c>
      <c r="AN5569" s="74">
        <v>-8.31</v>
      </c>
      <c r="AR5569" s="74">
        <v>-8.5299999999999994</v>
      </c>
      <c r="AW5569" s="106">
        <v>-8.08</v>
      </c>
      <c r="BC5569" s="106">
        <v>-7.82</v>
      </c>
      <c r="BU5569" s="74">
        <v>-7.9</v>
      </c>
      <c r="CM5569" s="106">
        <v>-8.68</v>
      </c>
      <c r="CS5569" s="74">
        <v>-8.6850000000000005</v>
      </c>
      <c r="CY5569" s="106">
        <v>-7.7350000000000003</v>
      </c>
      <c r="DE5569" s="74">
        <v>-8.08</v>
      </c>
      <c r="DK5569" s="106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106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106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106">
        <v>96.3</v>
      </c>
      <c r="BI5573" s="106">
        <v>62.41</v>
      </c>
      <c r="BO5573" s="106">
        <v>65.73</v>
      </c>
      <c r="BU5573" s="74">
        <v>65.88</v>
      </c>
      <c r="CA5573" s="106">
        <f>63.09+59.925</f>
        <v>123.015</v>
      </c>
      <c r="CG5573" s="106">
        <f>68.715+42.91</f>
        <v>111.625</v>
      </c>
      <c r="CM5573" s="106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106">
        <v>-30.864999999999998</v>
      </c>
      <c r="BU5574" s="74">
        <v>-15.63</v>
      </c>
      <c r="CA5574" s="106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106">
        <v>-7.89</v>
      </c>
      <c r="CA5575" s="106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106">
        <v>-9.4250000000000007</v>
      </c>
      <c r="BI5576" s="106">
        <v>-7.7350000000000003</v>
      </c>
      <c r="BO5576" s="106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106">
        <v>-8.0150000000000006</v>
      </c>
      <c r="BU5577" s="74">
        <v>-9.17</v>
      </c>
      <c r="CA5577" s="106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106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106">
        <v>-18.2</v>
      </c>
      <c r="BO5580" s="106">
        <v>-15.45</v>
      </c>
      <c r="BU5580" s="74">
        <v>-24.524999999999999</v>
      </c>
      <c r="CA5580" s="106">
        <v>-34.1</v>
      </c>
      <c r="CG5580" s="106">
        <v>-14.38</v>
      </c>
      <c r="CM5580" s="106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106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106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106">
        <v>-18.22</v>
      </c>
      <c r="CG5583" s="106">
        <v>-14.37</v>
      </c>
      <c r="CM5583" s="106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106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106">
        <v>-7.99</v>
      </c>
      <c r="BO5587" s="106">
        <v>-8.1449999999999996</v>
      </c>
      <c r="BU5587" s="74">
        <v>-7.915</v>
      </c>
      <c r="CA5587" s="106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106">
        <v>95.64</v>
      </c>
      <c r="BI5588" s="106">
        <v>97.974999999999994</v>
      </c>
      <c r="CA5588" s="106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106">
        <v>74.91</v>
      </c>
      <c r="CM5589" s="106">
        <v>32.22</v>
      </c>
      <c r="CS5589" s="74">
        <v>33.134999999999998</v>
      </c>
      <c r="DE5589" s="74">
        <v>70.885000000000005</v>
      </c>
      <c r="DK5589" s="106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106">
        <v>-12.9</v>
      </c>
      <c r="BC5590" s="106">
        <v>-7.875</v>
      </c>
      <c r="BI5590" s="106">
        <v>-25.704999999999998</v>
      </c>
      <c r="BO5590" s="106">
        <v>-33.5</v>
      </c>
      <c r="CA5590" s="106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106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106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106">
        <v>-16.399999999999999</v>
      </c>
      <c r="CM5593" s="106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106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106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106">
        <f>-7.83-8.04</f>
        <v>-15.87</v>
      </c>
      <c r="CA5597" s="106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106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106">
        <v>-7.0750000000000002</v>
      </c>
      <c r="CG5600" s="106">
        <v>-7.18</v>
      </c>
      <c r="CM5600" s="106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106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106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106">
        <v>-8.1150000000000002</v>
      </c>
      <c r="BI5607" s="106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106">
        <v>-7.7649999999999997</v>
      </c>
      <c r="BO5608" s="106">
        <v>-8.0350000000000001</v>
      </c>
      <c r="CG5608" s="106">
        <v>-7.1749999999999998</v>
      </c>
      <c r="CM5608" s="106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74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106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106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106">
        <f>-7.15-7.065-7.19</f>
        <v>-21.405000000000001</v>
      </c>
      <c r="BI5614" s="106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106">
        <v>-8.0050000000000008</v>
      </c>
      <c r="BC5615" s="106">
        <v>-8.1449999999999996</v>
      </c>
      <c r="BI5615" s="106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106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106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106">
        <v>-8.0950000000000006</v>
      </c>
      <c r="CG5621" s="106">
        <v>-8.5350000000000001</v>
      </c>
      <c r="CM5621" s="106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106">
        <v>100.75</v>
      </c>
      <c r="BI5622" s="106">
        <v>117.2</v>
      </c>
      <c r="BO5622" s="106">
        <f>68.1+72.2</f>
        <v>140.30000000000001</v>
      </c>
      <c r="BU5622" s="74">
        <f>108+24.25</f>
        <v>132.25</v>
      </c>
      <c r="CA5622" s="106">
        <v>99.965000000000003</v>
      </c>
      <c r="CG5622" s="106">
        <v>99.55</v>
      </c>
      <c r="CM5622" s="106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106">
        <v>-6.53</v>
      </c>
      <c r="BU5623" s="74">
        <v>-7.55</v>
      </c>
      <c r="CA5623" s="106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74">
        <v>-8.6199999999999992</v>
      </c>
      <c r="AN5626" s="74">
        <v>-16.88</v>
      </c>
      <c r="AR5626" s="74">
        <v>-8.11</v>
      </c>
      <c r="AW5626" s="106">
        <v>-25.83</v>
      </c>
      <c r="BC5626" s="106">
        <v>-27.95</v>
      </c>
      <c r="BI5626" s="106">
        <v>-14.35</v>
      </c>
      <c r="BO5626" s="106">
        <v>-18</v>
      </c>
      <c r="BU5626" s="74">
        <v>-17.3</v>
      </c>
      <c r="CG5626" s="106">
        <v>-15.3</v>
      </c>
      <c r="CM5626" s="106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74">
        <v>-8.6050000000000004</v>
      </c>
      <c r="AW5628" s="106">
        <v>-6.4850000000000003</v>
      </c>
      <c r="BC5628" s="106">
        <v>-14.7</v>
      </c>
      <c r="BI5628" s="106">
        <v>-14.3</v>
      </c>
      <c r="BO5628" s="106">
        <v>-18.149999999999999</v>
      </c>
      <c r="BU5628" s="74">
        <v>-16.600000000000001</v>
      </c>
      <c r="CA5628" s="106">
        <v>-16.350000000000001</v>
      </c>
      <c r="CG5628" s="106">
        <v>-16.7</v>
      </c>
      <c r="CM5628" s="106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106">
        <v>-7.35</v>
      </c>
      <c r="BI5629" s="106">
        <v>-7.35</v>
      </c>
      <c r="BO5629" s="106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106">
        <v>-28.9</v>
      </c>
      <c r="BO5630" s="106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106">
        <f>-7.4-7.7</f>
        <v>-15.1</v>
      </c>
      <c r="BU5631" s="74">
        <f>-8.45-7.8</f>
        <v>-16.25</v>
      </c>
      <c r="CA5631" s="106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106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106">
        <v>-7.6</v>
      </c>
      <c r="BO5635" s="106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74">
        <v>-8.65</v>
      </c>
      <c r="CA5636" s="106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106">
        <v>-15.324999999999999</v>
      </c>
      <c r="BO5638" s="106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106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106">
        <v>-6.9</v>
      </c>
      <c r="BI5641" s="106">
        <v>-15.555</v>
      </c>
      <c r="CA5641" s="106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106">
        <v>-7.2249999999999996</v>
      </c>
      <c r="BC5643" s="106">
        <v>-6.65</v>
      </c>
      <c r="BU5643" s="74">
        <v>-8.6999999999999993</v>
      </c>
      <c r="CA5643" s="106">
        <v>-8.0749999999999993</v>
      </c>
      <c r="CG5643" s="106">
        <v>-8.65</v>
      </c>
      <c r="CM5643" s="106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106">
        <v>28.2</v>
      </c>
      <c r="CA5645" s="106">
        <v>36.299999999999997</v>
      </c>
      <c r="CG5645" s="106">
        <v>31.6</v>
      </c>
      <c r="CY5645" s="106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74">
        <v>32.075000000000003</v>
      </c>
      <c r="AN5646" s="74">
        <v>68.400000000000006</v>
      </c>
      <c r="AR5646" s="74">
        <v>34.055</v>
      </c>
      <c r="BC5646" s="106">
        <v>28.2</v>
      </c>
      <c r="BI5646" s="106">
        <v>29.5</v>
      </c>
      <c r="BO5646" s="106">
        <v>70.150000000000006</v>
      </c>
      <c r="BU5646" s="74">
        <v>102.8</v>
      </c>
      <c r="CA5646" s="106">
        <v>66.819999999999993</v>
      </c>
      <c r="CM5646" s="106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74">
        <v>-8.0449999999999999</v>
      </c>
      <c r="AN5648" s="74">
        <v>-8.5549999999999997</v>
      </c>
      <c r="AW5648" s="106">
        <v>-10.27</v>
      </c>
      <c r="BC5648" s="106">
        <v>-14.15</v>
      </c>
      <c r="BI5648" s="106">
        <v>-14.35</v>
      </c>
      <c r="BO5648" s="106">
        <v>-36.1</v>
      </c>
      <c r="BU5648" s="74">
        <v>-17.649999999999999</v>
      </c>
      <c r="CA5648" s="106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106">
        <v>-14.4</v>
      </c>
      <c r="BO5649" s="106">
        <v>-34.049999999999997</v>
      </c>
      <c r="BU5649" s="74">
        <v>-51.85</v>
      </c>
      <c r="CA5649" s="106">
        <v>-52.61</v>
      </c>
      <c r="CM5649" s="106">
        <v>-50.1</v>
      </c>
      <c r="CY5649" s="106">
        <v>-34</v>
      </c>
      <c r="DK5649" s="106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106">
        <v>-6.8849999999999998</v>
      </c>
      <c r="BC5651" s="106">
        <v>-6.66</v>
      </c>
      <c r="BI5651" s="106">
        <v>-7.4</v>
      </c>
      <c r="BO5651" s="106">
        <v>-17.600000000000001</v>
      </c>
      <c r="BU5651" s="74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106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106">
        <v>-7.05</v>
      </c>
      <c r="BI5654" s="106">
        <v>-7.75</v>
      </c>
      <c r="BO5654" s="106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106">
        <v>-8.1449999999999996</v>
      </c>
      <c r="BI5658" s="106">
        <v>-7.4</v>
      </c>
      <c r="BO5658" s="106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46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106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106">
        <v>-7.4</v>
      </c>
      <c r="BU5662" s="74">
        <v>-16.7</v>
      </c>
      <c r="CA5662" s="106">
        <v>-16.324999999999999</v>
      </c>
      <c r="CM5662" s="106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106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74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106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106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106">
        <v>80.13</v>
      </c>
      <c r="BC5667" s="106">
        <v>105.605</v>
      </c>
      <c r="BI5667" s="106">
        <v>136.255</v>
      </c>
      <c r="BO5667" s="106">
        <v>107.3</v>
      </c>
      <c r="BU5667" s="74">
        <v>99.75</v>
      </c>
      <c r="CA5667" s="106">
        <v>140.66</v>
      </c>
      <c r="CG5667" s="106">
        <v>156.94999999999999</v>
      </c>
      <c r="CM5667" s="106">
        <v>100.25</v>
      </c>
      <c r="CS5667" s="74">
        <v>69.42</v>
      </c>
      <c r="CY5667" s="106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106">
        <v>-8.23</v>
      </c>
      <c r="BI5669" s="106">
        <v>-7.45</v>
      </c>
      <c r="BU5669" s="74">
        <v>-7.55</v>
      </c>
      <c r="CA5669" s="106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106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106">
        <v>-8.3149999999999995</v>
      </c>
      <c r="BC5672" s="106">
        <v>-14.7</v>
      </c>
      <c r="BO5672" s="106">
        <v>-9.4</v>
      </c>
      <c r="CS5672" s="74">
        <v>-8.6150000000000002</v>
      </c>
      <c r="CY5672" s="106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106">
        <v>-7.5149999999999997</v>
      </c>
      <c r="BC5673" s="106">
        <v>-8.49</v>
      </c>
      <c r="BI5673" s="106">
        <v>-8.31</v>
      </c>
      <c r="BO5673" s="106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106">
        <v>-7.51</v>
      </c>
      <c r="BI5674" s="106">
        <v>-7.5</v>
      </c>
      <c r="BO5674" s="106">
        <v>-35.15</v>
      </c>
      <c r="BU5674" s="74">
        <v>-8.75</v>
      </c>
      <c r="CA5674" s="106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74">
        <v>-7.94</v>
      </c>
      <c r="AN5675" s="74">
        <v>-8.5749999999999993</v>
      </c>
      <c r="AR5675" s="74">
        <v>-8.5500000000000007</v>
      </c>
      <c r="AW5675" s="106">
        <v>-16.655000000000001</v>
      </c>
      <c r="BC5675" s="106">
        <v>-17.579999999999998</v>
      </c>
      <c r="BI5675" s="106">
        <v>-7.55</v>
      </c>
      <c r="BU5675" s="74">
        <v>-8.85</v>
      </c>
      <c r="CA5675" s="106">
        <v>-35.520000000000003</v>
      </c>
      <c r="CG5675" s="106">
        <v>-15.3</v>
      </c>
      <c r="CY5675" s="106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106">
        <v>-8.23</v>
      </c>
      <c r="BC5676" s="106">
        <v>-6.35</v>
      </c>
      <c r="BI5676" s="106">
        <v>-16.155000000000001</v>
      </c>
      <c r="BO5676" s="106">
        <v>-8.9499999999999993</v>
      </c>
      <c r="BU5676" s="74">
        <f>-16.95-9.15</f>
        <v>-26.1</v>
      </c>
      <c r="CG5676" s="106">
        <v>-6.8</v>
      </c>
      <c r="DK5676" s="106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106">
        <v>-8.25</v>
      </c>
      <c r="BO5677" s="106">
        <v>-8.9499999999999993</v>
      </c>
      <c r="CG5677" s="106">
        <v>-8.6999999999999993</v>
      </c>
      <c r="DK5677" s="106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106">
        <v>-8.35</v>
      </c>
      <c r="BC5678" s="106">
        <v>-6.15</v>
      </c>
      <c r="BI5678" s="106">
        <v>-15.545</v>
      </c>
      <c r="BU5678" s="74">
        <v>-8.8000000000000007</v>
      </c>
      <c r="CA5678" s="106">
        <v>-18.25</v>
      </c>
      <c r="CG5678" s="106">
        <v>-16.649999999999999</v>
      </c>
      <c r="CM5678" s="106">
        <v>-17.5</v>
      </c>
      <c r="CY5678" s="106">
        <v>-16.364999999999998</v>
      </c>
      <c r="DE5678" s="74">
        <v>-35.69</v>
      </c>
      <c r="DK5678" s="106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106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106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74">
        <v>-6.65</v>
      </c>
      <c r="CA5684" s="106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106">
        <v>-28.225000000000001</v>
      </c>
      <c r="BO5685" s="106">
        <v>-17.5</v>
      </c>
      <c r="BU5685" s="74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106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106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74">
        <v>33.164999999999999</v>
      </c>
      <c r="AN5691" s="74">
        <v>30.85</v>
      </c>
      <c r="AR5691" s="74">
        <v>32.33</v>
      </c>
      <c r="BC5691" s="106">
        <v>33.365000000000002</v>
      </c>
      <c r="BI5691" s="106">
        <v>63.72</v>
      </c>
      <c r="BO5691" s="106">
        <v>36.25</v>
      </c>
      <c r="BU5691" s="74">
        <v>58.04</v>
      </c>
      <c r="CA5691" s="106">
        <v>133.9</v>
      </c>
      <c r="CS5691" s="74">
        <v>68.125</v>
      </c>
      <c r="CY5691" s="106">
        <v>31.3</v>
      </c>
      <c r="DE5691" s="74">
        <v>64.900000000000006</v>
      </c>
      <c r="DK5691" s="106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106">
        <v>-22.54</v>
      </c>
      <c r="BC5693" s="106">
        <v>-25.01</v>
      </c>
      <c r="BI5693" s="106">
        <v>-16.295000000000002</v>
      </c>
      <c r="BO5693" s="106">
        <v>-18.05</v>
      </c>
      <c r="BU5693" s="74">
        <v>-34.049999999999997</v>
      </c>
      <c r="CA5693" s="106">
        <v>-34.1</v>
      </c>
      <c r="CS5693" s="74">
        <v>-34.299999999999997</v>
      </c>
      <c r="CY5693" s="106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106">
        <v>-7.55</v>
      </c>
      <c r="BC5694" s="106">
        <v>-7.55</v>
      </c>
      <c r="CM5694" s="106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106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106">
        <v>-8.5500000000000007</v>
      </c>
      <c r="BO5696" s="106">
        <f>-9.3-8.545</f>
        <v>-17.844999999999999</v>
      </c>
      <c r="CA5696" s="106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106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106">
        <v>-7.6</v>
      </c>
      <c r="CA5698" s="106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106">
        <v>-18.2</v>
      </c>
      <c r="BU5700" s="74">
        <v>-12.125</v>
      </c>
      <c r="CS5700" s="74">
        <v>-17.559999999999999</v>
      </c>
      <c r="CY5700" s="106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106">
        <v>111.39</v>
      </c>
      <c r="BC5702" s="106">
        <v>66.94</v>
      </c>
      <c r="BO5702" s="106">
        <v>182.10499999999999</v>
      </c>
      <c r="BU5702" s="74">
        <v>34.450000000000003</v>
      </c>
      <c r="CM5702" s="106">
        <v>34.15</v>
      </c>
      <c r="CS5702" s="74">
        <v>67.16</v>
      </c>
      <c r="CY5702" s="106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106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106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106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106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106">
        <v>-15.404999999999999</v>
      </c>
      <c r="BI5707" s="106">
        <v>-13.89</v>
      </c>
      <c r="BO5707" s="106">
        <v>-24.844999999999999</v>
      </c>
      <c r="BU5707" s="74">
        <v>-5.55</v>
      </c>
      <c r="CA5707" s="106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106">
        <v>-7.1</v>
      </c>
      <c r="BI5708" s="106">
        <v>-7.65</v>
      </c>
      <c r="BO5708" s="106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106">
        <v>-9.3000000000000007</v>
      </c>
      <c r="BC5709" s="106">
        <v>-8.4149999999999991</v>
      </c>
      <c r="BI5709" s="106">
        <v>-6.3</v>
      </c>
      <c r="BO5709" s="106">
        <v>-8.2850000000000001</v>
      </c>
      <c r="BU5709" s="74">
        <v>-15.365</v>
      </c>
      <c r="CA5709" s="106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46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106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106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106">
        <v>-58.34</v>
      </c>
      <c r="BC5719" s="106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106">
        <v>-7.7</v>
      </c>
      <c r="BI5724" s="106">
        <v>-8.1549999999999994</v>
      </c>
      <c r="CM5724" s="106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92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74">
        <v>-8.61</v>
      </c>
      <c r="AR5726" s="74">
        <v>-8.1</v>
      </c>
      <c r="AW5726" s="106">
        <v>-6.7</v>
      </c>
      <c r="BC5726" s="106">
        <v>-8.4049999999999994</v>
      </c>
      <c r="BI5726" s="106">
        <v>-16.274999999999999</v>
      </c>
      <c r="CM5726" s="106">
        <v>-8.25</v>
      </c>
      <c r="CS5726" s="74">
        <v>-8.3949999999999996</v>
      </c>
      <c r="CY5726" s="106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106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106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106">
        <v>32.24</v>
      </c>
      <c r="BI5733" s="106">
        <v>102.285</v>
      </c>
      <c r="BO5733" s="106">
        <v>96.745000000000005</v>
      </c>
      <c r="BU5733" s="74">
        <v>111.75</v>
      </c>
      <c r="CA5733" s="106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106">
        <v>-7.0750000000000002</v>
      </c>
      <c r="BO5734" s="106">
        <v>-8.1199999999999992</v>
      </c>
      <c r="BU5734" s="74">
        <v>-8</v>
      </c>
      <c r="CA5734" s="106">
        <v>-8.9499999999999993</v>
      </c>
      <c r="CG5734" s="106">
        <v>-8.6</v>
      </c>
      <c r="CM5734" s="106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106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74">
        <v>-8.0150000000000006</v>
      </c>
      <c r="BI5737" s="106">
        <v>-16.88</v>
      </c>
      <c r="BU5737" s="74">
        <v>-7.99</v>
      </c>
      <c r="CA5737" s="106">
        <v>-8.16</v>
      </c>
      <c r="CG5737" s="106">
        <v>-17.23</v>
      </c>
      <c r="CM5737" s="106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106">
        <v>-30.03</v>
      </c>
      <c r="BU5738" s="74">
        <v>-31.914999999999999</v>
      </c>
      <c r="CA5738" s="106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106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106">
        <v>-8.51</v>
      </c>
      <c r="BO5740" s="106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106">
        <v>-8.16</v>
      </c>
      <c r="BU5742" s="74">
        <v>-7.98</v>
      </c>
      <c r="CA5742" s="106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74">
        <v>-7.99</v>
      </c>
      <c r="CA5743" s="106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106">
        <v>-8.52</v>
      </c>
      <c r="CA5744" s="106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106">
        <v>-13.4</v>
      </c>
      <c r="BI5745" s="106">
        <v>-8.4849999999999994</v>
      </c>
      <c r="BO5745" s="106">
        <v>-16.875</v>
      </c>
      <c r="BU5745" s="74">
        <v>-7.9749999999999996</v>
      </c>
      <c r="CA5745" s="106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74">
        <v>-8.5449999999999999</v>
      </c>
      <c r="BO5746" s="106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106">
        <v>-6.25</v>
      </c>
      <c r="BI5747" s="106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106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106">
        <v>-6.5</v>
      </c>
      <c r="CG5751" s="106">
        <v>-8.6050000000000004</v>
      </c>
      <c r="CM5751" s="106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106">
        <v>-8.1199999999999992</v>
      </c>
      <c r="CM5752" s="106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106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106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74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106">
        <v>-7.25</v>
      </c>
      <c r="BC5759" s="106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106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386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106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106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106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74">
        <v>34.68</v>
      </c>
      <c r="AW5768" s="106">
        <v>64.38</v>
      </c>
      <c r="BI5768" s="106">
        <v>110.75</v>
      </c>
      <c r="BO5768" s="106">
        <v>115.52500000000001</v>
      </c>
      <c r="BU5768" s="74">
        <v>97.51</v>
      </c>
      <c r="CA5768" s="106">
        <v>98.724999999999994</v>
      </c>
      <c r="CG5768" s="106">
        <v>65.14</v>
      </c>
      <c r="CM5768" s="106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106">
        <v>95.155000000000001</v>
      </c>
      <c r="BU5769" s="74">
        <v>32.335000000000001</v>
      </c>
      <c r="CA5769" s="106">
        <v>34.645000000000003</v>
      </c>
      <c r="CG5769" s="106">
        <v>31.95</v>
      </c>
      <c r="CM5769" s="106">
        <v>33.869999999999997</v>
      </c>
      <c r="CS5769" s="74">
        <v>33.854999999999997</v>
      </c>
      <c r="CY5769" s="106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74">
        <v>-8.625</v>
      </c>
      <c r="CA5770" s="106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106">
        <v>-31.74</v>
      </c>
      <c r="BC5771" s="106">
        <v>-15.25</v>
      </c>
      <c r="BI5771" s="106">
        <v>-30.16</v>
      </c>
      <c r="BO5771" s="106">
        <v>-49.104999999999997</v>
      </c>
      <c r="BU5771" s="74">
        <v>-64.745000000000005</v>
      </c>
      <c r="CA5771" s="106">
        <v>-67.484999999999999</v>
      </c>
      <c r="CG5771" s="106">
        <v>-30.844999999999999</v>
      </c>
      <c r="CM5771" s="106">
        <v>-33.734999999999999</v>
      </c>
      <c r="CS5771" s="74">
        <v>-33.854999999999997</v>
      </c>
      <c r="CY5771" s="106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106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106">
        <v>-13.4</v>
      </c>
      <c r="BC5773" s="106">
        <v>-16.18</v>
      </c>
      <c r="BI5773" s="106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106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106">
        <v>-16.004999999999999</v>
      </c>
      <c r="CG5778" s="106">
        <v>-16.835000000000001</v>
      </c>
      <c r="CM5778" s="106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106">
        <v>-7.97</v>
      </c>
      <c r="BI5779" s="106">
        <v>-8.1750000000000007</v>
      </c>
      <c r="BO5779" s="106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74">
        <v>49.93</v>
      </c>
      <c r="AR5784" s="74">
        <v>65.484999999999999</v>
      </c>
      <c r="AW5784" s="106">
        <v>66.254999999999995</v>
      </c>
      <c r="BC5784" s="106">
        <v>94.894999999999996</v>
      </c>
      <c r="BU5784" s="74">
        <v>51.225000000000001</v>
      </c>
      <c r="CG5784" s="106">
        <v>32.064999999999998</v>
      </c>
      <c r="CM5784" s="106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106">
        <v>-16.215</v>
      </c>
      <c r="BI5785" s="106">
        <v>-15.91</v>
      </c>
      <c r="BO5785" s="106">
        <v>-16.899999999999999</v>
      </c>
      <c r="BU5785" s="74">
        <v>-8.4849999999999994</v>
      </c>
      <c r="CA5785" s="106">
        <v>-16.454999999999998</v>
      </c>
      <c r="CG5785" s="106">
        <v>-15.99</v>
      </c>
      <c r="CM5785" s="106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74">
        <v>-8.6999999999999993</v>
      </c>
      <c r="AN5786" s="74">
        <v>-8.4849999999999994</v>
      </c>
      <c r="BI5786" s="106">
        <v>-15.865</v>
      </c>
      <c r="BO5786" s="106">
        <v>-16.914999999999999</v>
      </c>
      <c r="CA5786" s="106">
        <v>-8.24</v>
      </c>
      <c r="CG5786" s="106">
        <v>-7.9349999999999996</v>
      </c>
      <c r="CM5786" s="106">
        <v>-25.344999999999999</v>
      </c>
      <c r="CS5786" s="74">
        <v>-8.3049999999999997</v>
      </c>
      <c r="CY5786" s="106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106">
        <v>-16.344999999999999</v>
      </c>
      <c r="BO5787" s="106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106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106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74">
        <v>-34.685000000000002</v>
      </c>
      <c r="BC5792" s="106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106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106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106">
        <v>-32.46</v>
      </c>
      <c r="BI5797" s="106">
        <v>-31.645</v>
      </c>
      <c r="BU5797" s="74">
        <v>-8.1649999999999991</v>
      </c>
      <c r="CM5797" s="106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74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106">
        <v>-33.82</v>
      </c>
      <c r="BU5802" s="74">
        <v>-34.505000000000003</v>
      </c>
      <c r="CA5802" s="106">
        <v>-32.664999999999999</v>
      </c>
      <c r="CG5802" s="106">
        <v>-64.02</v>
      </c>
      <c r="CM5802" s="106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106">
        <v>32.79</v>
      </c>
      <c r="BO5803" s="106">
        <v>67.564999999999998</v>
      </c>
      <c r="BU5803" s="74">
        <v>101.78</v>
      </c>
      <c r="CA5803" s="106">
        <v>97.875</v>
      </c>
      <c r="CG5803" s="106">
        <v>96.424999999999997</v>
      </c>
      <c r="CM5803" s="106">
        <v>33.744999999999997</v>
      </c>
      <c r="CS5803" s="74">
        <v>66.790000000000006</v>
      </c>
      <c r="DK5803" s="106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106">
        <v>-16.315000000000001</v>
      </c>
      <c r="BO5804" s="106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106">
        <f>-8.28-8.295</f>
        <v>-16.574999999999999</v>
      </c>
      <c r="BI5805" s="106">
        <v>-7.9950000000000001</v>
      </c>
      <c r="BU5805" s="74">
        <f>-8.4-8.38</f>
        <v>-16.78</v>
      </c>
      <c r="CA5805" s="106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106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106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106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106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106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106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106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106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92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106">
        <v>-8.5350000000000001</v>
      </c>
      <c r="CG5817" s="106">
        <v>-23.305</v>
      </c>
      <c r="CM5817" s="106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106">
        <v>-8.26</v>
      </c>
      <c r="CA5819" s="106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106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106">
        <v>-8.2349999999999994</v>
      </c>
      <c r="DP5821" s="74">
        <v>-16.055</v>
      </c>
      <c r="HD5821" s="92">
        <v>-8.34</v>
      </c>
      <c r="HF5821" s="92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106">
        <v>-9.2750000000000004</v>
      </c>
      <c r="BU5827" s="74">
        <v>-16.864999999999998</v>
      </c>
      <c r="CA5827" s="106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106">
        <v>-8.8800000000000008</v>
      </c>
      <c r="DM5830" s="46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106">
        <v>101.185</v>
      </c>
      <c r="BO5831" s="106">
        <v>101.71</v>
      </c>
      <c r="BU5831" s="74">
        <v>79.795000000000002</v>
      </c>
      <c r="CA5831" s="106">
        <v>101.155</v>
      </c>
      <c r="CG5831" s="106">
        <v>98.545000000000002</v>
      </c>
      <c r="CM5831" s="106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106">
        <v>-8.2349999999999994</v>
      </c>
      <c r="BI5832" s="106">
        <v>-26.344999999999999</v>
      </c>
      <c r="BO5832" s="106">
        <v>-34.034999999999997</v>
      </c>
      <c r="BU5832" s="74">
        <v>-31.875</v>
      </c>
      <c r="CA5832" s="106">
        <v>-33.17</v>
      </c>
      <c r="CG5832" s="106">
        <v>-16.545000000000002</v>
      </c>
      <c r="CM5832" s="106">
        <v>-16.05</v>
      </c>
      <c r="CS5832" s="74">
        <v>-33.274999999999999</v>
      </c>
      <c r="CY5832" s="106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106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106">
        <v>-7.98</v>
      </c>
      <c r="BD5835" s="121">
        <v>-16.46</v>
      </c>
      <c r="BO5835" s="106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106">
        <v>-8.3849999999999998</v>
      </c>
      <c r="BO5836" s="106">
        <v>-8.4949999999999992</v>
      </c>
      <c r="CG5836" s="106">
        <v>-7.9</v>
      </c>
      <c r="CM5836" s="106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106">
        <v>-8.4700000000000006</v>
      </c>
      <c r="BU5837" s="74">
        <v>-7.95</v>
      </c>
      <c r="CA5837" s="106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106">
        <v>-8.5</v>
      </c>
      <c r="CG5838" s="106">
        <v>-17.355</v>
      </c>
      <c r="CM5838" s="106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106">
        <v>-8.35</v>
      </c>
      <c r="CA5839" s="106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106">
        <v>-8.42</v>
      </c>
      <c r="CA5840" s="106">
        <v>-8.2850000000000001</v>
      </c>
      <c r="CY5840" s="106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106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74">
        <v>-15.935</v>
      </c>
      <c r="CA5848" s="106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106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106">
        <v>-8.4</v>
      </c>
      <c r="CS5850" s="74">
        <v>-8.3949999999999996</v>
      </c>
      <c r="CY5850" s="106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106">
        <v>68.19</v>
      </c>
      <c r="BC5851" s="106">
        <v>64.67</v>
      </c>
      <c r="BI5851" s="106">
        <v>68.995000000000005</v>
      </c>
      <c r="BO5851" s="106">
        <v>67.98</v>
      </c>
      <c r="BU5851" s="74">
        <f>35.72+34.475</f>
        <v>70.194999999999993</v>
      </c>
      <c r="CA5851" s="106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106">
        <v>-16.815000000000001</v>
      </c>
      <c r="BO5852" s="106">
        <v>-16.864999999999998</v>
      </c>
      <c r="BU5852" s="74">
        <v>-8.6150000000000002</v>
      </c>
      <c r="CA5852" s="106">
        <v>-16.684999999999999</v>
      </c>
      <c r="CG5852" s="106">
        <v>-7.9450000000000003</v>
      </c>
      <c r="CM5852" s="106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106">
        <v>-17.254999999999999</v>
      </c>
      <c r="BC5853" s="106">
        <v>-23.98</v>
      </c>
      <c r="BI5853" s="106">
        <v>-34.555</v>
      </c>
      <c r="BO5853" s="106">
        <v>-34.115000000000002</v>
      </c>
      <c r="BU5853" s="74">
        <v>-34.435000000000002</v>
      </c>
      <c r="CA5853" s="106">
        <v>-34.414999999999999</v>
      </c>
      <c r="CG5853" s="106">
        <v>-34.744999999999997</v>
      </c>
      <c r="CM5853" s="106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106">
        <v>-8.2050000000000001</v>
      </c>
      <c r="BO5854" s="106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106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106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74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106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46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74">
        <v>-15.244999999999999</v>
      </c>
      <c r="BI5862" s="106">
        <f>-8.64-8.62-8.695-8.4</f>
        <v>-34.354999999999997</v>
      </c>
      <c r="CA5862" s="106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74">
        <v>-8.65</v>
      </c>
      <c r="BC5863" s="106">
        <v>-15.87</v>
      </c>
      <c r="BO5863" s="106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106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74">
        <v>72.204999999999998</v>
      </c>
      <c r="AN5868" s="74">
        <v>32.130000000000003</v>
      </c>
      <c r="AR5868" s="74">
        <v>31.45</v>
      </c>
      <c r="AW5868" s="106">
        <v>33.909999999999997</v>
      </c>
      <c r="BC5868" s="106">
        <v>68.234999999999999</v>
      </c>
      <c r="BI5868" s="106">
        <v>103.295</v>
      </c>
      <c r="BO5868" s="106">
        <v>101.24</v>
      </c>
      <c r="BU5868" s="74">
        <v>68.66</v>
      </c>
      <c r="CA5868" s="106">
        <v>69.555000000000007</v>
      </c>
      <c r="CG5868" s="106">
        <v>69.405000000000001</v>
      </c>
      <c r="CM5868" s="106">
        <v>83.534999999999997</v>
      </c>
      <c r="CS5868" s="74">
        <v>67.275000000000006</v>
      </c>
      <c r="CY5868" s="106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106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106">
        <v>-8.6649999999999991</v>
      </c>
      <c r="BO5870" s="106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74">
        <v>-17.2</v>
      </c>
      <c r="CA5871" s="106">
        <v>-17.375</v>
      </c>
      <c r="CG5871" s="106">
        <v>-17.375</v>
      </c>
      <c r="CM5871" s="106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106">
        <v>-8.1199999999999992</v>
      </c>
      <c r="CA5872" s="106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74">
        <v>-3.67</v>
      </c>
      <c r="AN5873" s="74">
        <v>-5.69</v>
      </c>
      <c r="AR5873" s="74">
        <v>-4.01</v>
      </c>
      <c r="AW5873" s="106">
        <v>-4.41</v>
      </c>
      <c r="BC5873" s="106">
        <v>-4</v>
      </c>
      <c r="BI5873" s="106">
        <v>-4.3499999999999996</v>
      </c>
      <c r="BO5873" s="106">
        <v>-4.1500000000000004</v>
      </c>
      <c r="BU5873" s="74">
        <v>-4.2699999999999996</v>
      </c>
      <c r="CA5873" s="106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106">
        <v>-8.5749999999999993</v>
      </c>
      <c r="BC5874" s="106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106">
        <f>-9.035-9.345-8.12</f>
        <v>-26.5</v>
      </c>
      <c r="BO5875" s="106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106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106">
        <v>34.015000000000001</v>
      </c>
      <c r="BU5878" s="74">
        <v>31.914999999999999</v>
      </c>
      <c r="CA5878" s="106">
        <v>34.46</v>
      </c>
      <c r="CM5878" s="106">
        <v>99.6</v>
      </c>
      <c r="CS5878" s="74">
        <v>68.795000000000002</v>
      </c>
      <c r="CY5878" s="106">
        <v>32.770000000000003</v>
      </c>
      <c r="DE5878" s="74">
        <v>34.380000000000003</v>
      </c>
      <c r="DK5878" s="106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106">
        <v>34.54</v>
      </c>
      <c r="BO5879" s="106">
        <v>32.984999999999999</v>
      </c>
      <c r="BU5879" s="74">
        <v>68.754999999999995</v>
      </c>
      <c r="CA5879" s="106">
        <v>34.795000000000002</v>
      </c>
      <c r="CG5879" s="106">
        <v>69.790000000000006</v>
      </c>
      <c r="CM5879" s="106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386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106">
        <v>-8.57</v>
      </c>
      <c r="BU5881" s="74">
        <v>-8.58</v>
      </c>
      <c r="CA5881" s="106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106">
        <v>-34.54</v>
      </c>
      <c r="BO5882" s="106">
        <v>-32.984999999999999</v>
      </c>
      <c r="BU5882" s="74">
        <v>-68.754999999999995</v>
      </c>
      <c r="CA5882" s="106">
        <v>-34.795000000000002</v>
      </c>
      <c r="CG5882" s="106">
        <v>-69.790000000000006</v>
      </c>
      <c r="CM5882" s="106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106">
        <v>-34.6</v>
      </c>
      <c r="BO5883" s="106">
        <v>-34.015000000000001</v>
      </c>
      <c r="BU5883" s="74">
        <v>-31.914999999999999</v>
      </c>
      <c r="CA5883" s="106">
        <v>-34.46</v>
      </c>
      <c r="CG5883" s="106">
        <v>-34.604999999999997</v>
      </c>
      <c r="CM5883" s="106">
        <v>-33.78</v>
      </c>
      <c r="CS5883" s="74">
        <v>-34.380000000000003</v>
      </c>
      <c r="CY5883" s="106">
        <v>-32.770000000000003</v>
      </c>
      <c r="DE5883" s="74">
        <v>-34.380000000000003</v>
      </c>
      <c r="DK5883" s="106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106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386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74">
        <v>-3.49</v>
      </c>
      <c r="AR5886" s="74">
        <v>-4.08</v>
      </c>
      <c r="AW5886" s="106">
        <v>-3.83</v>
      </c>
      <c r="BC5886" s="106">
        <v>-4.0999999999999996</v>
      </c>
      <c r="BO5886" s="106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106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106">
        <v>-25.32</v>
      </c>
      <c r="CA5888" s="106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106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106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106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106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74">
        <v>-17.18</v>
      </c>
      <c r="CA5894" s="106">
        <v>-8.68</v>
      </c>
      <c r="CM5894" s="106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106">
        <v>-8.6549999999999994</v>
      </c>
      <c r="BC5895" s="106">
        <v>-8.2449999999999992</v>
      </c>
      <c r="BI5895" s="106">
        <f>-8.665-8.66</f>
        <v>-17.324999999999999</v>
      </c>
      <c r="BO5895" s="106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106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106">
        <v>-8.41</v>
      </c>
      <c r="CS5897" s="74">
        <v>-9.0850000000000009</v>
      </c>
      <c r="CY5897" s="106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74">
        <v>29.774999999999999</v>
      </c>
      <c r="AW5904" s="106">
        <v>79.599999999999994</v>
      </c>
      <c r="BC5904" s="106">
        <v>156.54</v>
      </c>
      <c r="BI5904" s="106">
        <v>110.375</v>
      </c>
      <c r="CS5904" s="74">
        <f>25.855+41.27</f>
        <v>67.125</v>
      </c>
      <c r="CY5904" s="106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106">
        <v>96.435000000000002</v>
      </c>
      <c r="BU5905" s="74">
        <v>98.1</v>
      </c>
      <c r="CA5905" s="106">
        <v>108.95</v>
      </c>
      <c r="CM5905" s="106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106">
        <v>-93.64</v>
      </c>
      <c r="BI5907" s="106">
        <v>-94.635000000000005</v>
      </c>
      <c r="BO5907" s="106">
        <v>-96.435000000000002</v>
      </c>
      <c r="BU5907" s="74">
        <v>-98.1</v>
      </c>
      <c r="CA5907" s="106">
        <v>-108.95</v>
      </c>
      <c r="CM5907" s="106">
        <v>-94.59</v>
      </c>
      <c r="CS5907" s="74">
        <v>-67.125</v>
      </c>
      <c r="CY5907" s="106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106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74">
        <v>-6.7</v>
      </c>
      <c r="AN5909" s="74">
        <v>-7.96</v>
      </c>
      <c r="AR5909" s="74">
        <v>-8.0950000000000006</v>
      </c>
      <c r="BC5909" s="106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106">
        <v>-8.8550000000000004</v>
      </c>
      <c r="DE5910" s="74">
        <v>-17.190000000000001</v>
      </c>
      <c r="DK5910" s="106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106">
        <v>-8.1850000000000005</v>
      </c>
      <c r="DA5913" s="126">
        <v>-8.57</v>
      </c>
      <c r="DE5913" s="74">
        <v>-8.6300000000000008</v>
      </c>
      <c r="DM5913" s="46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106">
        <v>-7.88</v>
      </c>
      <c r="BI5914" s="106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106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106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106">
        <v>70.13</v>
      </c>
      <c r="BO5918" s="106">
        <v>97.364999999999995</v>
      </c>
      <c r="BU5918" s="74">
        <v>64.444999999999993</v>
      </c>
      <c r="CA5918" s="106">
        <v>97.165000000000006</v>
      </c>
      <c r="CG5918" s="106">
        <v>172.97</v>
      </c>
      <c r="CS5918" s="74">
        <v>34.54</v>
      </c>
      <c r="CY5918" s="106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106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106">
        <v>-8.01</v>
      </c>
      <c r="BO5920" s="106">
        <f>-8.59-8.605-8.59</f>
        <v>-25.785</v>
      </c>
      <c r="CA5920" s="106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106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106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106">
        <v>-8.6300000000000008</v>
      </c>
      <c r="BC5924" s="106">
        <v>-7.87</v>
      </c>
      <c r="BI5924" s="106">
        <v>-16.675000000000001</v>
      </c>
      <c r="BO5924" s="106">
        <v>-17.364999999999998</v>
      </c>
      <c r="BU5924" s="74">
        <v>-16.07</v>
      </c>
      <c r="CA5924" s="106">
        <v>-16.36</v>
      </c>
      <c r="CM5924" s="106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106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106">
        <v>-8.7750000000000004</v>
      </c>
      <c r="BC5927" s="106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106">
        <v>-7.81</v>
      </c>
      <c r="BI5930" s="106">
        <v>-8.75</v>
      </c>
      <c r="BO5930" s="106">
        <f>-8.68-7.215</f>
        <v>-15.895</v>
      </c>
      <c r="BU5930" s="74">
        <f>-8.165-7.95</f>
        <v>-16.114999999999998</v>
      </c>
      <c r="CA5930" s="106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106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106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106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106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106">
        <v>-7.99</v>
      </c>
      <c r="BC5936" s="106">
        <v>-7.8849999999999998</v>
      </c>
      <c r="BI5936" s="106">
        <v>-8.91</v>
      </c>
      <c r="BO5936" s="106">
        <v>-6.81</v>
      </c>
      <c r="BU5936" s="74">
        <v>-8.1950000000000003</v>
      </c>
      <c r="CA5936" s="106">
        <v>-8.6850000000000005</v>
      </c>
      <c r="CM5936" s="106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106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106">
        <v>-8.9</v>
      </c>
      <c r="BW5944" s="126">
        <v>-7.03</v>
      </c>
      <c r="CA5944" s="106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106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106">
        <v>-8.1349999999999998</v>
      </c>
      <c r="CF5946" s="69">
        <v>-8.4849999999999994</v>
      </c>
      <c r="CM5946" s="106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106">
        <v>-8.9149999999999991</v>
      </c>
      <c r="BO5947" s="106">
        <v>-8.4949999999999992</v>
      </c>
      <c r="CA5947" s="106">
        <v>-8.1999999999999993</v>
      </c>
      <c r="CF5947" s="69">
        <f>-8.495-8.445-8.455</f>
        <v>-25.395</v>
      </c>
      <c r="CM5947" s="106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386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106">
        <v>31.91</v>
      </c>
      <c r="BI5950" s="106">
        <v>32.81</v>
      </c>
      <c r="BO5950" s="106">
        <v>34.305</v>
      </c>
      <c r="CA5950" s="106">
        <v>33.68</v>
      </c>
      <c r="CG5950" s="106">
        <v>34.19</v>
      </c>
      <c r="CM5950" s="106">
        <v>62.445</v>
      </c>
      <c r="CY5950" s="106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386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106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106">
        <v>-7.1150000000000002</v>
      </c>
      <c r="CR5955" s="69">
        <v>-8.5749999999999993</v>
      </c>
      <c r="CY5955" s="106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106">
        <v>-7.9850000000000003</v>
      </c>
      <c r="BI5957" s="106">
        <v>-7.7750000000000004</v>
      </c>
      <c r="BW5957" s="126">
        <v>-6.65</v>
      </c>
      <c r="CA5957" s="106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106">
        <v>-25.355</v>
      </c>
      <c r="BC5959" s="106">
        <v>-16.035</v>
      </c>
      <c r="BI5959" s="106">
        <v>-25.035</v>
      </c>
      <c r="BO5959" s="106">
        <v>-34.305</v>
      </c>
      <c r="BW5959" s="126">
        <v>-21.01</v>
      </c>
      <c r="CA5959" s="106">
        <v>-16.844999999999999</v>
      </c>
      <c r="CM5959" s="106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106">
        <v>-7.89</v>
      </c>
      <c r="CA5962" s="106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106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106">
        <v>-8.16</v>
      </c>
      <c r="BC5969" s="106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74">
        <v>-7.1550000000000002</v>
      </c>
      <c r="AN5970" s="74">
        <v>-8.3949999999999996</v>
      </c>
      <c r="AW5970" s="106">
        <v>-5.12</v>
      </c>
      <c r="CR5970" s="69">
        <v>-8.57</v>
      </c>
      <c r="CY5970" s="106">
        <v>-7.82</v>
      </c>
      <c r="DE5970" s="74">
        <v>-9.5</v>
      </c>
      <c r="DK5970" s="106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106">
        <v>31.54</v>
      </c>
      <c r="BC5972" s="106">
        <f>106.135+40.08</f>
        <v>146.215</v>
      </c>
      <c r="BI5972" s="106">
        <f>71.84+70.6</f>
        <v>142.44</v>
      </c>
      <c r="BO5972" s="106">
        <v>68.709999999999994</v>
      </c>
      <c r="BU5972" s="74">
        <v>63.63</v>
      </c>
      <c r="CA5972" s="106">
        <v>100.645</v>
      </c>
      <c r="CG5972" s="106">
        <v>69.290000000000006</v>
      </c>
      <c r="CM5972" s="106">
        <f>127.17</f>
        <v>127.17</v>
      </c>
      <c r="CS5972" s="74">
        <v>33.655000000000001</v>
      </c>
      <c r="CY5972" s="106">
        <f>76.265+38.735</f>
        <v>115</v>
      </c>
      <c r="DE5972" s="74">
        <v>34.744999999999997</v>
      </c>
      <c r="DK5972" s="106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106">
        <v>-8.6449999999999996</v>
      </c>
      <c r="DE5973" s="74">
        <v>-17.425000000000001</v>
      </c>
      <c r="DK5973" s="106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106">
        <v>-8.6449999999999996</v>
      </c>
      <c r="DK5974" s="106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74">
        <v>-30.184999999999999</v>
      </c>
      <c r="AN5975" s="74">
        <v>-35.17</v>
      </c>
      <c r="AR5975" s="74">
        <v>-26.274999999999999</v>
      </c>
      <c r="BC5975" s="106">
        <f>-31.915-31.945</f>
        <v>-63.86</v>
      </c>
      <c r="BI5975" s="106">
        <f>-31.395-31.255</f>
        <v>-62.65</v>
      </c>
      <c r="BU5975" s="74">
        <f>-31.905-31.725</f>
        <v>-63.63</v>
      </c>
      <c r="CA5975" s="106">
        <f>-33.465-33.525</f>
        <v>-66.989999999999995</v>
      </c>
      <c r="CG5975" s="106">
        <f>-34.555-34.735</f>
        <v>-69.290000000000006</v>
      </c>
      <c r="CM5975" s="106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106">
        <v>-8.52</v>
      </c>
      <c r="BC5976" s="106">
        <v>-8.4700000000000006</v>
      </c>
      <c r="CM5976" s="106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106">
        <v>-32.65</v>
      </c>
      <c r="BI5977" s="106">
        <v>-32.86</v>
      </c>
      <c r="BO5977" s="106">
        <v>-34.35</v>
      </c>
      <c r="CM5977" s="106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106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106">
        <v>-31.31</v>
      </c>
      <c r="BO5980" s="106">
        <v>-17.164999999999999</v>
      </c>
      <c r="CA5980" s="106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106">
        <v>-15.645</v>
      </c>
      <c r="BC5983" s="106">
        <v>-16.05</v>
      </c>
      <c r="CY5983" s="106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106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106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74">
        <v>-8.77</v>
      </c>
      <c r="AN5986" s="74">
        <v>-7.89</v>
      </c>
      <c r="AW5986" s="106">
        <v>-5.68</v>
      </c>
      <c r="BC5986" s="106">
        <v>-7.58</v>
      </c>
      <c r="BI5986" s="106">
        <v>-7.7</v>
      </c>
      <c r="BO5986" s="106">
        <v>-8.61</v>
      </c>
      <c r="CA5986" s="106">
        <v>-8.4</v>
      </c>
      <c r="CM5986" s="106">
        <v>-7.83</v>
      </c>
      <c r="CY5986" s="106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74">
        <v>-6.72</v>
      </c>
      <c r="AW5987" s="106">
        <v>-7.9950000000000001</v>
      </c>
      <c r="BC5987" s="106">
        <v>-17.605</v>
      </c>
      <c r="BI5987" s="106">
        <v>-7.84</v>
      </c>
      <c r="BO5987" s="106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74">
        <v>1.4999999999999999E-2</v>
      </c>
      <c r="CM5988" s="106">
        <v>0.45</v>
      </c>
      <c r="CY5988" s="106">
        <v>0.86499999999999999</v>
      </c>
      <c r="DK5988" s="106">
        <v>-1.075</v>
      </c>
      <c r="DM5988" s="46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74">
        <v>35.784999999999997</v>
      </c>
      <c r="AN5991" s="74">
        <v>70.33</v>
      </c>
      <c r="AW5991" s="106">
        <v>64.474999999999994</v>
      </c>
      <c r="BC5991" s="106">
        <v>62.92</v>
      </c>
      <c r="BO5991" s="106">
        <v>86.84</v>
      </c>
      <c r="BU5991" s="74">
        <v>67.81</v>
      </c>
      <c r="CA5991" s="106">
        <v>83.644999999999996</v>
      </c>
      <c r="CM5991" s="106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92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74">
        <v>-35.784999999999997</v>
      </c>
      <c r="AN5993" s="74">
        <v>-35.15</v>
      </c>
      <c r="AQ5993" s="69">
        <v>8.3949999999999996</v>
      </c>
      <c r="AW5993" s="106">
        <v>-17.254999999999999</v>
      </c>
      <c r="BU5993" s="74">
        <v>-25.04</v>
      </c>
      <c r="CA5993" s="106">
        <v>-16.754999999999999</v>
      </c>
      <c r="CM5993" s="106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106">
        <v>-24.175000000000001</v>
      </c>
      <c r="BC5994" s="106">
        <v>-31.78</v>
      </c>
      <c r="BO5994" s="106">
        <v>-18.145</v>
      </c>
      <c r="CA5994" s="106">
        <v>-16.734999999999999</v>
      </c>
      <c r="CS5994" s="74">
        <v>-17</v>
      </c>
      <c r="CY5994" s="106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106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106">
        <v>-17.204999999999998</v>
      </c>
      <c r="BU5996" s="74">
        <v>-25.92</v>
      </c>
      <c r="CA5996" s="106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106">
        <f>-8.585-8.555</f>
        <v>-17.14</v>
      </c>
      <c r="CA5997" s="106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106">
        <v>-17.16</v>
      </c>
      <c r="CA5998" s="106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106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106">
        <v>-8.6</v>
      </c>
      <c r="BU6002" s="74">
        <v>-8.4049999999999994</v>
      </c>
      <c r="CM6002" s="106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106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106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106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74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106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106">
        <v>64.010000000000005</v>
      </c>
      <c r="BC6014" s="106">
        <v>60.86</v>
      </c>
      <c r="BU6014" s="74">
        <v>211.815</v>
      </c>
      <c r="CM6014" s="106">
        <v>100.15</v>
      </c>
      <c r="CS6014" s="74">
        <v>72.78</v>
      </c>
      <c r="CY6014" s="106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92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106">
        <v>-7.5049999999999999</v>
      </c>
      <c r="BB6017" s="69">
        <v>-8.4649999999999999</v>
      </c>
      <c r="CF6017" s="69">
        <v>-8.4849999999999994</v>
      </c>
      <c r="CM6017" s="106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106">
        <v>-31.934999999999999</v>
      </c>
      <c r="DK6018" s="106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106">
        <v>-17.239999999999998</v>
      </c>
      <c r="BC6019" s="106">
        <v>-15.22</v>
      </c>
      <c r="BU6019" s="74">
        <v>-32.619999999999997</v>
      </c>
      <c r="CM6019" s="106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74">
        <v>-7.165</v>
      </c>
      <c r="AQ6020" s="69">
        <v>-8.44</v>
      </c>
      <c r="AW6020" s="106">
        <v>-32.075000000000003</v>
      </c>
      <c r="BC6020" s="106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106">
        <v>-32.645000000000003</v>
      </c>
      <c r="CS6020" s="74">
        <v>-35.844999999999999</v>
      </c>
      <c r="CY6020" s="106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106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106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106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106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106">
        <v>32.795000000000002</v>
      </c>
      <c r="BC6030" s="106">
        <f>38.005+23.06</f>
        <v>61.064999999999998</v>
      </c>
      <c r="CS6030" s="74">
        <f>44.55+61.63</f>
        <v>106.18</v>
      </c>
      <c r="CY6030" s="106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92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106">
        <v>108.86499999999999</v>
      </c>
      <c r="BC6031" s="106">
        <v>108.325</v>
      </c>
      <c r="BI6031" s="106">
        <v>162.745</v>
      </c>
      <c r="BO6031" s="106">
        <v>174.39500000000001</v>
      </c>
      <c r="BU6031" s="74">
        <v>179.13</v>
      </c>
      <c r="CA6031" s="106">
        <v>165.72499999999999</v>
      </c>
      <c r="CG6031" s="106">
        <v>178.61500000000001</v>
      </c>
      <c r="CM6031" s="106">
        <v>167.61</v>
      </c>
      <c r="CY6031" s="106">
        <v>69.83</v>
      </c>
      <c r="DK6031" s="106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106">
        <v>-92.52</v>
      </c>
      <c r="BC6032" s="106">
        <v>-108.325</v>
      </c>
      <c r="BI6032" s="106">
        <v>-162.745</v>
      </c>
      <c r="BO6032" s="106">
        <v>-174.39500000000001</v>
      </c>
      <c r="BU6032" s="74">
        <v>-62.185000000000002</v>
      </c>
      <c r="CA6032" s="106">
        <v>-132.595</v>
      </c>
      <c r="CG6032" s="106">
        <v>-129.85</v>
      </c>
      <c r="CM6032" s="106">
        <v>-132.92500000000001</v>
      </c>
      <c r="CS6032" s="74">
        <v>-106.18</v>
      </c>
      <c r="CY6032" s="106">
        <v>-132.035</v>
      </c>
      <c r="DK6032" s="106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106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106">
        <v>-30.02</v>
      </c>
      <c r="CA6034" s="106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106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106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106">
        <v>-8.3949999999999996</v>
      </c>
      <c r="BC6040" s="106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106">
        <v>-7.95</v>
      </c>
      <c r="BU6041" s="74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106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106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74">
        <v>-9.76</v>
      </c>
      <c r="CY6044" s="106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74">
        <v>-8.125</v>
      </c>
      <c r="BZ6045" s="69">
        <v>16.829999999999998</v>
      </c>
      <c r="DM6045" s="46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106">
        <v>33.555</v>
      </c>
      <c r="BI6050" s="106">
        <v>98.29</v>
      </c>
      <c r="BO6050" s="106">
        <v>67.825000000000003</v>
      </c>
      <c r="BU6050" s="74">
        <v>32.375</v>
      </c>
      <c r="CA6050" s="106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106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106">
        <v>-8.6150000000000002</v>
      </c>
      <c r="BU6054" s="74">
        <v>-8.1549999999999994</v>
      </c>
      <c r="CA6054" s="106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106">
        <v>-6.8049999999999997</v>
      </c>
      <c r="BI6055" s="106">
        <v>-8.2149999999999999</v>
      </c>
      <c r="CA6055" s="106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106">
        <v>-9.4450000000000003</v>
      </c>
      <c r="BC6056" s="106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106">
        <v>-8.0399999999999991</v>
      </c>
      <c r="BC6057" s="106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106">
        <v>-8.2050000000000001</v>
      </c>
      <c r="BO6058" s="106">
        <v>-8.68</v>
      </c>
      <c r="CA6058" s="106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106">
        <v>-8.08</v>
      </c>
      <c r="BC6059" s="106">
        <v>-7.7450000000000001</v>
      </c>
      <c r="BI6059" s="106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106">
        <v>-32.594999999999999</v>
      </c>
      <c r="BO6060" s="106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106">
        <v>-7.99</v>
      </c>
      <c r="BO6061" s="106">
        <v>-17.75</v>
      </c>
      <c r="CG6061" s="106">
        <v>-32.369999999999997</v>
      </c>
      <c r="CM6061" s="106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106">
        <v>-32.844999999999999</v>
      </c>
      <c r="CA6062" s="106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106">
        <v>-6.79</v>
      </c>
      <c r="CA6063" s="106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106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106">
        <v>-6.8049999999999997</v>
      </c>
      <c r="BI6065" s="106">
        <v>-8.2050000000000001</v>
      </c>
      <c r="BO6065" s="106">
        <v>-8.6300000000000008</v>
      </c>
      <c r="CA6065" s="106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106">
        <v>-8.4149999999999991</v>
      </c>
      <c r="CM6066" s="106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74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74">
        <v>-15.78</v>
      </c>
      <c r="CA6071" s="106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106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106">
        <f>31.705+32.74</f>
        <v>64.444999999999993</v>
      </c>
      <c r="BC6073" s="106">
        <v>112.47</v>
      </c>
      <c r="BI6073" s="106">
        <v>65.665000000000006</v>
      </c>
      <c r="BO6073" s="106">
        <v>104.30500000000001</v>
      </c>
      <c r="BU6073" s="74">
        <v>65.674999999999997</v>
      </c>
      <c r="CA6073" s="106">
        <v>79.444999999999993</v>
      </c>
      <c r="CG6073" s="106">
        <v>96.875</v>
      </c>
      <c r="CS6073" s="74">
        <v>32.39</v>
      </c>
      <c r="CY6073" s="106">
        <v>35.119999999999997</v>
      </c>
      <c r="DE6073" s="74">
        <v>35.585000000000001</v>
      </c>
      <c r="DK6073" s="106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106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106">
        <v>-31.725000000000001</v>
      </c>
      <c r="BC6080" s="106">
        <v>-48.15</v>
      </c>
      <c r="BI6080" s="106">
        <v>-32.799999999999997</v>
      </c>
      <c r="BO6080" s="106">
        <v>-25.96</v>
      </c>
      <c r="CA6080" s="106">
        <v>-63.314999999999998</v>
      </c>
      <c r="CG6080" s="106">
        <v>-64.644999999999996</v>
      </c>
      <c r="CM6080" s="106">
        <v>-33.450000000000003</v>
      </c>
      <c r="CS6080" s="74">
        <v>-8.58</v>
      </c>
      <c r="CY6080" s="106">
        <v>-26.405000000000001</v>
      </c>
      <c r="DE6080" s="74">
        <v>-35.085000000000001</v>
      </c>
      <c r="DK6080" s="106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106">
        <v>-16.7</v>
      </c>
      <c r="BC6083" s="106">
        <v>-16.425000000000001</v>
      </c>
      <c r="BI6083" s="106">
        <v>-16.43</v>
      </c>
      <c r="BO6083" s="106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106">
        <v>-16.434999999999999</v>
      </c>
      <c r="BO6084" s="106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106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106">
        <v>-16.02</v>
      </c>
      <c r="BC6086" s="106">
        <v>-16.215</v>
      </c>
      <c r="BU6086" s="74">
        <v>-16.335000000000001</v>
      </c>
      <c r="CG6086" s="106">
        <v>-16.11</v>
      </c>
      <c r="CM6086" s="106">
        <v>-25.875</v>
      </c>
      <c r="CY6086" s="106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106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106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106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106">
        <v>65.03</v>
      </c>
      <c r="BC6092" s="106">
        <v>95.394999999999996</v>
      </c>
      <c r="CM6092" s="106">
        <v>98.515000000000001</v>
      </c>
      <c r="CS6092" s="74">
        <v>34.6</v>
      </c>
      <c r="CY6092" s="106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106">
        <v>-62.79</v>
      </c>
      <c r="BO6094" s="106">
        <v>-17.295000000000002</v>
      </c>
      <c r="BR6094" s="115">
        <v>-120.12</v>
      </c>
      <c r="CS6094" s="74">
        <v>-25.95</v>
      </c>
      <c r="CY6094" s="106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106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106">
        <v>-32.604999999999997</v>
      </c>
      <c r="BC6096" s="106">
        <v>-32.604999999999997</v>
      </c>
      <c r="BU6096" s="74">
        <v>-32.484999999999999</v>
      </c>
      <c r="CM6096" s="106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106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106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106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106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386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106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106">
        <v>94.86</v>
      </c>
      <c r="CM6106" s="106">
        <v>82.42</v>
      </c>
      <c r="CS6106" s="74">
        <v>68.05</v>
      </c>
      <c r="CY6106" s="106">
        <v>35.33</v>
      </c>
      <c r="DE6106" s="74">
        <v>34.869999999999997</v>
      </c>
      <c r="DK6106" s="106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106">
        <v>-8.0950000000000006</v>
      </c>
      <c r="BC6107" s="106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106">
        <f>-8.045-8.145</f>
        <v>-16.190000000000001</v>
      </c>
      <c r="BC6108" s="106">
        <v>-7.915</v>
      </c>
      <c r="CS6108" s="74">
        <f>-8.645-8.67</f>
        <v>-17.315000000000001</v>
      </c>
      <c r="CY6108" s="106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106">
        <f>-8.245-8.245-8.245</f>
        <v>-24.734999999999999</v>
      </c>
      <c r="CS6109" s="74">
        <v>-8.6649999999999991</v>
      </c>
      <c r="CY6109" s="106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106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106">
        <v>-8.1850000000000005</v>
      </c>
      <c r="CM6112" s="106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106">
        <v>-8.1150000000000002</v>
      </c>
      <c r="CM6113" s="106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106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106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74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8" si="115">SUM(D6121:JT6121)</f>
        <v>265.5</v>
      </c>
      <c r="BL6121" s="115">
        <v>32.494999999999997</v>
      </c>
      <c r="BR6121" s="115">
        <v>33.57</v>
      </c>
      <c r="BX6121" s="182">
        <v>66.63</v>
      </c>
      <c r="CD6121" s="182">
        <v>66.385000000000005</v>
      </c>
      <c r="CJ6121" s="182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82">
        <v>-16.62</v>
      </c>
      <c r="CD6122" s="182">
        <v>-16.635000000000002</v>
      </c>
      <c r="CJ6122" s="182">
        <v>-16.59</v>
      </c>
      <c r="CM6122" s="106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82">
        <v>-16.670000000000002</v>
      </c>
      <c r="CD6123" s="182">
        <v>-16.594999999999999</v>
      </c>
      <c r="CJ6123" s="182">
        <v>-16.63</v>
      </c>
      <c r="CM6123" s="106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106">
        <v>-8.0850000000000009</v>
      </c>
      <c r="BL6124" s="115">
        <v>-8.1150000000000002</v>
      </c>
      <c r="BR6124" s="115">
        <v>-8.3800000000000008</v>
      </c>
      <c r="BX6124" s="182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92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74">
        <v>-7.16</v>
      </c>
      <c r="AN6126" s="74">
        <v>-8.1300000000000008</v>
      </c>
      <c r="AW6126" s="106">
        <v>-8.0749999999999993</v>
      </c>
      <c r="BL6126" s="115">
        <v>-8.125</v>
      </c>
      <c r="BR6126" s="115">
        <v>-8.36</v>
      </c>
      <c r="CJ6126" s="182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82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82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106">
        <v>105.545</v>
      </c>
      <c r="DE6130" s="74">
        <v>139.38499999999999</v>
      </c>
      <c r="DK6130" s="106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106">
        <v>33.435000000000002</v>
      </c>
      <c r="BC6131" s="106">
        <v>69.155000000000001</v>
      </c>
      <c r="BI6131" s="106">
        <v>68.924999999999997</v>
      </c>
      <c r="BO6131" s="106">
        <f>34.63+35.215</f>
        <v>69.844999999999999</v>
      </c>
      <c r="BU6131" s="74">
        <v>68.69</v>
      </c>
      <c r="CA6131" s="106">
        <v>66.745000000000005</v>
      </c>
      <c r="CG6131" s="106">
        <v>69.745000000000005</v>
      </c>
      <c r="CM6131" s="106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106">
        <f>-8.51-7.93</f>
        <v>-16.440000000000001</v>
      </c>
      <c r="BC6133" s="106">
        <v>-8.58</v>
      </c>
      <c r="BI6133" s="106">
        <f>-8.62-8.595</f>
        <v>-17.215</v>
      </c>
      <c r="BO6133" s="106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106">
        <f>-8.595-8.625</f>
        <v>-17.22</v>
      </c>
      <c r="BU6134" s="74">
        <f>-8.495-9.035</f>
        <v>-17.53</v>
      </c>
      <c r="CA6134" s="106">
        <f>-9.155-8.1</f>
        <v>-17.254999999999999</v>
      </c>
      <c r="CG6134" s="106">
        <v>-8.7100000000000009</v>
      </c>
      <c r="CM6134" s="106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106">
        <v>-8.19</v>
      </c>
      <c r="BC6136" s="106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106">
        <v>-16.995000000000001</v>
      </c>
      <c r="BO6137" s="106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106">
        <v>-8.11</v>
      </c>
      <c r="BC6138" s="106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106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106">
        <v>-25.844999999999999</v>
      </c>
      <c r="CG6140" s="106">
        <v>-34.884999999999998</v>
      </c>
      <c r="CM6140" s="106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106">
        <v>-15.065</v>
      </c>
      <c r="CY6141" s="106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106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74">
        <v>-8.49</v>
      </c>
      <c r="BX6147" s="182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106">
        <v>-8.57</v>
      </c>
      <c r="BO6148" s="106">
        <v>-9.85</v>
      </c>
      <c r="CG6148" s="106">
        <v>-17.405000000000001</v>
      </c>
      <c r="CM6148" s="106">
        <v>-17.38</v>
      </c>
      <c r="CY6148" s="106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106">
        <v>-26.44</v>
      </c>
      <c r="DK6149" s="106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106">
        <v>-8.09</v>
      </c>
      <c r="BC6150" s="106">
        <v>-8.6850000000000005</v>
      </c>
      <c r="CA6150" s="106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106">
        <v>-8.625</v>
      </c>
      <c r="BO6153" s="106">
        <v>-8.52</v>
      </c>
      <c r="CM6153" s="106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106">
        <v>-8.6150000000000002</v>
      </c>
      <c r="BO6154" s="106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386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106">
        <v>34.42</v>
      </c>
      <c r="BO6157" s="106">
        <v>33.869999999999997</v>
      </c>
      <c r="CG6157" s="106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5"/>
        <v>367.52</v>
      </c>
      <c r="AR6158" s="74">
        <v>31.48</v>
      </c>
      <c r="AW6158" s="106">
        <v>33.685000000000002</v>
      </c>
      <c r="BC6158" s="106">
        <v>31.385000000000002</v>
      </c>
      <c r="BI6158" s="106">
        <v>34.56</v>
      </c>
      <c r="CA6158" s="106">
        <v>135.16499999999999</v>
      </c>
      <c r="CM6158" s="106">
        <v>34.909999999999997</v>
      </c>
      <c r="CY6158" s="106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5"/>
        <v>-456.59</v>
      </c>
      <c r="AR6159" s="74">
        <v>-15.715</v>
      </c>
      <c r="AW6159" s="106">
        <v>-33.685000000000002</v>
      </c>
      <c r="BC6159" s="106">
        <v>-31.385000000000002</v>
      </c>
      <c r="BI6159" s="106">
        <v>-34.56</v>
      </c>
      <c r="CA6159" s="106">
        <v>-101.47499999999999</v>
      </c>
      <c r="CM6159" s="106">
        <v>-34.909999999999997</v>
      </c>
      <c r="CS6159" s="74">
        <v>-34.615000000000002</v>
      </c>
      <c r="CY6159" s="106">
        <v>-34.15</v>
      </c>
      <c r="DE6159" s="74">
        <v>-34.880000000000003</v>
      </c>
      <c r="DK6159" s="106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5"/>
        <v>-15.765000000000001</v>
      </c>
      <c r="AR6160" s="74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5"/>
        <v>-43.14</v>
      </c>
      <c r="AN6161" s="74">
        <v>-8.5250000000000004</v>
      </c>
      <c r="BI6161" s="106">
        <v>-8.61</v>
      </c>
      <c r="BO6161" s="106">
        <v>-8.48</v>
      </c>
      <c r="CG6161" s="106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5"/>
        <v>-8.625</v>
      </c>
      <c r="BI6162" s="106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5"/>
        <v>17.274999999999999</v>
      </c>
      <c r="O6163" s="69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5"/>
        <v>-16.93</v>
      </c>
      <c r="AN6164" s="74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5"/>
        <v>-112.515</v>
      </c>
      <c r="CY6165" s="106">
        <v>-8.8049999999999997</v>
      </c>
      <c r="DE6165" s="74">
        <v>-35.075000000000003</v>
      </c>
      <c r="DK6165" s="106">
        <v>-25.91</v>
      </c>
      <c r="DM6165" s="46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5"/>
        <v>-41.44</v>
      </c>
      <c r="O6166" s="69">
        <v>-7.68</v>
      </c>
      <c r="BI6166" s="106">
        <v>-8.6</v>
      </c>
      <c r="BU6166" s="74">
        <v>-8.5</v>
      </c>
      <c r="CG6166" s="106">
        <v>-8.7050000000000001</v>
      </c>
      <c r="CM6166" s="106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5"/>
        <v>-65.795000000000002</v>
      </c>
      <c r="S6167" s="74">
        <v>-13.62</v>
      </c>
      <c r="AN6167" s="74">
        <v>-16.55</v>
      </c>
      <c r="BO6167" s="106">
        <v>-8.42</v>
      </c>
      <c r="CA6167" s="106">
        <v>-9.5649999999999995</v>
      </c>
      <c r="CG6167" s="106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5"/>
        <v>-0.98</v>
      </c>
      <c r="O6168" s="69">
        <v>-0.98</v>
      </c>
    </row>
    <row r="6169" spans="1:131" x14ac:dyDescent="0.25">
      <c r="A6169" s="127">
        <v>46080</v>
      </c>
      <c r="B6169" s="24" t="s">
        <v>224</v>
      </c>
      <c r="C6169" s="21">
        <f t="shared" si="115"/>
        <v>-17.335000000000001</v>
      </c>
      <c r="BU6169" s="74">
        <v>-8.89</v>
      </c>
      <c r="CA6169" s="106">
        <v>-8.4450000000000003</v>
      </c>
    </row>
    <row r="6170" spans="1:131" x14ac:dyDescent="0.25">
      <c r="A6170" s="127">
        <v>46081</v>
      </c>
      <c r="B6170" s="24" t="s">
        <v>302</v>
      </c>
      <c r="C6170" s="21">
        <f t="shared" si="115"/>
        <v>-126.38500000000001</v>
      </c>
      <c r="AW6170" s="106">
        <v>-8.07</v>
      </c>
      <c r="BC6170" s="106">
        <v>-8.6</v>
      </c>
      <c r="BI6170" s="106">
        <v>-17.21</v>
      </c>
      <c r="BO6170" s="106">
        <v>-16.97</v>
      </c>
      <c r="BU6170" s="74">
        <v>-16.745000000000001</v>
      </c>
      <c r="CA6170" s="106">
        <v>-25.245000000000001</v>
      </c>
      <c r="CD6170" s="182">
        <v>-16.579999999999998</v>
      </c>
      <c r="CG6170" s="106">
        <v>-8.7100000000000009</v>
      </c>
      <c r="CM6170" s="106">
        <v>-8.2550000000000008</v>
      </c>
    </row>
    <row r="6171" spans="1:131" x14ac:dyDescent="0.25">
      <c r="A6171" s="127">
        <v>46083</v>
      </c>
      <c r="B6171" s="24" t="s">
        <v>303</v>
      </c>
      <c r="C6171" s="21">
        <f t="shared" si="115"/>
        <v>-33.945</v>
      </c>
      <c r="AR6171" s="74">
        <v>-7.83</v>
      </c>
      <c r="BC6171" s="106">
        <v>-8.61</v>
      </c>
      <c r="BO6171" s="106">
        <v>-8.83</v>
      </c>
      <c r="CM6171" s="106">
        <v>-8.6750000000000007</v>
      </c>
    </row>
    <row r="6172" spans="1:131" x14ac:dyDescent="0.25">
      <c r="A6172" s="127">
        <v>46084</v>
      </c>
      <c r="B6172" s="24" t="s">
        <v>138</v>
      </c>
      <c r="C6172" s="21">
        <f t="shared" si="115"/>
        <v>-17.260000000000002</v>
      </c>
      <c r="CS6172" s="74">
        <v>-17.260000000000002</v>
      </c>
    </row>
    <row r="6173" spans="1:131" x14ac:dyDescent="0.25">
      <c r="A6173" s="127">
        <v>46087</v>
      </c>
      <c r="B6173" s="24" t="s">
        <v>138</v>
      </c>
      <c r="C6173" s="21">
        <f t="shared" si="115"/>
        <v>-8.1300000000000008</v>
      </c>
      <c r="AW6173" s="106">
        <v>-8.1300000000000008</v>
      </c>
    </row>
    <row r="6174" spans="1:131" x14ac:dyDescent="0.25">
      <c r="A6174" s="127">
        <v>46087</v>
      </c>
      <c r="B6174" s="24" t="s">
        <v>225</v>
      </c>
      <c r="C6174" s="21">
        <f t="shared" si="115"/>
        <v>-8.5350000000000001</v>
      </c>
      <c r="Z6174" s="79">
        <v>-8.5350000000000001</v>
      </c>
    </row>
    <row r="6175" spans="1:131" x14ac:dyDescent="0.25">
      <c r="A6175" s="127">
        <v>46087</v>
      </c>
      <c r="B6175" s="24" t="s">
        <v>184</v>
      </c>
      <c r="C6175" s="21">
        <f t="shared" si="115"/>
        <v>-32.465000000000003</v>
      </c>
      <c r="AN6175" s="74">
        <v>-32.465000000000003</v>
      </c>
    </row>
    <row r="6176" spans="1:131" x14ac:dyDescent="0.25">
      <c r="A6176" s="127">
        <v>46087</v>
      </c>
      <c r="B6176" s="24" t="s">
        <v>224</v>
      </c>
      <c r="C6176" s="21">
        <f t="shared" si="115"/>
        <v>-17.28</v>
      </c>
      <c r="AC6176" s="74">
        <v>-8.5500000000000007</v>
      </c>
      <c r="BC6176" s="106">
        <v>-8.73</v>
      </c>
    </row>
    <row r="6177" spans="1:256" x14ac:dyDescent="0.25">
      <c r="A6177" s="127">
        <v>46087</v>
      </c>
      <c r="B6177" s="24" t="s">
        <v>17</v>
      </c>
      <c r="C6177" s="21">
        <f t="shared" si="115"/>
        <v>-50.67</v>
      </c>
      <c r="CY6177" s="106">
        <v>-8.7949999999999999</v>
      </c>
      <c r="DE6177" s="74">
        <v>-17.324999999999999</v>
      </c>
      <c r="DM6177" s="46">
        <v>-24.55</v>
      </c>
    </row>
    <row r="6178" spans="1:256" x14ac:dyDescent="0.25">
      <c r="A6178" s="127">
        <v>46090</v>
      </c>
      <c r="B6178" s="24" t="s">
        <v>48</v>
      </c>
      <c r="C6178" s="21">
        <f t="shared" si="115"/>
        <v>-5.08</v>
      </c>
      <c r="S6178" s="74">
        <v>-5.08</v>
      </c>
    </row>
    <row r="6179" spans="1:256" x14ac:dyDescent="0.25">
      <c r="A6179" s="127">
        <v>46090</v>
      </c>
      <c r="B6179" s="24" t="s">
        <v>115</v>
      </c>
      <c r="C6179" s="21">
        <f t="shared" si="115"/>
        <v>60.664999999999999</v>
      </c>
      <c r="D6179" s="386">
        <v>34.064999999999998</v>
      </c>
      <c r="E6179" s="145">
        <v>26.6</v>
      </c>
    </row>
    <row r="6180" spans="1:256" x14ac:dyDescent="0.25">
      <c r="A6180" s="127">
        <v>46091</v>
      </c>
      <c r="B6180" s="24" t="s">
        <v>202</v>
      </c>
      <c r="C6180" s="21">
        <f t="shared" si="115"/>
        <v>-26.6</v>
      </c>
      <c r="E6180" s="145">
        <v>-26.6</v>
      </c>
    </row>
    <row r="6181" spans="1:256" x14ac:dyDescent="0.25">
      <c r="A6181" s="127">
        <v>46091</v>
      </c>
      <c r="B6181" s="24" t="s">
        <v>115</v>
      </c>
      <c r="C6181" s="21">
        <f t="shared" si="115"/>
        <v>41.86</v>
      </c>
      <c r="E6181" s="145">
        <v>41.86</v>
      </c>
    </row>
    <row r="6182" spans="1:256" x14ac:dyDescent="0.25">
      <c r="A6182" s="127">
        <v>46093</v>
      </c>
      <c r="B6182" s="24" t="s">
        <v>184</v>
      </c>
      <c r="C6182" s="21">
        <f t="shared" si="115"/>
        <v>-64.48</v>
      </c>
      <c r="IV6182" s="378">
        <v>-64.48</v>
      </c>
    </row>
    <row r="6183" spans="1:256" x14ac:dyDescent="0.25">
      <c r="A6183" s="127">
        <v>46094</v>
      </c>
      <c r="B6183" s="24" t="s">
        <v>184</v>
      </c>
      <c r="C6183" s="21">
        <f t="shared" si="115"/>
        <v>-25.745000000000001</v>
      </c>
      <c r="AC6183" s="74">
        <v>-17.22</v>
      </c>
      <c r="AN6183" s="74">
        <v>-8.5250000000000004</v>
      </c>
    </row>
    <row r="6184" spans="1:256" x14ac:dyDescent="0.25">
      <c r="A6184" s="127">
        <v>46094</v>
      </c>
      <c r="B6184" s="24" t="s">
        <v>146</v>
      </c>
      <c r="C6184" s="21">
        <f t="shared" si="115"/>
        <v>101.395</v>
      </c>
      <c r="DO6184" s="375">
        <v>67.569999999999993</v>
      </c>
      <c r="DT6184" s="69">
        <v>33.825000000000003</v>
      </c>
    </row>
    <row r="6185" spans="1:256" x14ac:dyDescent="0.25">
      <c r="A6185" s="127">
        <v>46094</v>
      </c>
      <c r="B6185" s="24" t="s">
        <v>197</v>
      </c>
      <c r="C6185" s="21">
        <f t="shared" si="115"/>
        <v>-118.075</v>
      </c>
      <c r="DO6185" s="375">
        <v>-50.555</v>
      </c>
      <c r="DT6185" s="69">
        <v>-33.825000000000003</v>
      </c>
      <c r="EA6185" s="74">
        <f>-8.29-8.83-8.26-8.315</f>
        <v>-33.695</v>
      </c>
    </row>
    <row r="6186" spans="1:256" x14ac:dyDescent="0.25">
      <c r="A6186" s="127">
        <v>46095</v>
      </c>
      <c r="B6186" s="24" t="s">
        <v>127</v>
      </c>
      <c r="C6186" s="21">
        <f t="shared" si="115"/>
        <v>-17.274999999999999</v>
      </c>
      <c r="CS6186" s="74">
        <v>-17.274999999999999</v>
      </c>
    </row>
    <row r="6187" spans="1:256" x14ac:dyDescent="0.25">
      <c r="A6187" s="127">
        <v>46097</v>
      </c>
      <c r="B6187" s="24" t="s">
        <v>162</v>
      </c>
      <c r="C6187" s="21">
        <f t="shared" si="115"/>
        <v>-8.42</v>
      </c>
      <c r="AN6187" s="74">
        <v>-8.42</v>
      </c>
    </row>
    <row r="6188" spans="1:256" x14ac:dyDescent="0.25">
      <c r="A6188" s="127">
        <v>46097</v>
      </c>
      <c r="B6188" s="24" t="s">
        <v>48</v>
      </c>
      <c r="C6188" s="21">
        <f t="shared" si="115"/>
        <v>-8.49</v>
      </c>
      <c r="DO6188" s="375">
        <v>-8.49</v>
      </c>
    </row>
    <row r="6189" spans="1:256" x14ac:dyDescent="0.25">
      <c r="A6189" s="127">
        <v>46097</v>
      </c>
      <c r="B6189" s="24" t="s">
        <v>48</v>
      </c>
      <c r="C6189" s="21">
        <f t="shared" ref="C6189:C6256" si="116">SUM(D6189:JT6189)</f>
        <v>288.435</v>
      </c>
      <c r="AV6189" s="69">
        <v>16.86</v>
      </c>
      <c r="BB6189" s="69">
        <v>33.744999999999997</v>
      </c>
      <c r="BH6189" s="69">
        <v>50.835000000000001</v>
      </c>
      <c r="BN6189" s="69">
        <v>33.76</v>
      </c>
      <c r="BT6189" s="69">
        <v>34.33</v>
      </c>
      <c r="BZ6189" s="69">
        <v>51</v>
      </c>
      <c r="CF6189" s="69">
        <v>33.784999999999997</v>
      </c>
      <c r="CL6189" s="69">
        <v>17.28</v>
      </c>
      <c r="CR6189" s="69">
        <v>16.84</v>
      </c>
    </row>
    <row r="6190" spans="1:256" x14ac:dyDescent="0.25">
      <c r="A6190" s="127">
        <v>46097</v>
      </c>
      <c r="B6190" s="24" t="s">
        <v>17</v>
      </c>
      <c r="C6190" s="21">
        <f t="shared" si="116"/>
        <v>-42.695</v>
      </c>
      <c r="BH6190" s="69">
        <v>-8.49</v>
      </c>
      <c r="BT6190" s="69">
        <v>-8.59</v>
      </c>
      <c r="BZ6190" s="69">
        <v>-8.5399999999999991</v>
      </c>
      <c r="CF6190" s="69">
        <v>-8.44</v>
      </c>
      <c r="CL6190" s="69">
        <v>-8.6349999999999998</v>
      </c>
    </row>
    <row r="6191" spans="1:256" x14ac:dyDescent="0.25">
      <c r="A6191" s="127">
        <v>46097</v>
      </c>
      <c r="B6191" s="24" t="s">
        <v>213</v>
      </c>
      <c r="C6191" s="21">
        <f t="shared" si="116"/>
        <v>-68.290000000000006</v>
      </c>
      <c r="BT6191" s="69">
        <v>-17.170000000000002</v>
      </c>
      <c r="BZ6191" s="69">
        <v>-34.215000000000003</v>
      </c>
      <c r="CF6191" s="69">
        <v>-16.905000000000001</v>
      </c>
    </row>
    <row r="6192" spans="1:256" x14ac:dyDescent="0.25">
      <c r="A6192" s="127">
        <v>46097</v>
      </c>
      <c r="B6192" s="24" t="s">
        <v>213</v>
      </c>
      <c r="C6192" s="21">
        <f>SUM(D6192:JT6192)</f>
        <v>-67.599999999999994</v>
      </c>
      <c r="BB6192" s="69">
        <v>-33.744999999999997</v>
      </c>
      <c r="BH6192" s="69">
        <v>-33.854999999999997</v>
      </c>
    </row>
    <row r="6193" spans="1:224" x14ac:dyDescent="0.25">
      <c r="A6193" s="127">
        <v>46097</v>
      </c>
      <c r="B6193" s="24" t="s">
        <v>218</v>
      </c>
      <c r="C6193" s="21">
        <f>SUM(D6193:JT6193)</f>
        <v>-33.835000000000001</v>
      </c>
      <c r="AV6193" s="69">
        <v>-8.4149999999999991</v>
      </c>
      <c r="BZ6193" s="69">
        <v>-8.2449999999999992</v>
      </c>
      <c r="CR6193" s="69">
        <v>-8.42</v>
      </c>
      <c r="DE6193" s="74">
        <v>-8.7550000000000008</v>
      </c>
    </row>
    <row r="6194" spans="1:224" x14ac:dyDescent="0.25">
      <c r="A6194" s="127">
        <v>46098</v>
      </c>
      <c r="B6194" s="24" t="s">
        <v>33</v>
      </c>
      <c r="C6194" s="21">
        <f>SUM(D6194:JT6194)</f>
        <v>-17.035</v>
      </c>
      <c r="BN6194" s="69">
        <v>-8.4649999999999999</v>
      </c>
      <c r="BT6194" s="69">
        <v>-8.57</v>
      </c>
    </row>
    <row r="6195" spans="1:224" x14ac:dyDescent="0.25">
      <c r="A6195" s="127">
        <v>46098</v>
      </c>
      <c r="B6195" s="24" t="s">
        <v>224</v>
      </c>
      <c r="C6195" s="21">
        <f>SUM(D6195:JT6195)</f>
        <v>-25.375</v>
      </c>
      <c r="AV6195" s="69">
        <v>-8.4450000000000003</v>
      </c>
      <c r="BH6195" s="69">
        <v>-8.49</v>
      </c>
      <c r="CF6195" s="69">
        <v>-8.44</v>
      </c>
    </row>
    <row r="6196" spans="1:224" x14ac:dyDescent="0.25">
      <c r="A6196" s="127">
        <v>46099</v>
      </c>
      <c r="B6196" s="24" t="s">
        <v>75</v>
      </c>
      <c r="C6196" s="21">
        <f t="shared" ref="C6196:C6197" si="117">SUM(D6196:JT6196)</f>
        <v>-8.4250000000000007</v>
      </c>
      <c r="BN6196" s="69">
        <v>-8.4250000000000007</v>
      </c>
    </row>
    <row r="6197" spans="1:224" x14ac:dyDescent="0.25">
      <c r="A6197" s="127">
        <v>46099</v>
      </c>
      <c r="B6197" s="24" t="s">
        <v>225</v>
      </c>
      <c r="C6197" s="21">
        <f t="shared" si="117"/>
        <v>-16.87</v>
      </c>
      <c r="BN6197" s="69">
        <v>-16.87</v>
      </c>
    </row>
    <row r="6198" spans="1:224" x14ac:dyDescent="0.25">
      <c r="A6198" s="127">
        <v>46105</v>
      </c>
      <c r="B6198" s="24" t="s">
        <v>115</v>
      </c>
      <c r="C6198" s="21">
        <f t="shared" si="116"/>
        <v>-281.01499999999999</v>
      </c>
      <c r="EG6198" s="74">
        <v>-281.01499999999999</v>
      </c>
    </row>
    <row r="6199" spans="1:224" x14ac:dyDescent="0.25">
      <c r="A6199" s="127">
        <v>46105</v>
      </c>
      <c r="B6199" s="24" t="s">
        <v>115</v>
      </c>
      <c r="C6199" s="21">
        <f t="shared" si="116"/>
        <v>443.34500000000003</v>
      </c>
      <c r="AZ6199" s="115">
        <v>33.86</v>
      </c>
      <c r="BF6199" s="115">
        <v>34.534999999999997</v>
      </c>
      <c r="BL6199" s="115">
        <v>69.34</v>
      </c>
      <c r="BR6199" s="115">
        <v>68.204999999999998</v>
      </c>
      <c r="BX6199" s="182">
        <v>69.844999999999999</v>
      </c>
      <c r="CD6199" s="182">
        <v>66.625</v>
      </c>
      <c r="CJ6199" s="182">
        <v>67.444999999999993</v>
      </c>
      <c r="CP6199" s="115">
        <v>33.49</v>
      </c>
    </row>
    <row r="6200" spans="1:224" x14ac:dyDescent="0.25">
      <c r="A6200" s="127">
        <v>46106</v>
      </c>
      <c r="B6200" s="24" t="s">
        <v>202</v>
      </c>
      <c r="C6200" s="21">
        <f t="shared" si="116"/>
        <v>-25.23</v>
      </c>
      <c r="D6200" s="386">
        <v>-8.39</v>
      </c>
      <c r="E6200" s="145">
        <v>-16.84</v>
      </c>
    </row>
    <row r="6201" spans="1:224" x14ac:dyDescent="0.25">
      <c r="A6201" s="127">
        <v>46106</v>
      </c>
      <c r="B6201" s="24" t="s">
        <v>169</v>
      </c>
      <c r="C6201" s="21">
        <f t="shared" si="116"/>
        <v>-25.02</v>
      </c>
      <c r="E6201" s="145">
        <v>-25.02</v>
      </c>
    </row>
    <row r="6202" spans="1:224" x14ac:dyDescent="0.25">
      <c r="A6202" s="127">
        <v>46106</v>
      </c>
      <c r="B6202" s="24" t="s">
        <v>37</v>
      </c>
      <c r="C6202" s="21">
        <f t="shared" si="116"/>
        <v>-109.995</v>
      </c>
      <c r="HF6202" s="92">
        <v>-58.564999999999998</v>
      </c>
      <c r="HP6202" s="92">
        <v>-51.43</v>
      </c>
    </row>
    <row r="6203" spans="1:224" x14ac:dyDescent="0.25">
      <c r="A6203" s="127">
        <v>46106</v>
      </c>
      <c r="B6203" s="24" t="s">
        <v>138</v>
      </c>
      <c r="C6203" s="21">
        <f t="shared" si="116"/>
        <v>-34.380000000000003</v>
      </c>
      <c r="BL6203" s="115">
        <v>-8.6950000000000003</v>
      </c>
      <c r="BR6203" s="115">
        <v>-8.6</v>
      </c>
      <c r="BX6203" s="182">
        <v>-8.44</v>
      </c>
      <c r="CS6203" s="74">
        <v>-8.6449999999999996</v>
      </c>
    </row>
    <row r="6204" spans="1:224" x14ac:dyDescent="0.25">
      <c r="A6204" s="127">
        <v>46106</v>
      </c>
      <c r="B6204" s="24" t="s">
        <v>224</v>
      </c>
      <c r="C6204" s="21">
        <f t="shared" si="116"/>
        <v>-33.994999999999997</v>
      </c>
      <c r="AZ6204" s="115">
        <v>-8.4149999999999991</v>
      </c>
      <c r="BF6204" s="115">
        <v>-8.5950000000000006</v>
      </c>
      <c r="CD6204" s="182">
        <v>-8.34</v>
      </c>
      <c r="CS6204" s="74">
        <v>-8.6449999999999996</v>
      </c>
    </row>
    <row r="6205" spans="1:224" x14ac:dyDescent="0.25">
      <c r="A6205" s="127">
        <v>46106</v>
      </c>
      <c r="B6205" s="24" t="s">
        <v>33</v>
      </c>
      <c r="C6205" s="21">
        <f t="shared" si="116"/>
        <v>-17.2</v>
      </c>
      <c r="AZ6205" s="115">
        <v>-8.4450000000000003</v>
      </c>
      <c r="BF6205" s="115">
        <v>-8.7550000000000008</v>
      </c>
    </row>
    <row r="6206" spans="1:224" x14ac:dyDescent="0.25">
      <c r="A6206" s="127">
        <v>46106</v>
      </c>
      <c r="B6206" s="24" t="s">
        <v>33</v>
      </c>
      <c r="C6206" s="21">
        <f t="shared" si="116"/>
        <v>-8.64</v>
      </c>
      <c r="BL6206" s="115">
        <v>-8.64</v>
      </c>
    </row>
    <row r="6207" spans="1:224" x14ac:dyDescent="0.25">
      <c r="A6207" s="127">
        <v>46106</v>
      </c>
      <c r="B6207" s="24" t="s">
        <v>225</v>
      </c>
      <c r="C6207" s="21">
        <f t="shared" si="116"/>
        <v>-25.57</v>
      </c>
      <c r="BF6207" s="115">
        <v>-8.6199999999999992</v>
      </c>
      <c r="BL6207" s="115">
        <v>-8.6850000000000005</v>
      </c>
      <c r="BX6207" s="182">
        <v>-8.2650000000000006</v>
      </c>
    </row>
    <row r="6208" spans="1:224" x14ac:dyDescent="0.25">
      <c r="A6208" s="127">
        <v>46106</v>
      </c>
      <c r="B6208" s="24" t="s">
        <v>197</v>
      </c>
      <c r="C6208" s="21">
        <f t="shared" si="116"/>
        <v>-84.48</v>
      </c>
      <c r="BL6208" s="115">
        <v>-17.274999999999999</v>
      </c>
      <c r="BR6208" s="115">
        <v>-16.86</v>
      </c>
      <c r="CD6208" s="182">
        <v>-8.31</v>
      </c>
      <c r="CJ6208" s="182">
        <v>-16.824999999999999</v>
      </c>
      <c r="CP6208" s="115">
        <v>-16.79</v>
      </c>
      <c r="CR6208" s="69">
        <v>-8.42</v>
      </c>
    </row>
    <row r="6209" spans="1:249" x14ac:dyDescent="0.25">
      <c r="A6209" s="127">
        <v>46107</v>
      </c>
      <c r="B6209" s="24" t="s">
        <v>48</v>
      </c>
      <c r="C6209" s="21">
        <f t="shared" si="116"/>
        <v>-8.4649999999999999</v>
      </c>
      <c r="HF6209" s="92">
        <v>-8.4649999999999999</v>
      </c>
    </row>
    <row r="6210" spans="1:249" x14ac:dyDescent="0.25">
      <c r="A6210" s="127">
        <v>46107</v>
      </c>
      <c r="B6210" s="24" t="s">
        <v>192</v>
      </c>
      <c r="C6210" s="21">
        <f t="shared" si="116"/>
        <v>-2.4</v>
      </c>
      <c r="EG6210" s="74">
        <v>-2.4</v>
      </c>
    </row>
    <row r="6211" spans="1:249" x14ac:dyDescent="0.25">
      <c r="A6211" s="127">
        <v>46108</v>
      </c>
      <c r="B6211" s="24" t="s">
        <v>24</v>
      </c>
      <c r="C6211" s="21">
        <f t="shared" si="116"/>
        <v>-42.54</v>
      </c>
      <c r="AZ6211" s="115">
        <v>-8.5549999999999997</v>
      </c>
      <c r="BF6211" s="115">
        <v>-8.5649999999999995</v>
      </c>
      <c r="BR6211" s="115">
        <v>-8.3800000000000008</v>
      </c>
      <c r="CD6211" s="182">
        <v>-8.31</v>
      </c>
      <c r="DE6211" s="74">
        <v>-8.73</v>
      </c>
    </row>
    <row r="6212" spans="1:249" x14ac:dyDescent="0.25">
      <c r="A6212" s="127">
        <v>46108</v>
      </c>
      <c r="B6212" s="24" t="s">
        <v>213</v>
      </c>
      <c r="C6212" s="21">
        <f t="shared" si="116"/>
        <v>-34.234999999999999</v>
      </c>
      <c r="BL6212" s="115">
        <v>-17.34</v>
      </c>
      <c r="CJ6212" s="182">
        <v>-16.895</v>
      </c>
    </row>
    <row r="6213" spans="1:249" x14ac:dyDescent="0.25">
      <c r="A6213" s="127">
        <v>46109</v>
      </c>
      <c r="B6213" s="24" t="s">
        <v>213</v>
      </c>
      <c r="C6213" s="21">
        <f t="shared" si="116"/>
        <v>-35.56</v>
      </c>
      <c r="BL6213" s="115">
        <v>-8.7050000000000001</v>
      </c>
      <c r="BR6213" s="115">
        <v>-8.61</v>
      </c>
      <c r="BX6213" s="182">
        <v>-9.8849999999999998</v>
      </c>
      <c r="CD6213" s="182">
        <v>-8.36</v>
      </c>
    </row>
    <row r="6214" spans="1:249" x14ac:dyDescent="0.25">
      <c r="A6214" s="127">
        <v>46111</v>
      </c>
      <c r="B6214" s="24" t="s">
        <v>48</v>
      </c>
      <c r="C6214" s="21">
        <f t="shared" si="116"/>
        <v>-8.64</v>
      </c>
      <c r="CS6214" s="74">
        <v>-8.64</v>
      </c>
    </row>
    <row r="6215" spans="1:249" x14ac:dyDescent="0.25">
      <c r="A6215" s="127">
        <v>46111</v>
      </c>
      <c r="B6215" s="24" t="s">
        <v>58</v>
      </c>
      <c r="C6215" s="21">
        <f t="shared" si="116"/>
        <v>-8.36</v>
      </c>
      <c r="CP6215" s="115">
        <v>-8.36</v>
      </c>
    </row>
    <row r="6216" spans="1:249" x14ac:dyDescent="0.25">
      <c r="A6216" s="127">
        <v>46111</v>
      </c>
      <c r="B6216" s="24" t="s">
        <v>44</v>
      </c>
      <c r="C6216" s="21">
        <f t="shared" si="116"/>
        <v>-56.305</v>
      </c>
      <c r="BR6216" s="115">
        <v>-25.754999999999999</v>
      </c>
      <c r="BU6216" s="74">
        <v>22.21</v>
      </c>
      <c r="IO6216" s="182">
        <v>-52.76</v>
      </c>
    </row>
    <row r="6217" spans="1:249" x14ac:dyDescent="0.25">
      <c r="A6217" s="127">
        <v>46111</v>
      </c>
      <c r="B6217" s="24" t="s">
        <v>193</v>
      </c>
      <c r="C6217" s="21">
        <f t="shared" si="116"/>
        <v>-8.34</v>
      </c>
      <c r="CP6217" s="115">
        <v>-8.34</v>
      </c>
    </row>
    <row r="6218" spans="1:249" x14ac:dyDescent="0.25">
      <c r="A6218" s="127">
        <v>46111</v>
      </c>
      <c r="B6218" s="24" t="s">
        <v>171</v>
      </c>
      <c r="C6218" s="21">
        <f t="shared" si="116"/>
        <v>-17</v>
      </c>
      <c r="BX6218" s="182">
        <v>-8.6449999999999996</v>
      </c>
      <c r="CD6218" s="182">
        <v>-8.3550000000000004</v>
      </c>
    </row>
    <row r="6219" spans="1:249" x14ac:dyDescent="0.25">
      <c r="A6219" s="127">
        <v>46111</v>
      </c>
      <c r="B6219" s="24" t="s">
        <v>138</v>
      </c>
      <c r="C6219" s="21">
        <f t="shared" si="116"/>
        <v>-8.1449999999999996</v>
      </c>
      <c r="BU6219" s="74">
        <v>-8.1449999999999996</v>
      </c>
    </row>
    <row r="6220" spans="1:249" x14ac:dyDescent="0.25">
      <c r="A6220" s="127">
        <v>46111</v>
      </c>
      <c r="B6220" s="24" t="s">
        <v>138</v>
      </c>
      <c r="C6220" s="21">
        <f t="shared" si="116"/>
        <v>-16.864999999999998</v>
      </c>
      <c r="Z6220" s="79">
        <v>-8.5449999999999999</v>
      </c>
      <c r="CD6220" s="182">
        <v>-8.32</v>
      </c>
    </row>
    <row r="6221" spans="1:249" x14ac:dyDescent="0.25">
      <c r="A6221" s="127">
        <v>46112</v>
      </c>
      <c r="B6221" s="24" t="s">
        <v>184</v>
      </c>
      <c r="C6221" s="21">
        <f t="shared" si="116"/>
        <v>-301.47000000000003</v>
      </c>
      <c r="O6221" s="69">
        <v>-7.0449999999999999</v>
      </c>
      <c r="Z6221" s="79">
        <v>-85.46</v>
      </c>
      <c r="AC6221" s="74">
        <v>-7.93</v>
      </c>
      <c r="AG6221" s="74">
        <v>-24.285</v>
      </c>
      <c r="AN6221" s="74">
        <v>-8.4450000000000003</v>
      </c>
      <c r="AR6221" s="74">
        <v>-15.715</v>
      </c>
      <c r="BI6221" s="106">
        <v>-16.989999999999998</v>
      </c>
      <c r="BO6221" s="106">
        <v>-16.344999999999999</v>
      </c>
      <c r="BU6221" s="74">
        <v>-17.945</v>
      </c>
      <c r="CA6221" s="106">
        <v>-17.765000000000001</v>
      </c>
      <c r="CG6221" s="106">
        <v>-22.9</v>
      </c>
      <c r="CS6221" s="74">
        <v>-25.96</v>
      </c>
      <c r="DK6221" s="106">
        <v>-34.685000000000002</v>
      </c>
    </row>
    <row r="6222" spans="1:249" x14ac:dyDescent="0.25">
      <c r="A6222" s="127">
        <v>46113</v>
      </c>
      <c r="B6222" s="24" t="s">
        <v>115</v>
      </c>
      <c r="C6222" s="21">
        <f t="shared" si="116"/>
        <v>33.630000000000003</v>
      </c>
      <c r="E6222" s="145">
        <v>33.630000000000003</v>
      </c>
    </row>
    <row r="6223" spans="1:249" x14ac:dyDescent="0.25">
      <c r="A6223" s="127">
        <v>46113</v>
      </c>
      <c r="B6223" s="24" t="s">
        <v>113</v>
      </c>
      <c r="C6223" s="21">
        <f t="shared" si="116"/>
        <v>945.89499999999998</v>
      </c>
      <c r="Z6223" s="79">
        <f>59.88+40.035</f>
        <v>99.915000000000006</v>
      </c>
      <c r="AC6223" s="74">
        <v>61.685000000000002</v>
      </c>
      <c r="AG6223" s="74">
        <v>64.94</v>
      </c>
      <c r="AN6223" s="74">
        <f>59.695+40.2</f>
        <v>99.894999999999996</v>
      </c>
      <c r="AR6223" s="74">
        <v>31.605</v>
      </c>
      <c r="CS6223" s="74">
        <f>34.575+69.145</f>
        <v>103.72</v>
      </c>
      <c r="CY6223" s="106">
        <v>70.760000000000005</v>
      </c>
      <c r="DE6223" s="74">
        <f>138.09+35.59</f>
        <v>173.68</v>
      </c>
      <c r="DK6223" s="106">
        <f>60.7+42.47</f>
        <v>103.17</v>
      </c>
      <c r="EA6223" s="74">
        <f>101.43+35.095</f>
        <v>136.52500000000001</v>
      </c>
    </row>
    <row r="6224" spans="1:249" x14ac:dyDescent="0.25">
      <c r="A6224" s="127">
        <v>46113</v>
      </c>
      <c r="B6224" s="24" t="s">
        <v>113</v>
      </c>
      <c r="C6224" s="21">
        <f t="shared" si="116"/>
        <v>168.96</v>
      </c>
      <c r="BI6224" s="106">
        <v>34.159999999999997</v>
      </c>
      <c r="BO6224" s="106">
        <v>33.134999999999998</v>
      </c>
      <c r="BU6224" s="74">
        <v>35.18</v>
      </c>
      <c r="CA6224" s="106">
        <v>35.51</v>
      </c>
      <c r="CG6224" s="106">
        <v>30.975000000000001</v>
      </c>
    </row>
    <row r="6225" spans="1:193" x14ac:dyDescent="0.25">
      <c r="A6225" s="127">
        <v>46113</v>
      </c>
      <c r="B6225" s="24" t="s">
        <v>213</v>
      </c>
      <c r="C6225" s="21">
        <f t="shared" si="116"/>
        <v>-68.644999999999996</v>
      </c>
      <c r="AR6225" s="74">
        <v>-7.95</v>
      </c>
      <c r="BI6225" s="106">
        <v>-8.59</v>
      </c>
      <c r="BO6225" s="106">
        <v>-8.43</v>
      </c>
      <c r="BU6225" s="74">
        <v>-17.234999999999999</v>
      </c>
      <c r="CA6225" s="106">
        <v>-17.445</v>
      </c>
      <c r="CS6225" s="74">
        <v>-8.9949999999999992</v>
      </c>
    </row>
    <row r="6226" spans="1:193" x14ac:dyDescent="0.25">
      <c r="A6226" s="127">
        <v>46113</v>
      </c>
      <c r="B6226" s="24" t="s">
        <v>152</v>
      </c>
      <c r="C6226" s="21">
        <f t="shared" si="116"/>
        <v>-311.01</v>
      </c>
      <c r="CS6226" s="74">
        <v>-68.765000000000001</v>
      </c>
      <c r="CY6226" s="106">
        <v>-70.760000000000005</v>
      </c>
      <c r="DE6226" s="74">
        <v>-67.674999999999997</v>
      </c>
      <c r="EA6226" s="74">
        <v>-103.81</v>
      </c>
    </row>
    <row r="6227" spans="1:193" x14ac:dyDescent="0.25">
      <c r="A6227" s="127">
        <v>46113</v>
      </c>
      <c r="B6227" s="24" t="s">
        <v>20</v>
      </c>
      <c r="C6227" s="21">
        <f t="shared" si="116"/>
        <v>-25.055</v>
      </c>
      <c r="AG6227" s="74">
        <v>-8.1649999999999991</v>
      </c>
      <c r="BI6227" s="106">
        <v>-8.58</v>
      </c>
      <c r="CD6227" s="182">
        <v>-8.31</v>
      </c>
    </row>
    <row r="6228" spans="1:193" x14ac:dyDescent="0.25">
      <c r="A6228" s="127">
        <v>46113</v>
      </c>
      <c r="B6228" s="24" t="s">
        <v>193</v>
      </c>
      <c r="C6228" s="21">
        <f t="shared" si="116"/>
        <v>-17.28</v>
      </c>
      <c r="CL6228" s="69">
        <v>-8.6449999999999996</v>
      </c>
      <c r="CS6228" s="74">
        <v>-8.6349999999999998</v>
      </c>
    </row>
    <row r="6229" spans="1:193" x14ac:dyDescent="0.25">
      <c r="A6229" s="127">
        <v>46113</v>
      </c>
      <c r="B6229" s="24" t="s">
        <v>39</v>
      </c>
      <c r="C6229" s="21">
        <f t="shared" si="116"/>
        <v>-25.885000000000002</v>
      </c>
      <c r="BO6229" s="106">
        <v>-8.36</v>
      </c>
      <c r="BX6229" s="182">
        <v>-8.8699999999999992</v>
      </c>
      <c r="CS6229" s="74">
        <v>-8.6549999999999994</v>
      </c>
    </row>
    <row r="6230" spans="1:193" x14ac:dyDescent="0.25">
      <c r="A6230" s="127">
        <v>46114</v>
      </c>
      <c r="B6230" s="24" t="s">
        <v>202</v>
      </c>
      <c r="C6230" s="21">
        <f t="shared" si="116"/>
        <v>-16.82</v>
      </c>
      <c r="E6230" s="145">
        <v>-16.82</v>
      </c>
    </row>
    <row r="6231" spans="1:193" x14ac:dyDescent="0.25">
      <c r="A6231" s="127">
        <v>46114</v>
      </c>
      <c r="B6231" s="24" t="s">
        <v>197</v>
      </c>
      <c r="C6231" s="21">
        <f t="shared" si="116"/>
        <v>-119.22499999999999</v>
      </c>
      <c r="O6231" s="69">
        <v>-1.57</v>
      </c>
      <c r="CG6231" s="106">
        <v>-8.0749999999999993</v>
      </c>
      <c r="EA6231" s="74">
        <v>-41.094999999999999</v>
      </c>
      <c r="EG6231" s="74">
        <v>-68.484999999999999</v>
      </c>
    </row>
    <row r="6232" spans="1:193" x14ac:dyDescent="0.25">
      <c r="A6232" s="127">
        <v>46114</v>
      </c>
      <c r="B6232" s="24" t="s">
        <v>127</v>
      </c>
      <c r="C6232" s="21">
        <f t="shared" si="116"/>
        <v>-16.885000000000002</v>
      </c>
      <c r="AZ6232" s="115">
        <v>-8.4450000000000003</v>
      </c>
      <c r="CJ6232" s="182">
        <v>-8.44</v>
      </c>
    </row>
    <row r="6233" spans="1:193" x14ac:dyDescent="0.25">
      <c r="A6233" s="127">
        <v>46114</v>
      </c>
      <c r="B6233" s="24" t="s">
        <v>169</v>
      </c>
      <c r="C6233" s="21">
        <f t="shared" si="116"/>
        <v>-16.809999999999999</v>
      </c>
      <c r="E6233" s="145">
        <v>-16.809999999999999</v>
      </c>
    </row>
    <row r="6234" spans="1:193" x14ac:dyDescent="0.25">
      <c r="A6234" s="127">
        <v>46114</v>
      </c>
      <c r="B6234" s="24" t="s">
        <v>218</v>
      </c>
      <c r="C6234" s="21">
        <f t="shared" si="116"/>
        <v>-31.01</v>
      </c>
      <c r="AG6234" s="74">
        <v>-8.1300000000000008</v>
      </c>
      <c r="AN6234" s="74">
        <v>-8.52</v>
      </c>
      <c r="BU6234" s="74">
        <v>-5.92</v>
      </c>
      <c r="CJ6234" s="182">
        <v>-8.44</v>
      </c>
    </row>
    <row r="6235" spans="1:193" x14ac:dyDescent="0.25">
      <c r="A6235" s="127">
        <v>46114</v>
      </c>
      <c r="B6235" s="24" t="s">
        <v>133</v>
      </c>
      <c r="C6235" s="21">
        <f t="shared" si="116"/>
        <v>-85.68</v>
      </c>
      <c r="AC6235" s="74">
        <v>-15.19</v>
      </c>
      <c r="DE6235" s="74">
        <f>-35.75-34.74</f>
        <v>-70.489999999999995</v>
      </c>
    </row>
    <row r="6236" spans="1:193" x14ac:dyDescent="0.25">
      <c r="A6236" s="127">
        <v>46115</v>
      </c>
      <c r="B6236" s="24" t="s">
        <v>138</v>
      </c>
      <c r="C6236" s="21">
        <f t="shared" si="116"/>
        <v>-8.15</v>
      </c>
      <c r="AG6236" s="74">
        <v>-8.15</v>
      </c>
    </row>
    <row r="6237" spans="1:193" x14ac:dyDescent="0.25">
      <c r="A6237" s="127">
        <v>46116</v>
      </c>
      <c r="B6237" s="24" t="s">
        <v>50</v>
      </c>
      <c r="C6237" s="21">
        <f t="shared" si="116"/>
        <v>-22.645</v>
      </c>
      <c r="GK6237" s="79">
        <v>-22.645</v>
      </c>
    </row>
    <row r="6238" spans="1:193" x14ac:dyDescent="0.25">
      <c r="A6238" s="127">
        <v>46116</v>
      </c>
      <c r="B6238" s="24" t="s">
        <v>113</v>
      </c>
      <c r="C6238" s="21">
        <f t="shared" si="116"/>
        <v>266.935</v>
      </c>
      <c r="BC6238" s="106">
        <v>34.905000000000001</v>
      </c>
      <c r="BI6238" s="106">
        <v>35.475000000000001</v>
      </c>
      <c r="BO6238" s="106">
        <v>33.4</v>
      </c>
      <c r="BU6238" s="74">
        <v>33.034999999999997</v>
      </c>
      <c r="CA6238" s="106">
        <v>32.024999999999999</v>
      </c>
      <c r="CG6238" s="106">
        <v>64.3</v>
      </c>
      <c r="DE6238" s="74">
        <v>33.795000000000002</v>
      </c>
    </row>
    <row r="6239" spans="1:193" x14ac:dyDescent="0.25">
      <c r="A6239" s="127">
        <v>46116</v>
      </c>
      <c r="B6239" s="24" t="s">
        <v>133</v>
      </c>
      <c r="C6239" s="21">
        <f t="shared" si="116"/>
        <v>-227.16</v>
      </c>
      <c r="BC6239" s="106">
        <v>-34.905000000000001</v>
      </c>
      <c r="BI6239" s="106">
        <v>-35.475000000000001</v>
      </c>
      <c r="BO6239" s="106">
        <v>-33.4</v>
      </c>
      <c r="BU6239" s="74">
        <v>-33.034999999999997</v>
      </c>
      <c r="CA6239" s="106">
        <v>-24.445</v>
      </c>
      <c r="CG6239" s="106">
        <v>-32.104999999999997</v>
      </c>
      <c r="DE6239" s="74">
        <v>-33.795000000000002</v>
      </c>
    </row>
    <row r="6240" spans="1:193" x14ac:dyDescent="0.25">
      <c r="A6240" s="127">
        <v>46116</v>
      </c>
      <c r="B6240" s="24" t="s">
        <v>213</v>
      </c>
      <c r="C6240" s="21">
        <f t="shared" si="116"/>
        <v>-31.965</v>
      </c>
      <c r="CA6240" s="106">
        <v>-7.58</v>
      </c>
      <c r="CD6240" s="182">
        <v>-8.32</v>
      </c>
      <c r="CG6240" s="106">
        <f>-8.03-8.035</f>
        <v>-16.065000000000001</v>
      </c>
    </row>
    <row r="6241" spans="1:137" x14ac:dyDescent="0.25">
      <c r="A6241" s="127">
        <v>46118</v>
      </c>
      <c r="B6241" s="24" t="s">
        <v>184</v>
      </c>
      <c r="C6241" s="21">
        <f t="shared" si="116"/>
        <v>-158.91999999999999</v>
      </c>
      <c r="CG6241" s="106">
        <v>-16.13</v>
      </c>
      <c r="DE6241" s="74">
        <v>-18.18</v>
      </c>
      <c r="DK6241" s="106">
        <v>-17.355</v>
      </c>
      <c r="DP6241" s="74">
        <v>-8.8049999999999997</v>
      </c>
      <c r="EG6241" s="74">
        <v>-98.45</v>
      </c>
    </row>
    <row r="6242" spans="1:137" x14ac:dyDescent="0.25">
      <c r="A6242" s="127">
        <v>46118</v>
      </c>
      <c r="B6242" s="24" t="s">
        <v>24</v>
      </c>
      <c r="C6242" s="21">
        <f t="shared" si="116"/>
        <v>-16.61</v>
      </c>
      <c r="BU6242" s="74">
        <v>-8.1449999999999996</v>
      </c>
      <c r="CJ6242" s="182">
        <v>-8.4649999999999999</v>
      </c>
    </row>
    <row r="6243" spans="1:137" x14ac:dyDescent="0.25">
      <c r="A6243" s="127">
        <v>46118</v>
      </c>
      <c r="B6243" s="24" t="s">
        <v>133</v>
      </c>
      <c r="C6243" s="21">
        <f t="shared" si="116"/>
        <v>-24.79</v>
      </c>
      <c r="CJ6243" s="182">
        <v>-8.3800000000000008</v>
      </c>
      <c r="DK6243" s="106">
        <v>-16.41</v>
      </c>
    </row>
    <row r="6244" spans="1:137" x14ac:dyDescent="0.25">
      <c r="C6244" s="21">
        <f t="shared" si="116"/>
        <v>0</v>
      </c>
    </row>
    <row r="6245" spans="1:137" x14ac:dyDescent="0.25">
      <c r="C6245" s="21">
        <f t="shared" si="116"/>
        <v>0</v>
      </c>
    </row>
    <row r="6246" spans="1:137" x14ac:dyDescent="0.25">
      <c r="C6246" s="21">
        <f t="shared" si="116"/>
        <v>0</v>
      </c>
    </row>
    <row r="6247" spans="1:137" x14ac:dyDescent="0.25">
      <c r="C6247" s="21">
        <f t="shared" si="116"/>
        <v>0</v>
      </c>
    </row>
    <row r="6248" spans="1:137" x14ac:dyDescent="0.25">
      <c r="C6248" s="21">
        <f t="shared" si="116"/>
        <v>0</v>
      </c>
    </row>
    <row r="6249" spans="1:137" x14ac:dyDescent="0.25">
      <c r="C6249" s="21">
        <f t="shared" si="116"/>
        <v>0</v>
      </c>
    </row>
    <row r="6250" spans="1:137" x14ac:dyDescent="0.25">
      <c r="C6250" s="21">
        <f t="shared" si="116"/>
        <v>0</v>
      </c>
    </row>
    <row r="6251" spans="1:137" x14ac:dyDescent="0.25">
      <c r="C6251" s="21">
        <f t="shared" si="116"/>
        <v>0</v>
      </c>
    </row>
    <row r="6252" spans="1:137" x14ac:dyDescent="0.25">
      <c r="C6252" s="21">
        <f t="shared" si="116"/>
        <v>0</v>
      </c>
    </row>
    <row r="6253" spans="1:137" x14ac:dyDescent="0.25">
      <c r="C6253" s="21">
        <f t="shared" si="116"/>
        <v>0</v>
      </c>
    </row>
    <row r="6254" spans="1:137" x14ac:dyDescent="0.25">
      <c r="C6254" s="21">
        <f t="shared" si="116"/>
        <v>0</v>
      </c>
    </row>
    <row r="6255" spans="1:137" x14ac:dyDescent="0.25">
      <c r="C6255" s="21">
        <f t="shared" si="116"/>
        <v>0</v>
      </c>
    </row>
    <row r="6256" spans="1:137" x14ac:dyDescent="0.25">
      <c r="C6256" s="21">
        <f t="shared" si="116"/>
        <v>0</v>
      </c>
    </row>
    <row r="6257" spans="3:3" x14ac:dyDescent="0.25">
      <c r="C6257" s="21">
        <f t="shared" ref="C6257:C6320" si="118">SUM(D6257:JT6257)</f>
        <v>0</v>
      </c>
    </row>
    <row r="6258" spans="3:3" x14ac:dyDescent="0.25">
      <c r="C6258" s="21">
        <f t="shared" si="118"/>
        <v>0</v>
      </c>
    </row>
    <row r="6259" spans="3:3" x14ac:dyDescent="0.25">
      <c r="C6259" s="21">
        <f t="shared" si="118"/>
        <v>0</v>
      </c>
    </row>
    <row r="6260" spans="3:3" x14ac:dyDescent="0.25">
      <c r="C6260" s="21">
        <f t="shared" si="118"/>
        <v>0</v>
      </c>
    </row>
    <row r="6261" spans="3:3" x14ac:dyDescent="0.25">
      <c r="C6261" s="21">
        <f t="shared" si="118"/>
        <v>0</v>
      </c>
    </row>
    <row r="6262" spans="3:3" x14ac:dyDescent="0.25">
      <c r="C6262" s="21">
        <f t="shared" si="118"/>
        <v>0</v>
      </c>
    </row>
    <row r="6263" spans="3:3" x14ac:dyDescent="0.25">
      <c r="C6263" s="21">
        <f t="shared" si="118"/>
        <v>0</v>
      </c>
    </row>
    <row r="6264" spans="3:3" x14ac:dyDescent="0.25">
      <c r="C6264" s="21">
        <f t="shared" si="118"/>
        <v>0</v>
      </c>
    </row>
    <row r="6265" spans="3:3" x14ac:dyDescent="0.25">
      <c r="C6265" s="21">
        <f t="shared" si="118"/>
        <v>0</v>
      </c>
    </row>
    <row r="6266" spans="3:3" x14ac:dyDescent="0.25">
      <c r="C6266" s="21">
        <f t="shared" si="118"/>
        <v>0</v>
      </c>
    </row>
    <row r="6267" spans="3:3" x14ac:dyDescent="0.25">
      <c r="C6267" s="21">
        <f t="shared" si="118"/>
        <v>0</v>
      </c>
    </row>
    <row r="6268" spans="3:3" x14ac:dyDescent="0.25">
      <c r="C6268" s="21">
        <f t="shared" si="118"/>
        <v>0</v>
      </c>
    </row>
    <row r="6269" spans="3:3" x14ac:dyDescent="0.25">
      <c r="C6269" s="21">
        <f t="shared" si="118"/>
        <v>0</v>
      </c>
    </row>
    <row r="6270" spans="3:3" x14ac:dyDescent="0.25">
      <c r="C6270" s="21">
        <f t="shared" si="118"/>
        <v>0</v>
      </c>
    </row>
    <row r="6271" spans="3:3" x14ac:dyDescent="0.25">
      <c r="C6271" s="21">
        <f t="shared" si="118"/>
        <v>0</v>
      </c>
    </row>
    <row r="6272" spans="3:3" x14ac:dyDescent="0.25">
      <c r="C6272" s="21">
        <f t="shared" si="118"/>
        <v>0</v>
      </c>
    </row>
    <row r="6273" spans="3:3" x14ac:dyDescent="0.25">
      <c r="C6273" s="21">
        <f t="shared" si="118"/>
        <v>0</v>
      </c>
    </row>
    <row r="6274" spans="3:3" x14ac:dyDescent="0.25">
      <c r="C6274" s="21">
        <f t="shared" si="118"/>
        <v>0</v>
      </c>
    </row>
    <row r="6275" spans="3:3" x14ac:dyDescent="0.25">
      <c r="C6275" s="21">
        <f t="shared" si="118"/>
        <v>0</v>
      </c>
    </row>
    <row r="6276" spans="3:3" x14ac:dyDescent="0.25">
      <c r="C6276" s="21">
        <f t="shared" si="118"/>
        <v>0</v>
      </c>
    </row>
    <row r="6277" spans="3:3" x14ac:dyDescent="0.25">
      <c r="C6277" s="21">
        <f t="shared" si="118"/>
        <v>0</v>
      </c>
    </row>
    <row r="6278" spans="3:3" x14ac:dyDescent="0.25">
      <c r="C6278" s="21">
        <f t="shared" si="118"/>
        <v>0</v>
      </c>
    </row>
    <row r="6279" spans="3:3" x14ac:dyDescent="0.25">
      <c r="C6279" s="21">
        <f t="shared" si="118"/>
        <v>0</v>
      </c>
    </row>
    <row r="6280" spans="3:3" x14ac:dyDescent="0.25">
      <c r="C6280" s="21">
        <f t="shared" si="118"/>
        <v>0</v>
      </c>
    </row>
    <row r="6281" spans="3:3" x14ac:dyDescent="0.25">
      <c r="C6281" s="21">
        <f t="shared" si="118"/>
        <v>0</v>
      </c>
    </row>
    <row r="6282" spans="3:3" x14ac:dyDescent="0.25">
      <c r="C6282" s="21">
        <f t="shared" si="118"/>
        <v>0</v>
      </c>
    </row>
    <row r="6283" spans="3:3" x14ac:dyDescent="0.25">
      <c r="C6283" s="21">
        <f t="shared" si="118"/>
        <v>0</v>
      </c>
    </row>
    <row r="6284" spans="3:3" x14ac:dyDescent="0.25">
      <c r="C6284" s="21">
        <f t="shared" si="118"/>
        <v>0</v>
      </c>
    </row>
    <row r="6285" spans="3:3" x14ac:dyDescent="0.25">
      <c r="C6285" s="21">
        <f t="shared" si="118"/>
        <v>0</v>
      </c>
    </row>
    <row r="6286" spans="3:3" x14ac:dyDescent="0.25">
      <c r="C6286" s="21">
        <f t="shared" si="118"/>
        <v>0</v>
      </c>
    </row>
    <row r="6287" spans="3:3" x14ac:dyDescent="0.25">
      <c r="C6287" s="21">
        <f t="shared" si="118"/>
        <v>0</v>
      </c>
    </row>
    <row r="6288" spans="3:3" x14ac:dyDescent="0.25">
      <c r="C6288" s="21">
        <f t="shared" si="118"/>
        <v>0</v>
      </c>
    </row>
    <row r="6289" spans="3:3" x14ac:dyDescent="0.25">
      <c r="C6289" s="21">
        <f t="shared" si="118"/>
        <v>0</v>
      </c>
    </row>
    <row r="6290" spans="3:3" x14ac:dyDescent="0.25">
      <c r="C6290" s="21">
        <f t="shared" si="118"/>
        <v>0</v>
      </c>
    </row>
    <row r="6291" spans="3:3" x14ac:dyDescent="0.25">
      <c r="C6291" s="21">
        <f t="shared" si="118"/>
        <v>0</v>
      </c>
    </row>
    <row r="6292" spans="3:3" x14ac:dyDescent="0.25">
      <c r="C6292" s="21">
        <f t="shared" si="118"/>
        <v>0</v>
      </c>
    </row>
    <row r="6293" spans="3:3" x14ac:dyDescent="0.25">
      <c r="C6293" s="21">
        <f t="shared" si="118"/>
        <v>0</v>
      </c>
    </row>
    <row r="6294" spans="3:3" x14ac:dyDescent="0.25">
      <c r="C6294" s="21">
        <f t="shared" si="118"/>
        <v>0</v>
      </c>
    </row>
    <row r="6295" spans="3:3" x14ac:dyDescent="0.25">
      <c r="C6295" s="21">
        <f t="shared" si="118"/>
        <v>0</v>
      </c>
    </row>
    <row r="6296" spans="3:3" x14ac:dyDescent="0.25">
      <c r="C6296" s="21">
        <f t="shared" si="118"/>
        <v>0</v>
      </c>
    </row>
    <row r="6297" spans="3:3" x14ac:dyDescent="0.25">
      <c r="C6297" s="21">
        <f t="shared" si="118"/>
        <v>0</v>
      </c>
    </row>
    <row r="6298" spans="3:3" x14ac:dyDescent="0.25">
      <c r="C6298" s="21">
        <f t="shared" si="118"/>
        <v>0</v>
      </c>
    </row>
    <row r="6299" spans="3:3" x14ac:dyDescent="0.25">
      <c r="C6299" s="21">
        <f t="shared" si="118"/>
        <v>0</v>
      </c>
    </row>
    <row r="6300" spans="3:3" x14ac:dyDescent="0.25">
      <c r="C6300" s="21">
        <f t="shared" si="118"/>
        <v>0</v>
      </c>
    </row>
    <row r="6301" spans="3:3" x14ac:dyDescent="0.25">
      <c r="C6301" s="21">
        <f t="shared" si="118"/>
        <v>0</v>
      </c>
    </row>
    <row r="6302" spans="3:3" x14ac:dyDescent="0.25">
      <c r="C6302" s="21">
        <f t="shared" si="118"/>
        <v>0</v>
      </c>
    </row>
    <row r="6303" spans="3:3" x14ac:dyDescent="0.25">
      <c r="C6303" s="21">
        <f t="shared" si="118"/>
        <v>0</v>
      </c>
    </row>
    <row r="6304" spans="3:3" x14ac:dyDescent="0.25">
      <c r="C6304" s="21">
        <f t="shared" si="118"/>
        <v>0</v>
      </c>
    </row>
    <row r="6305" spans="3:3" x14ac:dyDescent="0.25">
      <c r="C6305" s="21">
        <f t="shared" si="118"/>
        <v>0</v>
      </c>
    </row>
    <row r="6306" spans="3:3" x14ac:dyDescent="0.25">
      <c r="C6306" s="21">
        <f t="shared" si="118"/>
        <v>0</v>
      </c>
    </row>
    <row r="6307" spans="3:3" x14ac:dyDescent="0.25">
      <c r="C6307" s="21">
        <f t="shared" si="118"/>
        <v>0</v>
      </c>
    </row>
    <row r="6308" spans="3:3" x14ac:dyDescent="0.25">
      <c r="C6308" s="21">
        <f t="shared" si="118"/>
        <v>0</v>
      </c>
    </row>
    <row r="6309" spans="3:3" x14ac:dyDescent="0.25">
      <c r="C6309" s="21">
        <f t="shared" si="118"/>
        <v>0</v>
      </c>
    </row>
    <row r="6310" spans="3:3" x14ac:dyDescent="0.25">
      <c r="C6310" s="21">
        <f t="shared" si="118"/>
        <v>0</v>
      </c>
    </row>
    <row r="6311" spans="3:3" x14ac:dyDescent="0.25">
      <c r="C6311" s="21">
        <f t="shared" si="118"/>
        <v>0</v>
      </c>
    </row>
    <row r="6312" spans="3:3" x14ac:dyDescent="0.25">
      <c r="C6312" s="21">
        <f t="shared" si="118"/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ref="C6321:C6384" si="119">SUM(D6321:JT6321)</f>
        <v>0</v>
      </c>
    </row>
    <row r="6322" spans="3:3" x14ac:dyDescent="0.25">
      <c r="C6322" s="21">
        <f t="shared" si="119"/>
        <v>0</v>
      </c>
    </row>
    <row r="6323" spans="3:3" x14ac:dyDescent="0.25">
      <c r="C6323" s="21">
        <f t="shared" si="119"/>
        <v>0</v>
      </c>
    </row>
    <row r="6324" spans="3:3" x14ac:dyDescent="0.25">
      <c r="C6324" s="21">
        <f t="shared" si="119"/>
        <v>0</v>
      </c>
    </row>
    <row r="6325" spans="3:3" x14ac:dyDescent="0.25">
      <c r="C6325" s="21">
        <f t="shared" si="119"/>
        <v>0</v>
      </c>
    </row>
    <row r="6326" spans="3:3" x14ac:dyDescent="0.25">
      <c r="C6326" s="21">
        <f t="shared" si="119"/>
        <v>0</v>
      </c>
    </row>
    <row r="6327" spans="3:3" x14ac:dyDescent="0.25">
      <c r="C6327" s="21">
        <f t="shared" si="119"/>
        <v>0</v>
      </c>
    </row>
    <row r="6328" spans="3:3" x14ac:dyDescent="0.25">
      <c r="C6328" s="21">
        <f t="shared" si="119"/>
        <v>0</v>
      </c>
    </row>
    <row r="6329" spans="3:3" x14ac:dyDescent="0.25">
      <c r="C6329" s="21">
        <f t="shared" si="119"/>
        <v>0</v>
      </c>
    </row>
    <row r="6330" spans="3:3" x14ac:dyDescent="0.25">
      <c r="C6330" s="21">
        <f t="shared" si="119"/>
        <v>0</v>
      </c>
    </row>
    <row r="6331" spans="3:3" x14ac:dyDescent="0.25">
      <c r="C6331" s="21">
        <f t="shared" si="119"/>
        <v>0</v>
      </c>
    </row>
    <row r="6332" spans="3:3" x14ac:dyDescent="0.25">
      <c r="C6332" s="21">
        <f t="shared" si="119"/>
        <v>0</v>
      </c>
    </row>
    <row r="6333" spans="3:3" x14ac:dyDescent="0.25">
      <c r="C6333" s="21">
        <f t="shared" si="119"/>
        <v>0</v>
      </c>
    </row>
    <row r="6334" spans="3:3" x14ac:dyDescent="0.25">
      <c r="C6334" s="21">
        <f t="shared" si="119"/>
        <v>0</v>
      </c>
    </row>
    <row r="6335" spans="3:3" x14ac:dyDescent="0.25">
      <c r="C6335" s="21">
        <f t="shared" si="119"/>
        <v>0</v>
      </c>
    </row>
    <row r="6336" spans="3:3" x14ac:dyDescent="0.25">
      <c r="C6336" s="21">
        <f t="shared" si="119"/>
        <v>0</v>
      </c>
    </row>
    <row r="6337" spans="3:3" x14ac:dyDescent="0.25">
      <c r="C6337" s="21">
        <f t="shared" si="119"/>
        <v>0</v>
      </c>
    </row>
    <row r="6338" spans="3:3" x14ac:dyDescent="0.25">
      <c r="C6338" s="21">
        <f t="shared" si="119"/>
        <v>0</v>
      </c>
    </row>
    <row r="6339" spans="3:3" x14ac:dyDescent="0.25">
      <c r="C6339" s="21">
        <f t="shared" si="119"/>
        <v>0</v>
      </c>
    </row>
    <row r="6340" spans="3:3" x14ac:dyDescent="0.25">
      <c r="C6340" s="21">
        <f t="shared" si="119"/>
        <v>0</v>
      </c>
    </row>
    <row r="6341" spans="3:3" x14ac:dyDescent="0.25">
      <c r="C6341" s="21">
        <f t="shared" si="119"/>
        <v>0</v>
      </c>
    </row>
    <row r="6342" spans="3:3" x14ac:dyDescent="0.25">
      <c r="C6342" s="21">
        <f t="shared" si="119"/>
        <v>0</v>
      </c>
    </row>
    <row r="6343" spans="3:3" x14ac:dyDescent="0.25">
      <c r="C6343" s="21">
        <f t="shared" si="119"/>
        <v>0</v>
      </c>
    </row>
    <row r="6344" spans="3:3" x14ac:dyDescent="0.25">
      <c r="C6344" s="21">
        <f t="shared" si="119"/>
        <v>0</v>
      </c>
    </row>
    <row r="6345" spans="3:3" x14ac:dyDescent="0.25">
      <c r="C6345" s="21">
        <f t="shared" si="119"/>
        <v>0</v>
      </c>
    </row>
    <row r="6346" spans="3:3" x14ac:dyDescent="0.25">
      <c r="C6346" s="21">
        <f t="shared" si="119"/>
        <v>0</v>
      </c>
    </row>
    <row r="6347" spans="3:3" x14ac:dyDescent="0.25">
      <c r="C6347" s="21">
        <f t="shared" si="119"/>
        <v>0</v>
      </c>
    </row>
    <row r="6348" spans="3:3" x14ac:dyDescent="0.25">
      <c r="C6348" s="21">
        <f t="shared" si="119"/>
        <v>0</v>
      </c>
    </row>
    <row r="6349" spans="3:3" x14ac:dyDescent="0.25">
      <c r="C6349" s="21">
        <f t="shared" si="119"/>
        <v>0</v>
      </c>
    </row>
    <row r="6350" spans="3:3" x14ac:dyDescent="0.25">
      <c r="C6350" s="21">
        <f t="shared" si="119"/>
        <v>0</v>
      </c>
    </row>
    <row r="6351" spans="3:3" x14ac:dyDescent="0.25">
      <c r="C6351" s="21">
        <f t="shared" si="119"/>
        <v>0</v>
      </c>
    </row>
    <row r="6352" spans="3:3" x14ac:dyDescent="0.25">
      <c r="C6352" s="21">
        <f t="shared" si="119"/>
        <v>0</v>
      </c>
    </row>
    <row r="6353" spans="3:3" x14ac:dyDescent="0.25">
      <c r="C6353" s="21">
        <f t="shared" si="119"/>
        <v>0</v>
      </c>
    </row>
    <row r="6354" spans="3:3" x14ac:dyDescent="0.25">
      <c r="C6354" s="21">
        <f t="shared" si="119"/>
        <v>0</v>
      </c>
    </row>
    <row r="6355" spans="3:3" x14ac:dyDescent="0.25">
      <c r="C6355" s="21">
        <f t="shared" si="119"/>
        <v>0</v>
      </c>
    </row>
    <row r="6356" spans="3:3" x14ac:dyDescent="0.25">
      <c r="C6356" s="21">
        <f t="shared" si="119"/>
        <v>0</v>
      </c>
    </row>
    <row r="6357" spans="3:3" x14ac:dyDescent="0.25">
      <c r="C6357" s="21">
        <f t="shared" si="119"/>
        <v>0</v>
      </c>
    </row>
    <row r="6358" spans="3:3" x14ac:dyDescent="0.25">
      <c r="C6358" s="21">
        <f t="shared" si="119"/>
        <v>0</v>
      </c>
    </row>
    <row r="6359" spans="3:3" x14ac:dyDescent="0.25">
      <c r="C6359" s="21">
        <f t="shared" si="119"/>
        <v>0</v>
      </c>
    </row>
    <row r="6360" spans="3:3" x14ac:dyDescent="0.25">
      <c r="C6360" s="21">
        <f t="shared" si="119"/>
        <v>0</v>
      </c>
    </row>
    <row r="6361" spans="3:3" x14ac:dyDescent="0.25">
      <c r="C6361" s="21">
        <f t="shared" si="119"/>
        <v>0</v>
      </c>
    </row>
    <row r="6362" spans="3:3" x14ac:dyDescent="0.25">
      <c r="C6362" s="21">
        <f t="shared" si="119"/>
        <v>0</v>
      </c>
    </row>
    <row r="6363" spans="3:3" x14ac:dyDescent="0.25">
      <c r="C6363" s="21">
        <f t="shared" si="119"/>
        <v>0</v>
      </c>
    </row>
    <row r="6364" spans="3:3" x14ac:dyDescent="0.25">
      <c r="C6364" s="21">
        <f t="shared" si="119"/>
        <v>0</v>
      </c>
    </row>
    <row r="6365" spans="3:3" x14ac:dyDescent="0.25">
      <c r="C6365" s="21">
        <f t="shared" si="119"/>
        <v>0</v>
      </c>
    </row>
    <row r="6366" spans="3:3" x14ac:dyDescent="0.25">
      <c r="C6366" s="21">
        <f t="shared" si="119"/>
        <v>0</v>
      </c>
    </row>
    <row r="6367" spans="3:3" x14ac:dyDescent="0.25">
      <c r="C6367" s="21">
        <f t="shared" si="119"/>
        <v>0</v>
      </c>
    </row>
    <row r="6368" spans="3:3" x14ac:dyDescent="0.25">
      <c r="C6368" s="21">
        <f t="shared" si="119"/>
        <v>0</v>
      </c>
    </row>
    <row r="6369" spans="3:3" x14ac:dyDescent="0.25">
      <c r="C6369" s="21">
        <f t="shared" si="119"/>
        <v>0</v>
      </c>
    </row>
    <row r="6370" spans="3:3" x14ac:dyDescent="0.25">
      <c r="C6370" s="21">
        <f t="shared" si="119"/>
        <v>0</v>
      </c>
    </row>
    <row r="6371" spans="3:3" x14ac:dyDescent="0.25">
      <c r="C6371" s="21">
        <f t="shared" si="119"/>
        <v>0</v>
      </c>
    </row>
    <row r="6372" spans="3:3" x14ac:dyDescent="0.25">
      <c r="C6372" s="21">
        <f t="shared" si="119"/>
        <v>0</v>
      </c>
    </row>
    <row r="6373" spans="3:3" x14ac:dyDescent="0.25">
      <c r="C6373" s="21">
        <f t="shared" si="119"/>
        <v>0</v>
      </c>
    </row>
    <row r="6374" spans="3:3" x14ac:dyDescent="0.25">
      <c r="C6374" s="21">
        <f t="shared" si="119"/>
        <v>0</v>
      </c>
    </row>
    <row r="6375" spans="3:3" x14ac:dyDescent="0.25">
      <c r="C6375" s="21">
        <f t="shared" si="119"/>
        <v>0</v>
      </c>
    </row>
    <row r="6376" spans="3:3" x14ac:dyDescent="0.25">
      <c r="C6376" s="21">
        <f t="shared" si="119"/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ref="C6385:C6448" si="120">SUM(D6385:JT6385)</f>
        <v>0</v>
      </c>
    </row>
    <row r="6386" spans="3:3" x14ac:dyDescent="0.25">
      <c r="C6386" s="21">
        <f t="shared" si="120"/>
        <v>0</v>
      </c>
    </row>
    <row r="6387" spans="3:3" x14ac:dyDescent="0.25">
      <c r="C6387" s="21">
        <f t="shared" si="120"/>
        <v>0</v>
      </c>
    </row>
    <row r="6388" spans="3:3" x14ac:dyDescent="0.25">
      <c r="C6388" s="21">
        <f t="shared" si="120"/>
        <v>0</v>
      </c>
    </row>
    <row r="6389" spans="3:3" x14ac:dyDescent="0.25">
      <c r="C6389" s="21">
        <f t="shared" si="120"/>
        <v>0</v>
      </c>
    </row>
    <row r="6390" spans="3:3" x14ac:dyDescent="0.25">
      <c r="C6390" s="21">
        <f t="shared" si="120"/>
        <v>0</v>
      </c>
    </row>
    <row r="6391" spans="3:3" x14ac:dyDescent="0.25">
      <c r="C6391" s="21">
        <f t="shared" si="120"/>
        <v>0</v>
      </c>
    </row>
    <row r="6392" spans="3:3" x14ac:dyDescent="0.25">
      <c r="C6392" s="21">
        <f t="shared" si="120"/>
        <v>0</v>
      </c>
    </row>
    <row r="6393" spans="3:3" x14ac:dyDescent="0.25">
      <c r="C6393" s="21">
        <f t="shared" si="120"/>
        <v>0</v>
      </c>
    </row>
    <row r="6394" spans="3:3" x14ac:dyDescent="0.25">
      <c r="C6394" s="21">
        <f t="shared" si="120"/>
        <v>0</v>
      </c>
    </row>
    <row r="6395" spans="3:3" x14ac:dyDescent="0.25">
      <c r="C6395" s="21">
        <f t="shared" si="120"/>
        <v>0</v>
      </c>
    </row>
    <row r="6396" spans="3:3" x14ac:dyDescent="0.25">
      <c r="C6396" s="21">
        <f t="shared" si="120"/>
        <v>0</v>
      </c>
    </row>
    <row r="6397" spans="3:3" x14ac:dyDescent="0.25">
      <c r="C6397" s="21">
        <f t="shared" si="120"/>
        <v>0</v>
      </c>
    </row>
    <row r="6398" spans="3:3" x14ac:dyDescent="0.25">
      <c r="C6398" s="21">
        <f t="shared" si="120"/>
        <v>0</v>
      </c>
    </row>
    <row r="6399" spans="3:3" x14ac:dyDescent="0.25">
      <c r="C6399" s="21">
        <f t="shared" si="120"/>
        <v>0</v>
      </c>
    </row>
    <row r="6400" spans="3:3" x14ac:dyDescent="0.25">
      <c r="C6400" s="21">
        <f t="shared" si="120"/>
        <v>0</v>
      </c>
    </row>
    <row r="6401" spans="3:3" x14ac:dyDescent="0.25">
      <c r="C6401" s="21">
        <f t="shared" si="120"/>
        <v>0</v>
      </c>
    </row>
    <row r="6402" spans="3:3" x14ac:dyDescent="0.25">
      <c r="C6402" s="21">
        <f t="shared" si="120"/>
        <v>0</v>
      </c>
    </row>
    <row r="6403" spans="3:3" x14ac:dyDescent="0.25">
      <c r="C6403" s="21">
        <f t="shared" si="120"/>
        <v>0</v>
      </c>
    </row>
    <row r="6404" spans="3:3" x14ac:dyDescent="0.25">
      <c r="C6404" s="21">
        <f t="shared" si="120"/>
        <v>0</v>
      </c>
    </row>
    <row r="6405" spans="3:3" x14ac:dyDescent="0.25">
      <c r="C6405" s="21">
        <f t="shared" si="120"/>
        <v>0</v>
      </c>
    </row>
    <row r="6406" spans="3:3" x14ac:dyDescent="0.25">
      <c r="C6406" s="21">
        <f t="shared" si="120"/>
        <v>0</v>
      </c>
    </row>
    <row r="6407" spans="3:3" x14ac:dyDescent="0.25">
      <c r="C6407" s="21">
        <f t="shared" si="120"/>
        <v>0</v>
      </c>
    </row>
    <row r="6408" spans="3:3" x14ac:dyDescent="0.25">
      <c r="C6408" s="21">
        <f t="shared" si="120"/>
        <v>0</v>
      </c>
    </row>
    <row r="6409" spans="3:3" x14ac:dyDescent="0.25">
      <c r="C6409" s="21">
        <f t="shared" si="120"/>
        <v>0</v>
      </c>
    </row>
    <row r="6410" spans="3:3" x14ac:dyDescent="0.25">
      <c r="C6410" s="21">
        <f t="shared" si="120"/>
        <v>0</v>
      </c>
    </row>
    <row r="6411" spans="3:3" x14ac:dyDescent="0.25">
      <c r="C6411" s="21">
        <f t="shared" si="120"/>
        <v>0</v>
      </c>
    </row>
    <row r="6412" spans="3:3" x14ac:dyDescent="0.25">
      <c r="C6412" s="21">
        <f t="shared" si="120"/>
        <v>0</v>
      </c>
    </row>
    <row r="6413" spans="3:3" x14ac:dyDescent="0.25">
      <c r="C6413" s="21">
        <f t="shared" si="120"/>
        <v>0</v>
      </c>
    </row>
    <row r="6414" spans="3:3" x14ac:dyDescent="0.25">
      <c r="C6414" s="21">
        <f t="shared" si="120"/>
        <v>0</v>
      </c>
    </row>
    <row r="6415" spans="3:3" x14ac:dyDescent="0.25">
      <c r="C6415" s="21">
        <f t="shared" si="120"/>
        <v>0</v>
      </c>
    </row>
    <row r="6416" spans="3:3" x14ac:dyDescent="0.25">
      <c r="C6416" s="21">
        <f t="shared" si="120"/>
        <v>0</v>
      </c>
    </row>
    <row r="6417" spans="3:3" x14ac:dyDescent="0.25">
      <c r="C6417" s="21">
        <f t="shared" si="120"/>
        <v>0</v>
      </c>
    </row>
    <row r="6418" spans="3:3" x14ac:dyDescent="0.25">
      <c r="C6418" s="21">
        <f t="shared" si="120"/>
        <v>0</v>
      </c>
    </row>
    <row r="6419" spans="3:3" x14ac:dyDescent="0.25">
      <c r="C6419" s="21">
        <f t="shared" si="120"/>
        <v>0</v>
      </c>
    </row>
    <row r="6420" spans="3:3" x14ac:dyDescent="0.25">
      <c r="C6420" s="21">
        <f t="shared" si="120"/>
        <v>0</v>
      </c>
    </row>
    <row r="6421" spans="3:3" x14ac:dyDescent="0.25">
      <c r="C6421" s="21">
        <f t="shared" si="120"/>
        <v>0</v>
      </c>
    </row>
    <row r="6422" spans="3:3" x14ac:dyDescent="0.25">
      <c r="C6422" s="21">
        <f t="shared" si="120"/>
        <v>0</v>
      </c>
    </row>
    <row r="6423" spans="3:3" x14ac:dyDescent="0.25">
      <c r="C6423" s="21">
        <f t="shared" si="120"/>
        <v>0</v>
      </c>
    </row>
    <row r="6424" spans="3:3" x14ac:dyDescent="0.25">
      <c r="C6424" s="21">
        <f t="shared" si="120"/>
        <v>0</v>
      </c>
    </row>
    <row r="6425" spans="3:3" x14ac:dyDescent="0.25">
      <c r="C6425" s="21">
        <f t="shared" si="120"/>
        <v>0</v>
      </c>
    </row>
    <row r="6426" spans="3:3" x14ac:dyDescent="0.25">
      <c r="C6426" s="21">
        <f t="shared" si="120"/>
        <v>0</v>
      </c>
    </row>
    <row r="6427" spans="3:3" x14ac:dyDescent="0.25">
      <c r="C6427" s="21">
        <f t="shared" si="120"/>
        <v>0</v>
      </c>
    </row>
    <row r="6428" spans="3:3" x14ac:dyDescent="0.25">
      <c r="C6428" s="21">
        <f t="shared" si="120"/>
        <v>0</v>
      </c>
    </row>
    <row r="6429" spans="3:3" x14ac:dyDescent="0.25">
      <c r="C6429" s="21">
        <f t="shared" si="120"/>
        <v>0</v>
      </c>
    </row>
    <row r="6430" spans="3:3" x14ac:dyDescent="0.25">
      <c r="C6430" s="21">
        <f t="shared" si="120"/>
        <v>0</v>
      </c>
    </row>
    <row r="6431" spans="3:3" x14ac:dyDescent="0.25">
      <c r="C6431" s="21">
        <f t="shared" si="120"/>
        <v>0</v>
      </c>
    </row>
    <row r="6432" spans="3:3" x14ac:dyDescent="0.25">
      <c r="C6432" s="21">
        <f t="shared" si="120"/>
        <v>0</v>
      </c>
    </row>
    <row r="6433" spans="3:3" x14ac:dyDescent="0.25">
      <c r="C6433" s="21">
        <f t="shared" si="120"/>
        <v>0</v>
      </c>
    </row>
    <row r="6434" spans="3:3" x14ac:dyDescent="0.25">
      <c r="C6434" s="21">
        <f t="shared" si="120"/>
        <v>0</v>
      </c>
    </row>
    <row r="6435" spans="3:3" x14ac:dyDescent="0.25">
      <c r="C6435" s="21">
        <f t="shared" si="120"/>
        <v>0</v>
      </c>
    </row>
    <row r="6436" spans="3:3" x14ac:dyDescent="0.25">
      <c r="C6436" s="21">
        <f t="shared" si="120"/>
        <v>0</v>
      </c>
    </row>
    <row r="6437" spans="3:3" x14ac:dyDescent="0.25">
      <c r="C6437" s="21">
        <f t="shared" si="120"/>
        <v>0</v>
      </c>
    </row>
    <row r="6438" spans="3:3" x14ac:dyDescent="0.25">
      <c r="C6438" s="21">
        <f t="shared" si="120"/>
        <v>0</v>
      </c>
    </row>
    <row r="6439" spans="3:3" x14ac:dyDescent="0.25">
      <c r="C6439" s="21">
        <f t="shared" si="120"/>
        <v>0</v>
      </c>
    </row>
    <row r="6440" spans="3:3" x14ac:dyDescent="0.25">
      <c r="C6440" s="21">
        <f t="shared" si="120"/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ref="C6449:C6512" si="121">SUM(D6449:JT6449)</f>
        <v>0</v>
      </c>
    </row>
    <row r="6450" spans="3:3" x14ac:dyDescent="0.25">
      <c r="C6450" s="21">
        <f t="shared" si="121"/>
        <v>0</v>
      </c>
    </row>
    <row r="6451" spans="3:3" x14ac:dyDescent="0.25">
      <c r="C6451" s="21">
        <f t="shared" si="121"/>
        <v>0</v>
      </c>
    </row>
    <row r="6452" spans="3:3" x14ac:dyDescent="0.25">
      <c r="C6452" s="21">
        <f t="shared" si="121"/>
        <v>0</v>
      </c>
    </row>
    <row r="6453" spans="3:3" x14ac:dyDescent="0.25">
      <c r="C6453" s="21">
        <f t="shared" si="121"/>
        <v>0</v>
      </c>
    </row>
    <row r="6454" spans="3:3" x14ac:dyDescent="0.25">
      <c r="C6454" s="21">
        <f t="shared" si="121"/>
        <v>0</v>
      </c>
    </row>
    <row r="6455" spans="3:3" x14ac:dyDescent="0.25">
      <c r="C6455" s="21">
        <f t="shared" si="121"/>
        <v>0</v>
      </c>
    </row>
    <row r="6456" spans="3:3" x14ac:dyDescent="0.25">
      <c r="C6456" s="21">
        <f t="shared" si="121"/>
        <v>0</v>
      </c>
    </row>
    <row r="6457" spans="3:3" x14ac:dyDescent="0.25">
      <c r="C6457" s="21">
        <f t="shared" si="121"/>
        <v>0</v>
      </c>
    </row>
    <row r="6458" spans="3:3" x14ac:dyDescent="0.25">
      <c r="C6458" s="21">
        <f t="shared" si="121"/>
        <v>0</v>
      </c>
    </row>
    <row r="6459" spans="3:3" x14ac:dyDescent="0.25">
      <c r="C6459" s="21">
        <f t="shared" si="121"/>
        <v>0</v>
      </c>
    </row>
    <row r="6460" spans="3:3" x14ac:dyDescent="0.25">
      <c r="C6460" s="21">
        <f t="shared" si="121"/>
        <v>0</v>
      </c>
    </row>
    <row r="6461" spans="3:3" x14ac:dyDescent="0.25">
      <c r="C6461" s="21">
        <f t="shared" si="121"/>
        <v>0</v>
      </c>
    </row>
    <row r="6462" spans="3:3" x14ac:dyDescent="0.25">
      <c r="C6462" s="21">
        <f t="shared" si="121"/>
        <v>0</v>
      </c>
    </row>
    <row r="6463" spans="3:3" x14ac:dyDescent="0.25">
      <c r="C6463" s="21">
        <f t="shared" si="121"/>
        <v>0</v>
      </c>
    </row>
    <row r="6464" spans="3:3" x14ac:dyDescent="0.25">
      <c r="C6464" s="21">
        <f t="shared" si="121"/>
        <v>0</v>
      </c>
    </row>
    <row r="6465" spans="3:3" x14ac:dyDescent="0.25">
      <c r="C6465" s="21">
        <f t="shared" si="121"/>
        <v>0</v>
      </c>
    </row>
    <row r="6466" spans="3:3" x14ac:dyDescent="0.25">
      <c r="C6466" s="21">
        <f t="shared" si="121"/>
        <v>0</v>
      </c>
    </row>
    <row r="6467" spans="3:3" x14ac:dyDescent="0.25">
      <c r="C6467" s="21">
        <f t="shared" si="121"/>
        <v>0</v>
      </c>
    </row>
    <row r="6468" spans="3:3" x14ac:dyDescent="0.25">
      <c r="C6468" s="21">
        <f t="shared" si="121"/>
        <v>0</v>
      </c>
    </row>
    <row r="6469" spans="3:3" x14ac:dyDescent="0.25">
      <c r="C6469" s="21">
        <f t="shared" si="121"/>
        <v>0</v>
      </c>
    </row>
    <row r="6470" spans="3:3" x14ac:dyDescent="0.25">
      <c r="C6470" s="21">
        <f t="shared" si="121"/>
        <v>0</v>
      </c>
    </row>
    <row r="6471" spans="3:3" x14ac:dyDescent="0.25">
      <c r="C6471" s="21">
        <f t="shared" si="121"/>
        <v>0</v>
      </c>
    </row>
    <row r="6472" spans="3:3" x14ac:dyDescent="0.25">
      <c r="C6472" s="21">
        <f t="shared" si="121"/>
        <v>0</v>
      </c>
    </row>
    <row r="6473" spans="3:3" x14ac:dyDescent="0.25">
      <c r="C6473" s="21">
        <f t="shared" si="121"/>
        <v>0</v>
      </c>
    </row>
    <row r="6474" spans="3:3" x14ac:dyDescent="0.25">
      <c r="C6474" s="21">
        <f t="shared" si="121"/>
        <v>0</v>
      </c>
    </row>
    <row r="6475" spans="3:3" x14ac:dyDescent="0.25">
      <c r="C6475" s="21">
        <f t="shared" si="121"/>
        <v>0</v>
      </c>
    </row>
    <row r="6476" spans="3:3" x14ac:dyDescent="0.25">
      <c r="C6476" s="21">
        <f t="shared" si="121"/>
        <v>0</v>
      </c>
    </row>
    <row r="6477" spans="3:3" x14ac:dyDescent="0.25">
      <c r="C6477" s="21">
        <f t="shared" si="121"/>
        <v>0</v>
      </c>
    </row>
    <row r="6478" spans="3:3" x14ac:dyDescent="0.25">
      <c r="C6478" s="21">
        <f t="shared" si="121"/>
        <v>0</v>
      </c>
    </row>
    <row r="6479" spans="3:3" x14ac:dyDescent="0.25">
      <c r="C6479" s="21">
        <f t="shared" si="121"/>
        <v>0</v>
      </c>
    </row>
    <row r="6480" spans="3:3" x14ac:dyDescent="0.25">
      <c r="C6480" s="21">
        <f t="shared" si="121"/>
        <v>0</v>
      </c>
    </row>
    <row r="6481" spans="3:3" x14ac:dyDescent="0.25">
      <c r="C6481" s="21">
        <f t="shared" si="121"/>
        <v>0</v>
      </c>
    </row>
    <row r="6482" spans="3:3" x14ac:dyDescent="0.25">
      <c r="C6482" s="21">
        <f t="shared" si="121"/>
        <v>0</v>
      </c>
    </row>
    <row r="6483" spans="3:3" x14ac:dyDescent="0.25">
      <c r="C6483" s="21">
        <f t="shared" si="121"/>
        <v>0</v>
      </c>
    </row>
    <row r="6484" spans="3:3" x14ac:dyDescent="0.25">
      <c r="C6484" s="21">
        <f t="shared" si="121"/>
        <v>0</v>
      </c>
    </row>
    <row r="6485" spans="3:3" x14ac:dyDescent="0.25">
      <c r="C6485" s="21">
        <f t="shared" si="121"/>
        <v>0</v>
      </c>
    </row>
    <row r="6486" spans="3:3" x14ac:dyDescent="0.25">
      <c r="C6486" s="21">
        <f t="shared" si="121"/>
        <v>0</v>
      </c>
    </row>
    <row r="6487" spans="3:3" x14ac:dyDescent="0.25">
      <c r="C6487" s="21">
        <f t="shared" si="121"/>
        <v>0</v>
      </c>
    </row>
    <row r="6488" spans="3:3" x14ac:dyDescent="0.25">
      <c r="C6488" s="21">
        <f t="shared" si="121"/>
        <v>0</v>
      </c>
    </row>
    <row r="6489" spans="3:3" x14ac:dyDescent="0.25">
      <c r="C6489" s="21">
        <f t="shared" si="121"/>
        <v>0</v>
      </c>
    </row>
    <row r="6490" spans="3:3" x14ac:dyDescent="0.25">
      <c r="C6490" s="21">
        <f t="shared" si="121"/>
        <v>0</v>
      </c>
    </row>
    <row r="6491" spans="3:3" x14ac:dyDescent="0.25">
      <c r="C6491" s="21">
        <f t="shared" si="121"/>
        <v>0</v>
      </c>
    </row>
    <row r="6492" spans="3:3" x14ac:dyDescent="0.25">
      <c r="C6492" s="21">
        <f t="shared" si="121"/>
        <v>0</v>
      </c>
    </row>
    <row r="6493" spans="3:3" x14ac:dyDescent="0.25">
      <c r="C6493" s="21">
        <f t="shared" si="121"/>
        <v>0</v>
      </c>
    </row>
    <row r="6494" spans="3:3" x14ac:dyDescent="0.25">
      <c r="C6494" s="21">
        <f t="shared" si="121"/>
        <v>0</v>
      </c>
    </row>
    <row r="6495" spans="3:3" x14ac:dyDescent="0.25">
      <c r="C6495" s="21">
        <f t="shared" si="121"/>
        <v>0</v>
      </c>
    </row>
    <row r="6496" spans="3:3" x14ac:dyDescent="0.25">
      <c r="C6496" s="21">
        <f t="shared" si="121"/>
        <v>0</v>
      </c>
    </row>
    <row r="6497" spans="3:3" x14ac:dyDescent="0.25">
      <c r="C6497" s="21">
        <f t="shared" si="121"/>
        <v>0</v>
      </c>
    </row>
    <row r="6498" spans="3:3" x14ac:dyDescent="0.25">
      <c r="C6498" s="21">
        <f t="shared" si="121"/>
        <v>0</v>
      </c>
    </row>
    <row r="6499" spans="3:3" x14ac:dyDescent="0.25">
      <c r="C6499" s="21">
        <f t="shared" si="121"/>
        <v>0</v>
      </c>
    </row>
    <row r="6500" spans="3:3" x14ac:dyDescent="0.25">
      <c r="C6500" s="21">
        <f t="shared" si="121"/>
        <v>0</v>
      </c>
    </row>
    <row r="6501" spans="3:3" x14ac:dyDescent="0.25">
      <c r="C6501" s="21">
        <f t="shared" si="121"/>
        <v>0</v>
      </c>
    </row>
    <row r="6502" spans="3:3" x14ac:dyDescent="0.25">
      <c r="C6502" s="21">
        <f t="shared" si="121"/>
        <v>0</v>
      </c>
    </row>
    <row r="6503" spans="3:3" x14ac:dyDescent="0.25">
      <c r="C6503" s="21">
        <f t="shared" si="121"/>
        <v>0</v>
      </c>
    </row>
    <row r="6504" spans="3:3" x14ac:dyDescent="0.25">
      <c r="C6504" s="21">
        <f t="shared" si="121"/>
        <v>0</v>
      </c>
    </row>
    <row r="6505" spans="3:3" x14ac:dyDescent="0.25">
      <c r="C6505" s="21">
        <f t="shared" si="121"/>
        <v>0</v>
      </c>
    </row>
    <row r="6506" spans="3:3" x14ac:dyDescent="0.25">
      <c r="C6506" s="21">
        <f t="shared" si="121"/>
        <v>0</v>
      </c>
    </row>
    <row r="6507" spans="3:3" x14ac:dyDescent="0.25">
      <c r="C6507" s="21">
        <f t="shared" si="121"/>
        <v>0</v>
      </c>
    </row>
    <row r="6508" spans="3:3" x14ac:dyDescent="0.25">
      <c r="C6508" s="21">
        <f t="shared" si="121"/>
        <v>0</v>
      </c>
    </row>
    <row r="6509" spans="3:3" x14ac:dyDescent="0.25">
      <c r="C6509" s="21">
        <f t="shared" si="121"/>
        <v>0</v>
      </c>
    </row>
    <row r="6510" spans="3:3" x14ac:dyDescent="0.25">
      <c r="C6510" s="21">
        <f t="shared" si="121"/>
        <v>0</v>
      </c>
    </row>
    <row r="6511" spans="3:3" x14ac:dyDescent="0.25">
      <c r="C6511" s="21">
        <f t="shared" si="121"/>
        <v>0</v>
      </c>
    </row>
    <row r="6512" spans="3:3" x14ac:dyDescent="0.25">
      <c r="C6512" s="21">
        <f t="shared" si="121"/>
        <v>0</v>
      </c>
    </row>
  </sheetData>
  <sortState ref="A6191:IW6194">
    <sortCondition ref="A6191:A6194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39" t="s">
        <v>10</v>
      </c>
      <c r="C3" s="439"/>
      <c r="D3" s="245"/>
    </row>
    <row r="4" spans="1:4" ht="20.100000000000001" customHeight="1" x14ac:dyDescent="0.25">
      <c r="A4" s="245"/>
      <c r="B4" s="439"/>
      <c r="C4" s="439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>
      <selection activeCell="A4" sqref="A4"/>
    </sheetView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8" t="s">
        <v>240</v>
      </c>
      <c r="B1" s="368" t="s">
        <v>241</v>
      </c>
      <c r="C1" s="368" t="s">
        <v>220</v>
      </c>
      <c r="D1" s="367" t="s">
        <v>2</v>
      </c>
      <c r="E1" s="367" t="s">
        <v>3</v>
      </c>
      <c r="F1" s="367" t="s">
        <v>113</v>
      </c>
      <c r="G1" s="367" t="s">
        <v>5</v>
      </c>
      <c r="H1" s="367" t="s">
        <v>6</v>
      </c>
      <c r="I1" s="367" t="s">
        <v>115</v>
      </c>
      <c r="J1" s="368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7" t="s">
        <v>242</v>
      </c>
      <c r="B2" s="368" t="s">
        <v>128</v>
      </c>
      <c r="C2" s="369">
        <v>102</v>
      </c>
      <c r="D2" s="308"/>
      <c r="E2" s="308"/>
      <c r="F2" s="308"/>
      <c r="G2" s="308"/>
      <c r="H2" s="308"/>
      <c r="I2" s="308">
        <f>'STOK DETAY'!D6</f>
        <v>25.675000000000001</v>
      </c>
      <c r="J2" s="330">
        <f t="shared" ref="J2:J33" si="0">SUM(D2:I2)</f>
        <v>25.675000000000001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7" t="s">
        <v>243</v>
      </c>
      <c r="B3" s="368" t="s">
        <v>128</v>
      </c>
      <c r="C3" s="369">
        <v>102</v>
      </c>
      <c r="D3" s="308"/>
      <c r="E3" s="308"/>
      <c r="F3" s="308"/>
      <c r="G3" s="308"/>
      <c r="H3" s="308"/>
      <c r="I3" s="308">
        <f>'STOK DETAY'!E6</f>
        <v>0</v>
      </c>
      <c r="J3" s="330">
        <f t="shared" si="0"/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7" t="s">
        <v>244</v>
      </c>
      <c r="B4" s="368" t="s">
        <v>128</v>
      </c>
      <c r="C4" s="369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7" t="s">
        <v>245</v>
      </c>
      <c r="B5" s="368" t="s">
        <v>128</v>
      </c>
      <c r="C5" s="369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7" t="s">
        <v>246</v>
      </c>
      <c r="B6" s="368" t="s">
        <v>55</v>
      </c>
      <c r="C6" s="369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7" t="s">
        <v>247</v>
      </c>
      <c r="B7" s="368" t="s">
        <v>55</v>
      </c>
      <c r="C7" s="369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7" t="s">
        <v>248</v>
      </c>
      <c r="B8" s="368" t="s">
        <v>55</v>
      </c>
      <c r="C8" s="369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7" t="s">
        <v>249</v>
      </c>
      <c r="B9" s="368" t="s">
        <v>55</v>
      </c>
      <c r="C9" s="369">
        <v>103</v>
      </c>
      <c r="D9" s="330">
        <f>'STOK DETAY'!N6</f>
        <v>0</v>
      </c>
      <c r="E9" s="330">
        <f>'STOK DETAY'!O6</f>
        <v>0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0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7" t="s">
        <v>250</v>
      </c>
      <c r="B10" s="368" t="s">
        <v>143</v>
      </c>
      <c r="C10" s="369"/>
      <c r="D10" s="330"/>
      <c r="E10" s="330"/>
      <c r="F10" s="330">
        <f>'STOK DETAY'!S6</f>
        <v>93.21</v>
      </c>
      <c r="G10" s="330"/>
      <c r="H10" s="330"/>
      <c r="I10" s="330"/>
      <c r="J10" s="330">
        <f t="shared" si="0"/>
        <v>93.21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7" t="s">
        <v>251</v>
      </c>
      <c r="B11" s="368" t="s">
        <v>55</v>
      </c>
      <c r="C11" s="369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7" t="s">
        <v>252</v>
      </c>
      <c r="B12" s="368" t="s">
        <v>55</v>
      </c>
      <c r="C12" s="369">
        <v>201</v>
      </c>
      <c r="D12" s="330">
        <f>'STOK DETAY'!X6</f>
        <v>0</v>
      </c>
      <c r="E12" s="330">
        <f>'STOK DETAY'!Y6</f>
        <v>0</v>
      </c>
      <c r="F12" s="330">
        <f>'STOK DETAY'!Z6</f>
        <v>14.455</v>
      </c>
      <c r="G12" s="330"/>
      <c r="H12" s="330"/>
      <c r="I12" s="330"/>
      <c r="J12" s="330">
        <f t="shared" si="0"/>
        <v>14.455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7" t="s">
        <v>242</v>
      </c>
      <c r="B13" s="368" t="s">
        <v>55</v>
      </c>
      <c r="C13" s="369">
        <v>202</v>
      </c>
      <c r="D13" s="330">
        <f>'STOK DETAY'!AA6</f>
        <v>0</v>
      </c>
      <c r="E13" s="330">
        <f>'STOK DETAY'!AB6</f>
        <v>0</v>
      </c>
      <c r="F13" s="330">
        <f>'STOK DETAY'!AC6</f>
        <v>38.564999999999998</v>
      </c>
      <c r="G13" s="330"/>
      <c r="H13" s="330"/>
      <c r="I13" s="330">
        <f>'STOK DETAY'!AD6</f>
        <v>0</v>
      </c>
      <c r="J13" s="330">
        <f t="shared" si="0"/>
        <v>38.564999999999998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7" t="s">
        <v>253</v>
      </c>
      <c r="B14" s="368" t="s">
        <v>55</v>
      </c>
      <c r="C14" s="369">
        <v>202</v>
      </c>
      <c r="D14" s="330">
        <f>'STOK DETAY'!AE6</f>
        <v>0</v>
      </c>
      <c r="E14" s="330">
        <f>'STOK DETAY'!AF6</f>
        <v>0</v>
      </c>
      <c r="F14" s="330">
        <f>'STOK DETAY'!AG6</f>
        <v>16.21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16.21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7" t="s">
        <v>254</v>
      </c>
      <c r="B15" s="368" t="s">
        <v>55</v>
      </c>
      <c r="C15" s="369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7" t="s">
        <v>243</v>
      </c>
      <c r="B16" s="368" t="s">
        <v>55</v>
      </c>
      <c r="C16" s="369">
        <v>203</v>
      </c>
      <c r="D16" s="330">
        <f>'STOK DETAY'!AL6</f>
        <v>0</v>
      </c>
      <c r="E16" s="330">
        <f>'STOK DETAY'!AM6</f>
        <v>0</v>
      </c>
      <c r="F16" s="330">
        <f>'STOK DETAY'!AN6</f>
        <v>82.93</v>
      </c>
      <c r="G16" s="330"/>
      <c r="H16" s="330">
        <f>'STOK DETAY'!AO6</f>
        <v>0</v>
      </c>
      <c r="I16" s="330"/>
      <c r="J16" s="330">
        <f t="shared" si="0"/>
        <v>82.93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7" t="s">
        <v>255</v>
      </c>
      <c r="B17" s="368" t="s">
        <v>55</v>
      </c>
      <c r="C17" s="369">
        <v>203</v>
      </c>
      <c r="D17" s="330">
        <f>'STOK DETAY'!AP6</f>
        <v>0</v>
      </c>
      <c r="E17" s="330">
        <f>'STOK DETAY'!AQ6</f>
        <v>0</v>
      </c>
      <c r="F17" s="330">
        <f>'STOK DETAY'!AR6</f>
        <v>7.94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7.94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7" t="s">
        <v>244</v>
      </c>
      <c r="B18" s="368" t="s">
        <v>55</v>
      </c>
      <c r="C18" s="369">
        <v>301</v>
      </c>
      <c r="D18" s="330">
        <f>'STOK DETAY'!AU6</f>
        <v>0</v>
      </c>
      <c r="E18" s="330">
        <f>'STOK DETAY'!AV6</f>
        <v>0</v>
      </c>
      <c r="F18" s="330">
        <f>'STOK DETAY'!AW6</f>
        <v>0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 t="shared" si="0"/>
        <v>0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7" t="s">
        <v>256</v>
      </c>
      <c r="B19" s="368" t="s">
        <v>55</v>
      </c>
      <c r="C19" s="369">
        <v>301</v>
      </c>
      <c r="D19" s="330">
        <f>'STOK DETAY'!BA6</f>
        <v>0</v>
      </c>
      <c r="E19" s="330">
        <f>'STOK DETAY'!BB6</f>
        <v>0</v>
      </c>
      <c r="F19" s="330">
        <f>'STOK DETAY'!BC6</f>
        <v>0</v>
      </c>
      <c r="G19" s="330"/>
      <c r="H19" s="330">
        <f>'STOK DETAY'!BE6</f>
        <v>0</v>
      </c>
      <c r="I19" s="330">
        <f>'STOK DETAY'!BF6</f>
        <v>0</v>
      </c>
      <c r="J19" s="330">
        <f t="shared" si="0"/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7" t="s">
        <v>257</v>
      </c>
      <c r="B20" s="368" t="s">
        <v>55</v>
      </c>
      <c r="C20" s="369">
        <v>302</v>
      </c>
      <c r="D20" s="330">
        <f>'STOK DETAY'!BG6</f>
        <v>0</v>
      </c>
      <c r="E20" s="330">
        <f>'STOK DETAY'!BH6</f>
        <v>0</v>
      </c>
      <c r="F20" s="330">
        <f>'STOK DETAY'!BI6</f>
        <v>0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 t="shared" si="0"/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7" t="s">
        <v>258</v>
      </c>
      <c r="B21" s="368" t="s">
        <v>55</v>
      </c>
      <c r="C21" s="369">
        <v>302</v>
      </c>
      <c r="D21" s="330">
        <f>'STOK DETAY'!BM6</f>
        <v>0</v>
      </c>
      <c r="E21" s="330">
        <f>'STOK DETAY'!BN6</f>
        <v>0</v>
      </c>
      <c r="F21" s="330">
        <f>'STOK DETAY'!BO6</f>
        <v>0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 t="shared" si="0"/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7" t="s">
        <v>259</v>
      </c>
      <c r="B22" s="368" t="s">
        <v>55</v>
      </c>
      <c r="C22" s="369">
        <v>303</v>
      </c>
      <c r="D22" s="330">
        <f>'STOK DETAY'!BS6</f>
        <v>0</v>
      </c>
      <c r="E22" s="330">
        <f>'STOK DETAY'!BT6</f>
        <v>0</v>
      </c>
      <c r="F22" s="330">
        <f>'STOK DETAY'!BU6</f>
        <v>0</v>
      </c>
      <c r="G22" s="330">
        <f>'STOK DETAY'!BV6</f>
        <v>0</v>
      </c>
      <c r="H22" s="330">
        <f>'STOK DETAY'!BW6</f>
        <v>0</v>
      </c>
      <c r="I22" s="330">
        <f>'STOK DETAY'!BX6</f>
        <v>25.74</v>
      </c>
      <c r="J22" s="330">
        <f t="shared" si="0"/>
        <v>25.74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7" t="s">
        <v>260</v>
      </c>
      <c r="B23" s="368" t="s">
        <v>55</v>
      </c>
      <c r="C23" s="369">
        <v>303</v>
      </c>
      <c r="D23" s="330">
        <f>'STOK DETAY'!BY6</f>
        <v>0</v>
      </c>
      <c r="E23" s="330">
        <f>'STOK DETAY'!BZ6</f>
        <v>0</v>
      </c>
      <c r="F23" s="330">
        <f>'STOK DETAY'!CA6</f>
        <v>0</v>
      </c>
      <c r="G23" s="330">
        <f>'STOK DETAY'!CB6</f>
        <v>0</v>
      </c>
      <c r="H23" s="330">
        <f>'STOK DETAY'!CC6</f>
        <v>0</v>
      </c>
      <c r="I23" s="330">
        <f>'STOK DETAY'!CD6</f>
        <v>0</v>
      </c>
      <c r="J23" s="330">
        <f t="shared" si="0"/>
        <v>0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7" t="s">
        <v>261</v>
      </c>
      <c r="B24" s="368" t="s">
        <v>55</v>
      </c>
      <c r="C24" s="369">
        <v>401</v>
      </c>
      <c r="D24" s="330">
        <f>'STOK DETAY'!CE6</f>
        <v>0</v>
      </c>
      <c r="E24" s="330">
        <f>'STOK DETAY'!CF6</f>
        <v>0</v>
      </c>
      <c r="F24" s="330">
        <f>'STOK DETAY'!CG6</f>
        <v>0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 t="shared" si="0"/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7" t="s">
        <v>262</v>
      </c>
      <c r="B25" s="368" t="s">
        <v>55</v>
      </c>
      <c r="C25" s="369">
        <v>401</v>
      </c>
      <c r="D25" s="330">
        <f>'STOK DETAY'!CK6</f>
        <v>0</v>
      </c>
      <c r="E25" s="330">
        <f>'STOK DETAY'!CL6</f>
        <v>0</v>
      </c>
      <c r="F25" s="330">
        <f>'STOK DETAY'!CM6</f>
        <v>0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 t="shared" si="0"/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7" t="s">
        <v>263</v>
      </c>
      <c r="B26" s="368" t="s">
        <v>55</v>
      </c>
      <c r="C26" s="369">
        <v>402</v>
      </c>
      <c r="D26" s="330">
        <f>'STOK DETAY'!CQ6</f>
        <v>0</v>
      </c>
      <c r="E26" s="330">
        <f>'STOK DETAY'!CR6</f>
        <v>0</v>
      </c>
      <c r="F26" s="330">
        <f>'STOK DETAY'!CS6</f>
        <v>0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0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7" t="s">
        <v>264</v>
      </c>
      <c r="B27" s="368" t="s">
        <v>55</v>
      </c>
      <c r="C27" s="369">
        <v>402</v>
      </c>
      <c r="D27" s="330">
        <f>'STOK DETAY'!CW6</f>
        <v>0</v>
      </c>
      <c r="E27" s="330">
        <f>'STOK DETAY'!CX6</f>
        <v>0</v>
      </c>
      <c r="F27" s="330">
        <f>'STOK DETAY'!CY6</f>
        <v>0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7" t="s">
        <v>265</v>
      </c>
      <c r="B28" s="368" t="s">
        <v>55</v>
      </c>
      <c r="C28" s="369">
        <v>403</v>
      </c>
      <c r="D28" s="330">
        <f>'STOK DETAY'!DC6</f>
        <v>0</v>
      </c>
      <c r="E28" s="330">
        <f>'STOK DETAY'!DD6</f>
        <v>0</v>
      </c>
      <c r="F28" s="330">
        <f>'STOK DETAY'!DE6</f>
        <v>34.340000000000003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34.340000000000003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7" t="s">
        <v>266</v>
      </c>
      <c r="B29" s="368" t="s">
        <v>55</v>
      </c>
      <c r="C29" s="369">
        <v>403</v>
      </c>
      <c r="D29" s="330">
        <f>'STOK DETAY'!DI6</f>
        <v>0</v>
      </c>
      <c r="E29" s="330">
        <f>'STOK DETAY'!DJ6</f>
        <v>0</v>
      </c>
      <c r="F29" s="330">
        <f>'STOK DETAY'!DK6</f>
        <v>34.72</v>
      </c>
      <c r="G29" s="330">
        <f>'STOK DETAY'!DL6</f>
        <v>0</v>
      </c>
      <c r="H29" s="330">
        <f>'STOK DETAY'!DM6</f>
        <v>0</v>
      </c>
      <c r="I29" s="330"/>
      <c r="J29" s="330">
        <f t="shared" si="0"/>
        <v>34.72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7" t="s">
        <v>267</v>
      </c>
      <c r="B30" s="368" t="s">
        <v>55</v>
      </c>
      <c r="C30" s="369">
        <v>501</v>
      </c>
      <c r="D30" s="330">
        <f>'STOK DETAY'!DN6</f>
        <v>0</v>
      </c>
      <c r="E30" s="330">
        <f>'STOK DETAY'!DO6</f>
        <v>8.5250000000000004</v>
      </c>
      <c r="F30" s="330">
        <f>'STOK DETAY'!DP6</f>
        <v>0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8.5250000000000004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7" t="s">
        <v>268</v>
      </c>
      <c r="B31" s="368" t="s">
        <v>55</v>
      </c>
      <c r="C31" s="369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7" t="s">
        <v>269</v>
      </c>
      <c r="B32" s="368" t="s">
        <v>55</v>
      </c>
      <c r="C32" s="369">
        <v>502</v>
      </c>
      <c r="D32" s="330">
        <f>'STOK DETAY'!DY6</f>
        <v>0</v>
      </c>
      <c r="E32" s="330">
        <f>'STOK DETAY'!DZ6</f>
        <v>0</v>
      </c>
      <c r="F32" s="330">
        <f>'STOK DETAY'!EA6</f>
        <v>0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0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7" t="s">
        <v>270</v>
      </c>
      <c r="B33" s="368" t="s">
        <v>55</v>
      </c>
      <c r="C33" s="369">
        <v>502</v>
      </c>
      <c r="D33" s="330">
        <f>'STOK DETAY'!EE6</f>
        <v>0</v>
      </c>
      <c r="E33" s="330">
        <f>'STOK DETAY'!EF6</f>
        <v>0</v>
      </c>
      <c r="F33" s="330">
        <f>'STOK DETAY'!EG6</f>
        <v>211.39500000000001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221.58500000000001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7" t="s">
        <v>271</v>
      </c>
      <c r="B34" s="368" t="s">
        <v>55</v>
      </c>
      <c r="C34" s="369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7" t="s">
        <v>272</v>
      </c>
      <c r="B35" s="368" t="s">
        <v>55</v>
      </c>
      <c r="C35" s="369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7" t="s">
        <v>273</v>
      </c>
      <c r="B36" s="368" t="s">
        <v>55</v>
      </c>
      <c r="C36" s="369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7" t="s">
        <v>274</v>
      </c>
      <c r="B37" s="368" t="s">
        <v>55</v>
      </c>
      <c r="C37" s="369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7" t="s">
        <v>275</v>
      </c>
      <c r="B38" s="368" t="s">
        <v>55</v>
      </c>
      <c r="C38" s="369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7" t="s">
        <v>276</v>
      </c>
      <c r="B39" s="368" t="s">
        <v>55</v>
      </c>
      <c r="C39" s="369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7" t="s">
        <v>277</v>
      </c>
      <c r="B40" s="368" t="s">
        <v>55</v>
      </c>
      <c r="C40" s="369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7" t="s">
        <v>278</v>
      </c>
      <c r="B41" s="368" t="s">
        <v>55</v>
      </c>
      <c r="C41" s="369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7" t="s">
        <v>279</v>
      </c>
      <c r="B42" s="368" t="s">
        <v>55</v>
      </c>
      <c r="C42" s="369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7" t="s">
        <v>280</v>
      </c>
      <c r="B43" s="368" t="s">
        <v>55</v>
      </c>
      <c r="C43" s="369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7" t="s">
        <v>281</v>
      </c>
      <c r="B44" s="368" t="s">
        <v>55</v>
      </c>
      <c r="C44" s="369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7" t="s">
        <v>282</v>
      </c>
      <c r="B45" s="368" t="s">
        <v>55</v>
      </c>
      <c r="C45" s="369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7" t="s">
        <v>283</v>
      </c>
      <c r="B46" s="368" t="s">
        <v>55</v>
      </c>
      <c r="C46" s="369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7" t="s">
        <v>284</v>
      </c>
      <c r="B47" s="368" t="s">
        <v>55</v>
      </c>
      <c r="C47" s="369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7" t="s">
        <v>245</v>
      </c>
      <c r="B48" s="368" t="s">
        <v>55</v>
      </c>
      <c r="C48" s="369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7" t="s">
        <v>285</v>
      </c>
      <c r="B49" s="368" t="s">
        <v>55</v>
      </c>
      <c r="C49" s="369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7" t="s">
        <v>286</v>
      </c>
      <c r="B50" s="368" t="s">
        <v>55</v>
      </c>
      <c r="C50" s="369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7" t="s">
        <v>287</v>
      </c>
      <c r="B51" s="368" t="s">
        <v>55</v>
      </c>
      <c r="C51" s="369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7" t="s">
        <v>288</v>
      </c>
      <c r="B52" s="368" t="s">
        <v>55</v>
      </c>
      <c r="C52" s="369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7" t="s">
        <v>289</v>
      </c>
      <c r="B53" s="368" t="s">
        <v>55</v>
      </c>
      <c r="C53" s="369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7" t="s">
        <v>290</v>
      </c>
      <c r="B54" s="368" t="s">
        <v>30</v>
      </c>
      <c r="C54" s="369">
        <v>611</v>
      </c>
      <c r="D54" s="330">
        <f>'STOK DETAY'!GJ6</f>
        <v>0</v>
      </c>
      <c r="E54" s="330"/>
      <c r="F54" s="330">
        <f>'STOK DETAY'!GK6</f>
        <v>54.058</v>
      </c>
      <c r="G54" s="330"/>
      <c r="H54" s="330"/>
      <c r="I54" s="330"/>
      <c r="J54" s="330">
        <f t="shared" si="1"/>
        <v>54.058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7" t="s">
        <v>246</v>
      </c>
      <c r="B55" s="332" t="s">
        <v>30</v>
      </c>
      <c r="C55" s="369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7" t="s">
        <v>291</v>
      </c>
      <c r="B56" s="332" t="s">
        <v>30</v>
      </c>
      <c r="C56" s="369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7" t="s">
        <v>292</v>
      </c>
      <c r="B57" s="368" t="s">
        <v>30</v>
      </c>
      <c r="C57" s="369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7" t="s">
        <v>293</v>
      </c>
      <c r="B58" s="368" t="s">
        <v>30</v>
      </c>
      <c r="C58" s="369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7" t="s">
        <v>294</v>
      </c>
      <c r="B59" s="368" t="s">
        <v>30</v>
      </c>
      <c r="C59" s="369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7" t="s">
        <v>295</v>
      </c>
      <c r="B60" s="368" t="s">
        <v>30</v>
      </c>
      <c r="C60" s="369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7" t="s">
        <v>296</v>
      </c>
      <c r="B61" s="368" t="s">
        <v>30</v>
      </c>
      <c r="C61" s="369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7" t="s">
        <v>248</v>
      </c>
      <c r="B62" s="368" t="s">
        <v>30</v>
      </c>
      <c r="C62" s="369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7" t="s">
        <v>297</v>
      </c>
      <c r="B63" s="368" t="s">
        <v>30</v>
      </c>
      <c r="C63" s="369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7" t="s">
        <v>249</v>
      </c>
      <c r="B64" s="368" t="s">
        <v>30</v>
      </c>
      <c r="C64" s="369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7" t="s">
        <v>250</v>
      </c>
      <c r="B65" s="368" t="s">
        <v>30</v>
      </c>
      <c r="C65" s="369"/>
      <c r="D65" s="330">
        <f>'STOK DETAY'!HE6</f>
        <v>0</v>
      </c>
      <c r="E65" s="330"/>
      <c r="F65" s="330">
        <f>'STOK DETAY'!HF6</f>
        <v>0</v>
      </c>
      <c r="G65" s="330"/>
      <c r="H65" s="330"/>
      <c r="I65" s="330"/>
      <c r="J65" s="330">
        <f t="shared" si="1"/>
        <v>0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7" t="s">
        <v>251</v>
      </c>
      <c r="B66" s="368" t="s">
        <v>30</v>
      </c>
      <c r="C66" s="369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7" t="s">
        <v>298</v>
      </c>
      <c r="B67" s="368" t="s">
        <v>30</v>
      </c>
      <c r="C67" s="369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7" t="s">
        <v>299</v>
      </c>
      <c r="B68" s="368" t="s">
        <v>30</v>
      </c>
      <c r="C68" s="369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7" t="s">
        <v>252</v>
      </c>
      <c r="B69" s="368" t="s">
        <v>30</v>
      </c>
      <c r="C69" s="369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7" t="s">
        <v>300</v>
      </c>
      <c r="B70" s="368" t="s">
        <v>30</v>
      </c>
      <c r="C70" s="369">
        <v>612</v>
      </c>
      <c r="D70" s="330">
        <f>'STOK DETAY'!HO6</f>
        <v>0</v>
      </c>
      <c r="E70" s="330"/>
      <c r="F70" s="330">
        <f>'STOK DETAY'!HP6</f>
        <v>0</v>
      </c>
      <c r="G70" s="330"/>
      <c r="H70" s="330"/>
      <c r="I70" s="330"/>
      <c r="J70" s="330">
        <f t="shared" si="2"/>
        <v>0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7" t="s">
        <v>242</v>
      </c>
      <c r="B71" s="368" t="s">
        <v>30</v>
      </c>
      <c r="C71" s="369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7" t="s">
        <v>253</v>
      </c>
      <c r="B72" s="368" t="s">
        <v>30</v>
      </c>
      <c r="C72" s="369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7" t="s">
        <v>253</v>
      </c>
      <c r="B73" s="368" t="s">
        <v>129</v>
      </c>
      <c r="C73" s="369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7" t="s">
        <v>243</v>
      </c>
      <c r="B74" s="368" t="s">
        <v>30</v>
      </c>
      <c r="C74" s="369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7" t="s">
        <v>255</v>
      </c>
      <c r="B75" s="368" t="s">
        <v>30</v>
      </c>
      <c r="C75" s="369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7" t="s">
        <v>244</v>
      </c>
      <c r="B76" s="368" t="s">
        <v>30</v>
      </c>
      <c r="C76" s="369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7" t="s">
        <v>256</v>
      </c>
      <c r="B77" s="368" t="s">
        <v>30</v>
      </c>
      <c r="C77" s="369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7" t="s">
        <v>257</v>
      </c>
      <c r="B78" s="368" t="s">
        <v>30</v>
      </c>
      <c r="C78" s="369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7" t="s">
        <v>258</v>
      </c>
      <c r="B79" s="368" t="s">
        <v>30</v>
      </c>
      <c r="C79" s="369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7" t="s">
        <v>259</v>
      </c>
      <c r="B80" s="368" t="s">
        <v>30</v>
      </c>
      <c r="C80" s="369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7" t="s">
        <v>260</v>
      </c>
      <c r="B81" s="332" t="s">
        <v>30</v>
      </c>
      <c r="C81" s="369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7" t="s">
        <v>261</v>
      </c>
      <c r="B82" s="368" t="s">
        <v>30</v>
      </c>
      <c r="C82" s="369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7" t="s">
        <v>262</v>
      </c>
      <c r="B83" s="368" t="s">
        <v>30</v>
      </c>
      <c r="C83" s="369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7" t="s">
        <v>251</v>
      </c>
      <c r="B84" s="368" t="s">
        <v>10</v>
      </c>
      <c r="C84" s="369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7" t="s">
        <v>243</v>
      </c>
      <c r="B85" s="368" t="s">
        <v>10</v>
      </c>
      <c r="C85" s="369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7" t="s">
        <v>255</v>
      </c>
      <c r="B86" s="368" t="s">
        <v>10</v>
      </c>
      <c r="C86" s="369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7" t="s">
        <v>244</v>
      </c>
      <c r="B87" s="368" t="s">
        <v>10</v>
      </c>
      <c r="C87" s="369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7" t="s">
        <v>257</v>
      </c>
      <c r="B88" s="368" t="s">
        <v>10</v>
      </c>
      <c r="C88" s="369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404.44</v>
      </c>
      <c r="J88" s="330">
        <f t="shared" si="2"/>
        <v>404.44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7" t="s">
        <v>263</v>
      </c>
      <c r="B89" s="368" t="s">
        <v>10</v>
      </c>
      <c r="C89" s="369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7" t="s">
        <v>267</v>
      </c>
      <c r="B90" s="368" t="s">
        <v>10</v>
      </c>
      <c r="C90" s="369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7" t="s">
        <v>269</v>
      </c>
      <c r="B91" s="368" t="s">
        <v>10</v>
      </c>
      <c r="C91" s="369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7" t="s">
        <v>271</v>
      </c>
      <c r="B92" s="368" t="s">
        <v>10</v>
      </c>
      <c r="C92" s="369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7" t="s">
        <v>275</v>
      </c>
      <c r="B93" s="368" t="s">
        <v>10</v>
      </c>
      <c r="C93" s="369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7" t="s">
        <v>276</v>
      </c>
      <c r="B94" s="368" t="s">
        <v>10</v>
      </c>
      <c r="C94" s="369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7" t="s">
        <v>277</v>
      </c>
      <c r="B95" s="368" t="s">
        <v>10</v>
      </c>
      <c r="C95" s="369">
        <v>511</v>
      </c>
      <c r="D95" s="330"/>
      <c r="E95" s="330">
        <f>'STOK DETAY'!IV6</f>
        <v>0</v>
      </c>
      <c r="F95" s="330"/>
      <c r="G95" s="330"/>
      <c r="H95" s="330"/>
      <c r="I95" s="330"/>
      <c r="J95" s="330">
        <f t="shared" si="2"/>
        <v>0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7" t="s">
        <v>288</v>
      </c>
      <c r="B96" s="368" t="s">
        <v>10</v>
      </c>
      <c r="C96" s="369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2026-04-06T10:46:22Z</cp:lastPrinted>
  <dcterms:created xsi:type="dcterms:W3CDTF">2020-02-24T10:22:08Z</dcterms:created>
  <dcterms:modified xsi:type="dcterms:W3CDTF">2026-04-06T10:46:24Z</dcterms:modified>
</cp:coreProperties>
</file>