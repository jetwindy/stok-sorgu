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O6163" i="13" l="1"/>
  <c r="C6163" i="13" s="1"/>
  <c r="CS6145" i="13" l="1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C6504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l="1"/>
  <c r="H18" i="22"/>
  <c r="CF5947" i="13"/>
  <c r="IN5939" i="13" l="1"/>
  <c r="DU5937" i="13"/>
  <c r="CA5930" i="13" l="1"/>
  <c r="BU5930" i="13"/>
  <c r="BO5930" i="13"/>
  <c r="CG5920" i="13" l="1"/>
  <c r="CA5920" i="13"/>
  <c r="BO5920" i="13"/>
  <c r="IO6" i="13" l="1"/>
  <c r="K95" i="12" l="1"/>
  <c r="I88" i="22"/>
  <c r="CS5904" i="13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l="1"/>
  <c r="E88" i="12" s="1"/>
  <c r="F83" i="22"/>
  <c r="J83" i="22" s="1"/>
  <c r="GZ5865" i="13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IK6" i="13"/>
  <c r="IL6" i="13"/>
  <c r="IM6" i="13"/>
  <c r="IN6" i="13"/>
  <c r="IP6" i="13"/>
  <c r="IQ6" i="13"/>
  <c r="IR6" i="13"/>
  <c r="IS6" i="13"/>
  <c r="IT6" i="13"/>
  <c r="IU6" i="13"/>
  <c r="IV6" i="13"/>
  <c r="IW6" i="13"/>
  <c r="G103" i="12" l="1"/>
  <c r="E96" i="22"/>
  <c r="J96" i="22" s="1"/>
  <c r="G102" i="12"/>
  <c r="E95" i="22"/>
  <c r="J95" i="22" s="1"/>
  <c r="G100" i="12"/>
  <c r="E100" i="12" s="1"/>
  <c r="E93" i="22"/>
  <c r="J93" i="22" s="1"/>
  <c r="G98" i="12"/>
  <c r="E98" i="12" s="1"/>
  <c r="E91" i="22"/>
  <c r="J91" i="22" s="1"/>
  <c r="G96" i="12"/>
  <c r="E96" i="12" s="1"/>
  <c r="E89" i="22"/>
  <c r="J89" i="22" s="1"/>
  <c r="F94" i="12"/>
  <c r="D87" i="22"/>
  <c r="J87" i="22" s="1"/>
  <c r="G92" i="12"/>
  <c r="E92" i="12" s="1"/>
  <c r="E85" i="22"/>
  <c r="J85" i="22" s="1"/>
  <c r="G101" i="12"/>
  <c r="E101" i="12" s="1"/>
  <c r="E94" i="22"/>
  <c r="J94" i="22" s="1"/>
  <c r="G99" i="12"/>
  <c r="E99" i="12" s="1"/>
  <c r="E92" i="22"/>
  <c r="J92" i="22" s="1"/>
  <c r="G97" i="12"/>
  <c r="E97" i="12" s="1"/>
  <c r="E90" i="22"/>
  <c r="J90" i="22" s="1"/>
  <c r="F95" i="12"/>
  <c r="E95" i="12" s="1"/>
  <c r="D88" i="22"/>
  <c r="J88" i="22" s="1"/>
  <c r="G93" i="12"/>
  <c r="E93" i="12" s="1"/>
  <c r="E86" i="22"/>
  <c r="J86" i="22" s="1"/>
  <c r="G91" i="12"/>
  <c r="E84" i="22"/>
  <c r="J84" i="22" s="1"/>
  <c r="E94" i="12"/>
  <c r="F104" i="12"/>
  <c r="E91" i="12"/>
  <c r="G104" i="12"/>
  <c r="GX6" i="13"/>
  <c r="W6" i="13"/>
  <c r="K14" i="12" l="1"/>
  <c r="I11" i="22"/>
  <c r="H66" i="12"/>
  <c r="E66" i="12" s="1"/>
  <c r="F61" i="22"/>
  <c r="J61" i="22" s="1"/>
  <c r="E104" i="12"/>
  <c r="BO5696" i="13"/>
  <c r="DX6" i="13" l="1"/>
  <c r="C5692" i="13"/>
  <c r="ED6" i="13"/>
  <c r="K35" i="12" l="1"/>
  <c r="I32" i="22"/>
  <c r="K34" i="12"/>
  <c r="I31" i="22"/>
  <c r="C5673" i="13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FX6" i="13"/>
  <c r="D49" i="22" s="1"/>
  <c r="J52" i="12" l="1"/>
  <c r="H49" i="22"/>
  <c r="AR5560" i="13"/>
  <c r="P5560" i="13"/>
  <c r="AK6" i="13" l="1"/>
  <c r="HB6" i="13"/>
  <c r="HM5560" i="13"/>
  <c r="HY5560" i="13"/>
  <c r="FM6" i="13"/>
  <c r="C6" i="21"/>
  <c r="H18" i="12" l="1"/>
  <c r="E18" i="12" s="1"/>
  <c r="F15" i="22"/>
  <c r="J15" i="22" s="1"/>
  <c r="F47" i="12"/>
  <c r="D44" i="22"/>
  <c r="F68" i="12"/>
  <c r="E68" i="12" s="1"/>
  <c r="D63" i="22"/>
  <c r="J63" i="22" s="1"/>
  <c r="EA5551" i="13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GC6" i="13"/>
  <c r="FE6" i="13"/>
  <c r="C5523" i="13"/>
  <c r="J44" i="12" l="1"/>
  <c r="E44" i="12" s="1"/>
  <c r="H41" i="22"/>
  <c r="J41" i="22" s="1"/>
  <c r="J55" i="12"/>
  <c r="E55" i="12" s="1"/>
  <c r="H52" i="22"/>
  <c r="J52" i="22" s="1"/>
  <c r="J53" i="12"/>
  <c r="H50" i="22"/>
  <c r="BO5515" i="13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l="1"/>
  <c r="I69" i="22"/>
  <c r="BU5485" i="13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FN6" i="13"/>
  <c r="FO6" i="13"/>
  <c r="FP6" i="13"/>
  <c r="EU5340" i="13"/>
  <c r="C5340" i="13" s="1"/>
  <c r="J49" i="12" l="1"/>
  <c r="E49" i="12" s="1"/>
  <c r="H46" i="22"/>
  <c r="J46" i="22" s="1"/>
  <c r="J47" i="12"/>
  <c r="E47" i="12" s="1"/>
  <c r="H44" i="22"/>
  <c r="J44" i="22" s="1"/>
  <c r="J48" i="12"/>
  <c r="E48" i="12" s="1"/>
  <c r="H45" i="22"/>
  <c r="J45" i="22" s="1"/>
  <c r="J56" i="12"/>
  <c r="E56" i="12" s="1"/>
  <c r="H53" i="22"/>
  <c r="J53" i="22" s="1"/>
  <c r="CU6" i="13"/>
  <c r="J29" i="12" l="1"/>
  <c r="H26" i="22"/>
  <c r="C5328" i="13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G33" i="22" s="1"/>
  <c r="AJ6" i="13"/>
  <c r="I14" i="22" s="1"/>
  <c r="K17" i="12" l="1"/>
  <c r="I36" i="12"/>
  <c r="DS4920" i="13"/>
  <c r="DN4920" i="13"/>
  <c r="CY4924" i="13"/>
  <c r="CG4924" i="13"/>
  <c r="C4920" i="13" l="1"/>
  <c r="F7" i="12"/>
  <c r="CD6" i="13" l="1"/>
  <c r="I23" i="22" s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H27" i="22" s="1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H51" i="22" s="1"/>
  <c r="FW6" i="13"/>
  <c r="H48" i="22" s="1"/>
  <c r="FU6" i="13"/>
  <c r="E48" i="22" s="1"/>
  <c r="FL6" i="13"/>
  <c r="H43" i="22" s="1"/>
  <c r="FH6" i="13"/>
  <c r="H42" i="22" s="1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H37" i="22" s="1"/>
  <c r="J37" i="22" s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H40" i="22" s="1"/>
  <c r="EQ6" i="13"/>
  <c r="H35" i="22" s="1"/>
  <c r="EU6" i="13"/>
  <c r="H36" i="22" s="1"/>
  <c r="EM6" i="13"/>
  <c r="H34" i="22" s="1"/>
  <c r="EI6" i="13"/>
  <c r="H33" i="22" s="1"/>
  <c r="J36" i="12" l="1"/>
  <c r="J39" i="12"/>
  <c r="J43" i="12"/>
  <c r="J37" i="12"/>
  <c r="J38" i="12"/>
  <c r="EP4424" i="13"/>
  <c r="R6" i="13" l="1"/>
  <c r="I9" i="22" s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H21" i="22" s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I5" i="22" s="1"/>
  <c r="J5" i="22" s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8" i="22" s="1"/>
  <c r="FG6" i="13"/>
  <c r="F42" i="22" s="1"/>
  <c r="H45" i="12" l="1"/>
  <c r="H11" i="12"/>
  <c r="C3328" i="13"/>
  <c r="AW3350" i="13" l="1"/>
  <c r="C3320" i="13" l="1"/>
  <c r="C3302" i="13" l="1"/>
  <c r="FS6" i="13" l="1"/>
  <c r="F47" i="22" s="1"/>
  <c r="H50" i="12" l="1"/>
  <c r="C3161" i="13"/>
  <c r="GN6" i="13" l="1"/>
  <c r="C3228" i="13" l="1"/>
  <c r="C3235" i="13"/>
  <c r="AN3253" i="13" l="1"/>
  <c r="HD6" i="13" l="1"/>
  <c r="F64" i="22" s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I47" i="22" s="1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H25" i="22" s="1"/>
  <c r="CI6" i="13"/>
  <c r="H24" i="22" s="1"/>
  <c r="BW6" i="13"/>
  <c r="H22" i="22" s="1"/>
  <c r="BK6" i="13"/>
  <c r="H20" i="22" s="1"/>
  <c r="BE6" i="13"/>
  <c r="H19" i="22" s="1"/>
  <c r="AX6" i="13"/>
  <c r="G18" i="22" s="1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I50" i="22" s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F78" i="22" s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I62" i="22" s="1"/>
  <c r="K67" i="12" l="1"/>
  <c r="DS2738" i="13"/>
  <c r="C2716" i="13" l="1"/>
  <c r="C2710" i="13" l="1"/>
  <c r="C2584" i="13" l="1"/>
  <c r="C2669" i="13" l="1"/>
  <c r="EP6" i="13" l="1"/>
  <c r="F35" i="22" s="1"/>
  <c r="H38" i="12" l="1"/>
  <c r="HI6" i="13"/>
  <c r="I66" i="22" s="1"/>
  <c r="K71" i="12" l="1"/>
  <c r="K89" i="12" s="1"/>
  <c r="BI2618" i="13"/>
  <c r="HJ6" i="13" l="1"/>
  <c r="F67" i="22" s="1"/>
  <c r="J67" i="22" s="1"/>
  <c r="H72" i="12" l="1"/>
  <c r="E72" i="12" s="1"/>
  <c r="C2600" i="13"/>
  <c r="BI2580" i="13" l="1"/>
  <c r="C2578" i="13"/>
  <c r="GZ2436" i="13" l="1"/>
  <c r="C2436" i="13" s="1"/>
  <c r="P6" i="13" l="1"/>
  <c r="F9" i="22" s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F54" i="22" s="1"/>
  <c r="GW6" i="13"/>
  <c r="F60" i="22" s="1"/>
  <c r="GO6" i="13"/>
  <c r="F56" i="22" s="1"/>
  <c r="J56" i="22" s="1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I4" i="22" s="1"/>
  <c r="J4" i="22" s="1"/>
  <c r="K5" i="12" l="1"/>
  <c r="E5" i="12" s="1"/>
  <c r="CM2458" i="13"/>
  <c r="CG2458" i="13"/>
  <c r="N6" i="13" l="1"/>
  <c r="D9" i="22" s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F77" i="22" s="1"/>
  <c r="J77" i="22" s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F43" i="22" s="1"/>
  <c r="HV6" i="13"/>
  <c r="F74" i="22" s="1"/>
  <c r="H79" i="12" l="1"/>
  <c r="H46" i="12"/>
  <c r="HH6" i="13"/>
  <c r="F66" i="22" s="1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F7" i="22" s="1"/>
  <c r="J7" i="22" s="1"/>
  <c r="HX6" i="13"/>
  <c r="F75" i="22" s="1"/>
  <c r="GT6" i="13"/>
  <c r="J6" i="13"/>
  <c r="H6" i="13"/>
  <c r="F6" i="22" s="1"/>
  <c r="J6" i="22" s="1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F14" i="22" s="1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F33" i="22" s="1"/>
  <c r="HF6" i="13"/>
  <c r="F65" i="22" s="1"/>
  <c r="HM6" i="13"/>
  <c r="F69" i="22" s="1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F48" i="22" s="1"/>
  <c r="J48" i="22" s="1"/>
  <c r="AC6" i="13"/>
  <c r="F13" i="22" s="1"/>
  <c r="Z6" i="13"/>
  <c r="F12" i="22" s="1"/>
  <c r="H15" i="12" l="1"/>
  <c r="H51" i="12"/>
  <c r="H16" i="12"/>
  <c r="AR1836" i="13"/>
  <c r="C1836" i="13" s="1"/>
  <c r="C1522" i="13" l="1"/>
  <c r="EA6" i="13" l="1"/>
  <c r="F32" i="22" s="1"/>
  <c r="H35" i="12" l="1"/>
  <c r="C1812" i="13"/>
  <c r="C1714" i="13" l="1"/>
  <c r="GZ6" i="13" l="1"/>
  <c r="F62" i="22" s="1"/>
  <c r="H67" i="12" l="1"/>
  <c r="DE6" i="13"/>
  <c r="F28" i="22" s="1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I49" i="22" s="1"/>
  <c r="J49" i="22" s="1"/>
  <c r="EX6" i="13"/>
  <c r="K52" i="12" l="1"/>
  <c r="CW1652" i="13"/>
  <c r="BM1652" i="13"/>
  <c r="C1652" i="13" l="1"/>
  <c r="ET6" i="13"/>
  <c r="F36" i="22" s="1"/>
  <c r="EW6" i="13"/>
  <c r="E38" i="22" s="1"/>
  <c r="J38" i="22" s="1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F30" i="22" s="1"/>
  <c r="DK6" i="13"/>
  <c r="F29" i="22" s="1"/>
  <c r="H33" i="12" l="1"/>
  <c r="H32" i="12"/>
  <c r="AR1544" i="13"/>
  <c r="C1544" i="13" s="1"/>
  <c r="GU6" i="13" l="1"/>
  <c r="FC6" i="13"/>
  <c r="F40" i="22" s="1"/>
  <c r="HT6" i="13"/>
  <c r="F73" i="22" s="1"/>
  <c r="J73" i="22" s="1"/>
  <c r="H64" i="12" l="1"/>
  <c r="E64" i="12" s="1"/>
  <c r="F59" i="22"/>
  <c r="J59" i="22" s="1"/>
  <c r="H43" i="12"/>
  <c r="H78" i="12"/>
  <c r="E78" i="12" s="1"/>
  <c r="HP1490" i="13"/>
  <c r="C1490" i="13" s="1"/>
  <c r="AR6" i="13" l="1"/>
  <c r="F17" i="22" s="1"/>
  <c r="GQ6" i="13"/>
  <c r="F57" i="22" s="1"/>
  <c r="S6" i="13"/>
  <c r="F10" i="22" s="1"/>
  <c r="J10" i="22" s="1"/>
  <c r="GB6" i="13"/>
  <c r="F50" i="22" s="1"/>
  <c r="IE6" i="13"/>
  <c r="F79" i="22" s="1"/>
  <c r="GM6" i="13"/>
  <c r="F55" i="22" s="1"/>
  <c r="EZ6" i="13"/>
  <c r="F39" i="22" s="1"/>
  <c r="EL6" i="13"/>
  <c r="F34" i="22" s="1"/>
  <c r="AN6" i="13"/>
  <c r="F16" i="22" s="1"/>
  <c r="GS6" i="13"/>
  <c r="DU6" i="13"/>
  <c r="F31" i="22" s="1"/>
  <c r="V6" i="13"/>
  <c r="F11" i="22" s="1"/>
  <c r="H63" i="12" l="1"/>
  <c r="F58" i="22"/>
  <c r="H37" i="12"/>
  <c r="H60" i="12"/>
  <c r="H53" i="12"/>
  <c r="H62" i="12"/>
  <c r="H14" i="12"/>
  <c r="H34" i="12"/>
  <c r="H19" i="12"/>
  <c r="H42" i="12"/>
  <c r="H84" i="12"/>
  <c r="H13" i="12"/>
  <c r="H20" i="12"/>
  <c r="D6" i="13"/>
  <c r="I2" i="22" s="1"/>
  <c r="J2" i="22" s="1"/>
  <c r="E6" i="13"/>
  <c r="I3" i="22" s="1"/>
  <c r="J3" i="22" s="1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F27" i="22" s="1"/>
  <c r="CS6" i="13"/>
  <c r="F26" i="22" s="1"/>
  <c r="CG6" i="13"/>
  <c r="F24" i="22" s="1"/>
  <c r="CA6" i="13"/>
  <c r="F23" i="22" s="1"/>
  <c r="BU6" i="13"/>
  <c r="F22" i="22" s="1"/>
  <c r="BO6" i="13"/>
  <c r="F21" i="22" s="1"/>
  <c r="BI6" i="13"/>
  <c r="F20" i="22" s="1"/>
  <c r="BC6" i="13"/>
  <c r="F19" i="22" s="1"/>
  <c r="AW6" i="13"/>
  <c r="F18" i="22" s="1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G25" i="22" s="1"/>
  <c r="CH6" i="13"/>
  <c r="G24" i="22" s="1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G29" i="22" s="1"/>
  <c r="AE950" i="13"/>
  <c r="I32" i="12" l="1"/>
  <c r="C1010" i="13"/>
  <c r="BS876" i="13"/>
  <c r="BM876" i="13"/>
  <c r="BA876" i="13"/>
  <c r="CK800" i="13"/>
  <c r="BS814" i="13"/>
  <c r="FA6" i="13" l="1"/>
  <c r="D40" i="22" s="1"/>
  <c r="F43" i="12" l="1"/>
  <c r="X6" i="13"/>
  <c r="D12" i="22" s="1"/>
  <c r="ER6" i="13"/>
  <c r="D36" i="22" s="1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D58" i="22" s="1"/>
  <c r="J58" i="22" s="1"/>
  <c r="AA6" i="13"/>
  <c r="D13" i="22" s="1"/>
  <c r="F63" i="12" l="1"/>
  <c r="E63" i="12" s="1"/>
  <c r="F16" i="12"/>
  <c r="CW8" i="13"/>
  <c r="BJ6" i="13" l="1"/>
  <c r="G20" i="22" s="1"/>
  <c r="BD6" i="13"/>
  <c r="AV399" i="13"/>
  <c r="I23" i="12" l="1"/>
  <c r="CR395" i="13"/>
  <c r="BN395" i="13"/>
  <c r="CB6" i="13" l="1"/>
  <c r="G23" i="22" s="1"/>
  <c r="BV6" i="13"/>
  <c r="G22" i="22" s="1"/>
  <c r="BP6" i="13"/>
  <c r="G21" i="22" s="1"/>
  <c r="I25" i="12" l="1"/>
  <c r="I24" i="12"/>
  <c r="I26" i="12"/>
  <c r="CC8" i="13"/>
  <c r="HG316" i="13" l="1"/>
  <c r="GL316" i="13"/>
  <c r="IH6" i="13"/>
  <c r="D82" i="22" s="1"/>
  <c r="J82" i="22" s="1"/>
  <c r="F87" i="12" l="1"/>
  <c r="E87" i="12" s="1"/>
  <c r="CE215" i="13"/>
  <c r="CX200" i="13"/>
  <c r="GJ6" i="13" l="1"/>
  <c r="D54" i="22" s="1"/>
  <c r="J54" i="22" s="1"/>
  <c r="BM127" i="13"/>
  <c r="GL6" i="13"/>
  <c r="D55" i="22" s="1"/>
  <c r="J55" i="22" s="1"/>
  <c r="EC6" i="13"/>
  <c r="H32" i="22" s="1"/>
  <c r="CE82" i="13"/>
  <c r="F60" i="12" l="1"/>
  <c r="E60" i="12" s="1"/>
  <c r="J35" i="12"/>
  <c r="F59" i="12"/>
  <c r="IG6" i="13"/>
  <c r="D81" i="22" s="1"/>
  <c r="J81" i="22" s="1"/>
  <c r="IF6" i="13"/>
  <c r="D80" i="22" s="1"/>
  <c r="J80" i="22" s="1"/>
  <c r="ID6" i="13"/>
  <c r="D79" i="22" s="1"/>
  <c r="J79" i="22" s="1"/>
  <c r="IB6" i="13"/>
  <c r="D78" i="22" s="1"/>
  <c r="J78" i="22" s="1"/>
  <c r="HZ6" i="13"/>
  <c r="HY6" i="13"/>
  <c r="D76" i="22" s="1"/>
  <c r="J76" i="22" s="1"/>
  <c r="HW6" i="13"/>
  <c r="D75" i="22" s="1"/>
  <c r="J75" i="22" s="1"/>
  <c r="HU6" i="13"/>
  <c r="D74" i="22" s="1"/>
  <c r="J74" i="22" s="1"/>
  <c r="HS6" i="13"/>
  <c r="D72" i="22" s="1"/>
  <c r="J72" i="22" s="1"/>
  <c r="HR6" i="13"/>
  <c r="F71" i="22" s="1"/>
  <c r="HQ6" i="13"/>
  <c r="D71" i="22" s="1"/>
  <c r="HP6" i="13"/>
  <c r="F70" i="22" s="1"/>
  <c r="HO6" i="13"/>
  <c r="D70" i="22" s="1"/>
  <c r="HL6" i="13"/>
  <c r="D69" i="22" s="1"/>
  <c r="J69" i="22" s="1"/>
  <c r="HK6" i="13"/>
  <c r="D68" i="22" s="1"/>
  <c r="J68" i="22" s="1"/>
  <c r="HG6" i="13"/>
  <c r="D66" i="22" s="1"/>
  <c r="J66" i="22" s="1"/>
  <c r="HE6" i="13"/>
  <c r="D65" i="22" s="1"/>
  <c r="J65" i="22" s="1"/>
  <c r="HC6" i="13"/>
  <c r="D64" i="22" s="1"/>
  <c r="J64" i="22" s="1"/>
  <c r="GY6" i="13"/>
  <c r="D62" i="22" s="1"/>
  <c r="J62" i="22" s="1"/>
  <c r="GV6" i="13"/>
  <c r="D60" i="22" s="1"/>
  <c r="J60" i="22" s="1"/>
  <c r="GE6" i="13"/>
  <c r="E51" i="22" s="1"/>
  <c r="J51" i="22" s="1"/>
  <c r="GA6" i="13"/>
  <c r="E50" i="22" s="1"/>
  <c r="J50" i="22" s="1"/>
  <c r="F52" i="12"/>
  <c r="G51" i="12"/>
  <c r="E51" i="12" s="1"/>
  <c r="FR6" i="13"/>
  <c r="E47" i="22" s="1"/>
  <c r="FQ6" i="13"/>
  <c r="D47" i="22" s="1"/>
  <c r="J47" i="22" s="1"/>
  <c r="FJ6" i="13"/>
  <c r="E43" i="22" s="1"/>
  <c r="J43" i="22" s="1"/>
  <c r="FF6" i="13"/>
  <c r="E42" i="22" s="1"/>
  <c r="J42" i="22" s="1"/>
  <c r="FB6" i="13"/>
  <c r="E40" i="22" s="1"/>
  <c r="J40" i="22" s="1"/>
  <c r="EY6" i="13"/>
  <c r="E39" i="22" s="1"/>
  <c r="J39" i="22" s="1"/>
  <c r="G41" i="12"/>
  <c r="E41" i="12" s="1"/>
  <c r="ES6" i="13"/>
  <c r="E36" i="22" s="1"/>
  <c r="J36" i="22" s="1"/>
  <c r="EO6" i="13"/>
  <c r="E35" i="22" s="1"/>
  <c r="EN6" i="13"/>
  <c r="D35" i="22" s="1"/>
  <c r="J35" i="22" s="1"/>
  <c r="EK6" i="13"/>
  <c r="E34" i="22" s="1"/>
  <c r="EJ6" i="13"/>
  <c r="D34" i="22" s="1"/>
  <c r="J34" i="22" s="1"/>
  <c r="EF6" i="13"/>
  <c r="E33" i="22" s="1"/>
  <c r="EE6" i="13"/>
  <c r="D33" i="22" s="1"/>
  <c r="J33" i="22" s="1"/>
  <c r="EB6" i="13"/>
  <c r="G32" i="22" s="1"/>
  <c r="DZ6" i="13"/>
  <c r="E32" i="22" s="1"/>
  <c r="DY6" i="13"/>
  <c r="D32" i="22" s="1"/>
  <c r="DW6" i="13"/>
  <c r="H31" i="22" s="1"/>
  <c r="DV6" i="13"/>
  <c r="G31" i="22" s="1"/>
  <c r="DT6" i="13"/>
  <c r="E31" i="22" s="1"/>
  <c r="DS6" i="13"/>
  <c r="D31" i="22" s="1"/>
  <c r="DR6" i="13"/>
  <c r="H30" i="22" s="1"/>
  <c r="DQ6" i="13"/>
  <c r="G30" i="22" s="1"/>
  <c r="DO6" i="13"/>
  <c r="E30" i="22" s="1"/>
  <c r="DN6" i="13"/>
  <c r="D30" i="22" s="1"/>
  <c r="DM6" i="13"/>
  <c r="H29" i="22" s="1"/>
  <c r="DI6" i="13"/>
  <c r="D29" i="22" s="1"/>
  <c r="DG6" i="13"/>
  <c r="H28" i="22" s="1"/>
  <c r="DF6" i="13"/>
  <c r="G28" i="22" s="1"/>
  <c r="DD6" i="13"/>
  <c r="E28" i="22" s="1"/>
  <c r="DC6" i="13"/>
  <c r="D28" i="22" s="1"/>
  <c r="DB6" i="13"/>
  <c r="I27" i="22" s="1"/>
  <c r="CZ6" i="13"/>
  <c r="G27" i="22" s="1"/>
  <c r="CX6" i="13"/>
  <c r="E27" i="22" s="1"/>
  <c r="CW6" i="13"/>
  <c r="D27" i="22" s="1"/>
  <c r="CV6" i="13"/>
  <c r="I26" i="22" s="1"/>
  <c r="CT6" i="13"/>
  <c r="G26" i="22" s="1"/>
  <c r="CR6" i="13"/>
  <c r="E26" i="22" s="1"/>
  <c r="CQ6" i="13"/>
  <c r="D26" i="22" s="1"/>
  <c r="CP6" i="13"/>
  <c r="I25" i="22" s="1"/>
  <c r="CM6" i="13"/>
  <c r="F25" i="22" s="1"/>
  <c r="CL6" i="13"/>
  <c r="E25" i="22" s="1"/>
  <c r="CK6" i="13"/>
  <c r="D25" i="22" s="1"/>
  <c r="CJ6" i="13"/>
  <c r="I24" i="22" s="1"/>
  <c r="CF6" i="13"/>
  <c r="E24" i="22" s="1"/>
  <c r="CE6" i="13"/>
  <c r="D24" i="22" s="1"/>
  <c r="J24" i="22" s="1"/>
  <c r="CC6" i="13"/>
  <c r="H23" i="22" s="1"/>
  <c r="BZ6" i="13"/>
  <c r="E23" i="22" s="1"/>
  <c r="BY6" i="13"/>
  <c r="D23" i="22" s="1"/>
  <c r="BX6" i="13"/>
  <c r="I22" i="22" s="1"/>
  <c r="BT6" i="13"/>
  <c r="E22" i="22" s="1"/>
  <c r="BS6" i="13"/>
  <c r="D22" i="22" s="1"/>
  <c r="J22" i="22" s="1"/>
  <c r="BR6" i="13"/>
  <c r="I21" i="22" s="1"/>
  <c r="BN6" i="13"/>
  <c r="E21" i="22" s="1"/>
  <c r="BM6" i="13"/>
  <c r="D21" i="22" s="1"/>
  <c r="BL6" i="13"/>
  <c r="I20" i="22" s="1"/>
  <c r="BH6" i="13"/>
  <c r="E20" i="22" s="1"/>
  <c r="BG6" i="13"/>
  <c r="D20" i="22" s="1"/>
  <c r="J20" i="22" s="1"/>
  <c r="BF6" i="13"/>
  <c r="I19" i="22" s="1"/>
  <c r="BB6" i="13"/>
  <c r="E19" i="22" s="1"/>
  <c r="BA6" i="13"/>
  <c r="D19" i="22" s="1"/>
  <c r="AZ6" i="13"/>
  <c r="I18" i="22" s="1"/>
  <c r="AV6" i="13"/>
  <c r="E18" i="22" s="1"/>
  <c r="AU6" i="13"/>
  <c r="D18" i="22" s="1"/>
  <c r="J18" i="22" s="1"/>
  <c r="AT6" i="13"/>
  <c r="H17" i="22" s="1"/>
  <c r="AS6" i="13"/>
  <c r="G17" i="22" s="1"/>
  <c r="AQ6" i="13"/>
  <c r="E17" i="22" s="1"/>
  <c r="AP6" i="13"/>
  <c r="D17" i="22" s="1"/>
  <c r="J17" i="22" s="1"/>
  <c r="AO6" i="13"/>
  <c r="H16" i="22" s="1"/>
  <c r="AM6" i="13"/>
  <c r="E16" i="22" s="1"/>
  <c r="AL6" i="13"/>
  <c r="D16" i="22" s="1"/>
  <c r="AI6" i="13"/>
  <c r="H14" i="22" s="1"/>
  <c r="AH6" i="13"/>
  <c r="G14" i="22" s="1"/>
  <c r="AF6" i="13"/>
  <c r="E14" i="22" s="1"/>
  <c r="AE6" i="13"/>
  <c r="D14" i="22" s="1"/>
  <c r="AD6" i="13"/>
  <c r="I13" i="22" s="1"/>
  <c r="AB6" i="13"/>
  <c r="E13" i="22" s="1"/>
  <c r="Y6" i="13"/>
  <c r="E12" i="22" s="1"/>
  <c r="J12" i="22" s="1"/>
  <c r="U6" i="13"/>
  <c r="E11" i="22" s="1"/>
  <c r="T6" i="13"/>
  <c r="D11" i="22" s="1"/>
  <c r="J11" i="22" s="1"/>
  <c r="Q6" i="13"/>
  <c r="H9" i="22" s="1"/>
  <c r="O6" i="13"/>
  <c r="E9" i="22" s="1"/>
  <c r="J9" i="22" s="1"/>
  <c r="L6" i="13"/>
  <c r="E8" i="22" s="1"/>
  <c r="J8" i="22" s="1"/>
  <c r="K6" i="13"/>
  <c r="J13" i="22" l="1"/>
  <c r="J16" i="22"/>
  <c r="J19" i="22"/>
  <c r="J21" i="22"/>
  <c r="J23" i="22"/>
  <c r="J26" i="22"/>
  <c r="J27" i="22"/>
  <c r="J28" i="22"/>
  <c r="J30" i="22"/>
  <c r="J31" i="22"/>
  <c r="J32" i="22"/>
  <c r="J70" i="22"/>
  <c r="J71" i="22"/>
  <c r="J25" i="22"/>
  <c r="J14" i="22"/>
  <c r="E59" i="12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D57" i="22" s="1"/>
  <c r="J57" i="22" s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956" i="13"/>
  <c r="C6" i="13" l="1"/>
  <c r="E29" i="22"/>
  <c r="J29" i="22" s="1"/>
  <c r="G32" i="12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<sst xmlns="http://schemas.openxmlformats.org/spreadsheetml/2006/main" count="7383" uniqueCount="303">
  <si>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</si>
  <si>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</si>
  <si>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</si>
  <si>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</si>
  <si>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</si>
  <si>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</si>
  <si>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</si>
  <si>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</si>
  <si>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</si>
  <si>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</si>
  <si>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</si>
  <si>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</si>
  <si>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</si>
  <si>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</si>
  <si>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</si>
  <si>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</si>
  <si>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</si>
  <si>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</si>
  <si>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</si>
  <si>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</si>
  <si>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</si>
  <si>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</si>
  <si>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</si>
  <si>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</si>
  <si>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</si>
  <si>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</si>
  <si>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</si>
  <si>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</si>
  <si>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</si>
  <si>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</si>
  <si>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</si>
  <si>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</si>
  <si>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</si>
  <si>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</si>
  <si>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</si>
  <si>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</si>
  <si>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</si>
  <si>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</si>
  <si>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</si>
  <si>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</si>
  <si>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</si>
  <si>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</si>
  <si>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</si>
  <si>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</si>
  <si>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</si>
  <si>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</si>
  <si>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</si>
  <si>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</si>
  <si>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</si>
  <si>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</si>
  <si>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</si>
  <si>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</si>
  <si>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</si>
  <si>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</si>
  <si>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</si>
  <si>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</si>
  <si>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</si>
  <si>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</si>
  <si>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</si>
  <si>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</si>
  <si>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</si>
  <si>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</si>
  <si>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</si>
  <si>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</si>
  <si>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</si>
  <si>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</si>
  <si>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</si>
  <si>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</si>
  <si>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</si>
  <si>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</si>
  <si>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</si>
  <si>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</si>
  <si>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</si>
  <si>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</si>
  <si>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</si>
  <si>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</si>
  <si>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</si>
  <si>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</si>
  <si>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</si>
  <si>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</si>
  <si>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</si>
  <si>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</si>
  <si>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</si>
  <si>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</si>
  <si>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</si>
  <si>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</si>
  <si>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</si>
  <si>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</si>
  <si>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</si>
  <si>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</si>
  <si>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</si>
  <si>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</si>
  <si>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</si>
  <si>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</si>
  <si>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</si>
  <si>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</si>
  <si>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</si>
  <si>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</si>
  <si>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</si>
  <si>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</si>
  <si>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</si>
  <si>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</si>
  <si>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</si>
  <si>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</si>
  <si>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</si>
  <si>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</si>
  <si>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</si>
  <si>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</si>
  <si>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</si>
  <si>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</si>
  <si>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</si>
  <si>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</si>
  <si>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</si>
  <si>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</si>
  <si>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</si>
  <si>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</si>
  <si>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</si>
  <si>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</si>
  <si>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</si>
  <si>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</si>
  <si>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</si>
  <si>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</si>
  <si>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</si>
  <si>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</si>
  <si>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</si>
  <si>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</si>
  <si>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</si>
  <si>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</si>
  <si>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</si>
  <si>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</si>
  <si>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</si>
  <si>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</si>
  <si>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</si>
  <si>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</si>
  <si>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</si>
  <si>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</si>
  <si>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</si>
  <si>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</si>
  <si>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</si>
  <si>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</si>
  <si>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</si>
  <si>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</si>
  <si>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</si>
  <si>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</si>
  <si>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</si>
  <si>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</si>
  <si>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</si>
  <si>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</si>
  <si>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</si>
  <si>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</si>
  <si>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</si>
  <si>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</si>
  <si>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</si>
  <si>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</si>
  <si>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</si>
  <si>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</si>
  <si>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</si>
  <si>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</si>
  <si>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</si>
  <si>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</si>
  <si>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</si>
  <si>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</si>
  <si>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</si>
  <si>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</si>
  <si>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</si>
  <si>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</si>
  <si>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</si>
  <si>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</si>
  <si>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</si>
  <si>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</si>
  <si>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</si>
  <si>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</si>
  <si>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</si>
  <si>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</si>
  <si>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</si>
  <si>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</si>
  <si>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</si>
  <si>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</si>
  <si>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</si>
  <si>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</si>
  <si>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</si>
  <si>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</si>
  <si>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</si>
  <si>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</si>
  <si>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</si>
  <si>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</si>
  <si>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</si>
  <si>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</si>
  <si>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</si>
  <si>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</si>
  <si>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</si>
  <si>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</si>
  <si>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</si>
  <si>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</si>
  <si>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</si>
  <si>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</si>
  <si>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</si>
  <si>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</si>
  <si>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</si>
  <si>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</si>
  <si>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</si>
  <si>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</si>
  <si>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</si>
  <si>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</si>
  <si>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</si>
  <si>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</si>
  <si>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</si>
  <si>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</si>
  <si>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</si>
  <si>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</si>
  <si>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</si>
  <si>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</si>
  <si>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</si>
  <si>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</si>
  <si>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</si>
  <si>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</si>
  <si>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</si>
  <si>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</si>
  <si>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</si>
  <si>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</si>
  <si>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</si>
  <si>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</si>
  <si>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</si>
  <si>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</si>
  <si>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</si>
  <si>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</si>
  <si>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</si>
  <si>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</si>
  <si>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</si>
  <si>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</si>
  <si>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</si>
  <si>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</si>
  <si>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</si>
  <si>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</si>
  <si>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</si>
  <si>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</si>
  <si>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</si>
  <si>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</si>
  <si>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</si>
  <si>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</si>
  <si>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</si>
  <si>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</si>
  <si>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</si>
  <si>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</si>
  <si>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</si>
  <si>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</si>
  <si>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</si>
  <si>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</si>
  <si>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</si>
  <si>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</si>
  <si>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</si>
  <si>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</si>
  <si>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</si>
  <si>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</si>
  <si>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</si>
  <si>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</si>
  <si>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</si>
  <si>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</si>
  <si>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</si>
  <si>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</si>
  <si>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</si>
  <si>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</si>
  <si>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</si>
  <si>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</si>
  <si>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</si>
  <si>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</si>
  <si>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</si>
  <si>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</si>
  <si>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</si>
  <si>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</si>
  <si>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</si>
  <si>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</si>
  <si>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</si>
  <si>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</si>
  <si>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</si>
  <si>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1,60</t>
  </si>
  <si>
    <t>1,70</t>
  </si>
  <si>
    <t>1,80</t>
  </si>
  <si>
    <t>1,85</t>
  </si>
  <si>
    <t>1,90</t>
  </si>
  <si>
    <t>2,00</t>
  </si>
  <si>
    <t>2,20</t>
  </si>
  <si>
    <t>2,30</t>
  </si>
  <si>
    <t>2,40</t>
  </si>
  <si>
    <t>2,50</t>
  </si>
  <si>
    <t>2,70</t>
  </si>
  <si>
    <t>3,00</t>
  </si>
  <si>
    <t>3,20</t>
  </si>
  <si>
    <t>3,50</t>
  </si>
  <si>
    <t>4,00</t>
  </si>
  <si>
    <t>0,08</t>
  </si>
  <si>
    <t>0,12</t>
  </si>
  <si>
    <t>0,14</t>
  </si>
  <si>
    <t>0,15</t>
  </si>
  <si>
    <t>0,17</t>
  </si>
  <si>
    <t>0,18</t>
  </si>
  <si>
    <t>0,19</t>
  </si>
  <si>
    <t>0,22</t>
  </si>
  <si>
    <t>0,32</t>
  </si>
  <si>
    <t>0,33</t>
  </si>
  <si>
    <t>0,38</t>
  </si>
  <si>
    <t>ARGEN YAZILIM</t>
  </si>
  <si>
    <t>KEREM AKBULUT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</si>
</sst>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28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49" fontId="30" fillId="2" borderId="25" xfId="0" applyNumberFormat="1" applyFont="1" applyFill="1" applyBorder="1" applyAlignment="1">
      <alignment horizontal="center" vertical="center"/>
    </xf>
    <xf numFmtId="0" fontId="15" fillId="7" borderId="34" xfId="5" applyNumberFormat="1" applyBorder="1" applyAlignment="1">
      <alignment horizontal="center" vertical="center"/>
    </xf>
    <xf numFmtId="2" fontId="15" fillId="7" borderId="34" xfId="5" applyNumberFormat="1" applyBorder="1" applyAlignment="1">
      <alignment horizontal="center" vertical="center"/>
    </xf>
    <xf numFmtId="165" fontId="15" fillId="7" borderId="34" xfId="5" applyNumberFormat="1" applyBorder="1" applyAlignment="1">
      <alignment horizontal="center" vertical="center"/>
    </xf>
    <xf numFmtId="165" fontId="15" fillId="7" borderId="67" xfId="5" applyNumberFormat="1" applyBorder="1" applyAlignment="1">
      <alignment horizontal="center" vertical="center"/>
    </xf>
    <xf numFmtId="165" fontId="15" fillId="7" borderId="36" xfId="5" applyNumberFormat="1" applyBorder="1" applyAlignment="1">
      <alignment horizontal="center" vertical="center"/>
    </xf>
    <xf numFmtId="165" fontId="15" fillId="7" borderId="34" xfId="5" applyNumberFormat="1" applyBorder="1" applyAlignment="1">
      <alignment horizont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85" t="s">
        <v>0</v>
      </c>
      <c r="B1" s="386"/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386"/>
    </row>
    <row r="2" spans="1:29" x14ac:dyDescent="0.25">
      <c r="A2" s="387"/>
      <c r="B2" s="384"/>
      <c r="C2" s="384"/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  <c r="AB2" s="384"/>
      <c r="AC2" s="384"/>
    </row>
    <row r="3" spans="1:29" x14ac:dyDescent="0.25">
      <c r="A3" s="3">
        <v>1.8</v>
      </c>
      <c r="B3" s="382"/>
      <c r="C3" s="2">
        <v>2.2000000000000002</v>
      </c>
      <c r="D3" s="382"/>
      <c r="E3" s="2">
        <v>2.2999999999999998</v>
      </c>
      <c r="F3" s="382"/>
      <c r="G3" s="2">
        <v>2.4500000000000002</v>
      </c>
      <c r="H3" s="382"/>
      <c r="I3" s="2"/>
      <c r="J3" s="382"/>
      <c r="K3" s="2"/>
      <c r="L3" s="382"/>
      <c r="M3" s="2"/>
      <c r="N3" s="382"/>
      <c r="O3" s="2"/>
      <c r="P3" s="382"/>
      <c r="Q3" s="2"/>
      <c r="R3" s="382"/>
      <c r="S3" s="2"/>
      <c r="T3" s="382"/>
      <c r="U3" s="2"/>
      <c r="V3" s="382"/>
      <c r="W3" s="2"/>
      <c r="X3" s="382"/>
      <c r="Y3" s="2"/>
      <c r="Z3" s="382"/>
      <c r="AA3" s="2"/>
      <c r="AB3" s="384"/>
    </row>
    <row r="4" spans="1:29" ht="6" customHeight="1" x14ac:dyDescent="0.25">
      <c r="A4" s="4"/>
      <c r="B4" s="383"/>
      <c r="C4" s="5"/>
      <c r="D4" s="383"/>
      <c r="E4" s="5"/>
      <c r="F4" s="383"/>
      <c r="G4" s="5"/>
      <c r="H4" s="383"/>
      <c r="I4" s="5"/>
      <c r="J4" s="383"/>
      <c r="K4" s="5"/>
      <c r="L4" s="383"/>
      <c r="M4" s="5"/>
      <c r="N4" s="383"/>
      <c r="O4" s="5"/>
      <c r="P4" s="383"/>
      <c r="Q4" s="5"/>
      <c r="R4" s="383"/>
      <c r="S4" s="5"/>
      <c r="T4" s="383"/>
      <c r="U4" s="5"/>
      <c r="V4" s="383"/>
      <c r="W4" s="5"/>
      <c r="X4" s="383"/>
      <c r="Y4" s="5"/>
      <c r="Z4" s="383"/>
      <c r="AA4" s="5"/>
      <c r="AB4" s="384"/>
    </row>
    <row r="5" spans="1:29" x14ac:dyDescent="0.25">
      <c r="A5" s="6">
        <v>2035.8</v>
      </c>
      <c r="B5" s="383"/>
      <c r="C5" s="7">
        <v>2018.1</v>
      </c>
      <c r="D5" s="383"/>
      <c r="E5" s="7">
        <v>2056.1</v>
      </c>
      <c r="F5" s="383"/>
      <c r="G5" s="7">
        <v>1995.7</v>
      </c>
      <c r="H5" s="383"/>
      <c r="I5" s="7"/>
      <c r="J5" s="383"/>
      <c r="K5" s="7"/>
      <c r="L5" s="383"/>
      <c r="M5" s="7"/>
      <c r="N5" s="383"/>
      <c r="O5" s="7"/>
      <c r="P5" s="383"/>
      <c r="Q5" s="7"/>
      <c r="R5" s="383"/>
      <c r="S5" s="7"/>
      <c r="T5" s="383"/>
      <c r="U5" s="7"/>
      <c r="V5" s="383"/>
      <c r="W5" s="7"/>
      <c r="X5" s="383"/>
      <c r="Y5" s="7"/>
      <c r="Z5" s="383"/>
      <c r="AA5" s="7"/>
      <c r="AB5" s="384"/>
    </row>
    <row r="6" spans="1:29" x14ac:dyDescent="0.25">
      <c r="A6" s="6"/>
      <c r="B6" s="383"/>
      <c r="C6" s="7"/>
      <c r="D6" s="383"/>
      <c r="E6" s="7"/>
      <c r="F6" s="383"/>
      <c r="G6" s="7"/>
      <c r="H6" s="383"/>
      <c r="I6" s="7"/>
      <c r="J6" s="383"/>
      <c r="K6" s="7"/>
      <c r="L6" s="383"/>
      <c r="M6" s="7"/>
      <c r="N6" s="383"/>
      <c r="O6" s="7"/>
      <c r="P6" s="383"/>
      <c r="Q6" s="7"/>
      <c r="R6" s="383"/>
      <c r="S6" s="7"/>
      <c r="T6" s="383"/>
      <c r="U6" s="7"/>
      <c r="V6" s="383"/>
      <c r="W6" s="7"/>
      <c r="X6" s="383"/>
      <c r="Y6" s="7"/>
      <c r="Z6" s="383"/>
      <c r="AA6" s="7"/>
      <c r="AB6" s="384"/>
    </row>
    <row r="7" spans="1:29" x14ac:dyDescent="0.25">
      <c r="A7" s="6"/>
      <c r="B7" s="383"/>
      <c r="C7" s="7"/>
      <c r="D7" s="383"/>
      <c r="E7" s="7"/>
      <c r="F7" s="383"/>
      <c r="G7" s="7"/>
      <c r="H7" s="383"/>
      <c r="I7" s="7"/>
      <c r="J7" s="383"/>
      <c r="K7" s="7"/>
      <c r="L7" s="383"/>
      <c r="M7" s="7"/>
      <c r="N7" s="383"/>
      <c r="O7" s="7"/>
      <c r="P7" s="383"/>
      <c r="Q7" s="7"/>
      <c r="R7" s="383"/>
      <c r="S7" s="7"/>
      <c r="T7" s="383"/>
      <c r="U7" s="7"/>
      <c r="V7" s="383"/>
      <c r="W7" s="7"/>
      <c r="X7" s="383"/>
      <c r="Y7" s="7"/>
      <c r="Z7" s="383"/>
      <c r="AA7" s="7"/>
      <c r="AB7" s="384"/>
    </row>
    <row r="8" spans="1:29" x14ac:dyDescent="0.25">
      <c r="A8" s="6"/>
      <c r="B8" s="383"/>
      <c r="C8" s="7"/>
      <c r="D8" s="383"/>
      <c r="E8" s="7"/>
      <c r="F8" s="383"/>
      <c r="G8" s="7"/>
      <c r="H8" s="383"/>
      <c r="I8" s="7"/>
      <c r="J8" s="383"/>
      <c r="K8" s="7"/>
      <c r="L8" s="383"/>
      <c r="M8" s="7"/>
      <c r="N8" s="383"/>
      <c r="O8" s="7"/>
      <c r="P8" s="383"/>
      <c r="Q8" s="7"/>
      <c r="R8" s="383"/>
      <c r="S8" s="7"/>
      <c r="T8" s="383"/>
      <c r="U8" s="7"/>
      <c r="V8" s="383"/>
      <c r="W8" s="7"/>
      <c r="X8" s="383"/>
      <c r="Y8" s="7"/>
      <c r="Z8" s="383"/>
      <c r="AA8" s="7"/>
      <c r="AB8" s="384"/>
    </row>
    <row r="9" spans="1:29" x14ac:dyDescent="0.25">
      <c r="A9" s="6"/>
      <c r="B9" s="383"/>
      <c r="C9" s="7"/>
      <c r="D9" s="383"/>
      <c r="E9" s="7"/>
      <c r="F9" s="383"/>
      <c r="G9" s="7"/>
      <c r="H9" s="383"/>
      <c r="I9" s="7"/>
      <c r="J9" s="383"/>
      <c r="K9" s="7"/>
      <c r="L9" s="383"/>
      <c r="M9" s="7"/>
      <c r="N9" s="383"/>
      <c r="O9" s="7"/>
      <c r="P9" s="383"/>
      <c r="Q9" s="7"/>
      <c r="R9" s="383"/>
      <c r="S9" s="7"/>
      <c r="T9" s="383"/>
      <c r="U9" s="7"/>
      <c r="V9" s="383"/>
      <c r="W9" s="7"/>
      <c r="X9" s="383"/>
      <c r="Y9" s="7"/>
      <c r="Z9" s="383"/>
      <c r="AA9" s="7"/>
      <c r="AB9" s="384"/>
    </row>
    <row r="10" spans="1:29" x14ac:dyDescent="0.25">
      <c r="A10" s="6"/>
      <c r="B10" s="383"/>
      <c r="C10" s="7"/>
      <c r="D10" s="383"/>
      <c r="E10" s="7"/>
      <c r="F10" s="383"/>
      <c r="G10" s="7"/>
      <c r="H10" s="383"/>
      <c r="I10" s="7"/>
      <c r="J10" s="383"/>
      <c r="K10" s="7"/>
      <c r="L10" s="383"/>
      <c r="M10" s="7"/>
      <c r="N10" s="383"/>
      <c r="O10" s="7"/>
      <c r="P10" s="383"/>
      <c r="Q10" s="7"/>
      <c r="R10" s="383"/>
      <c r="S10" s="7"/>
      <c r="T10" s="383"/>
      <c r="U10" s="7"/>
      <c r="V10" s="383"/>
      <c r="W10" s="7"/>
      <c r="X10" s="383"/>
      <c r="Y10" s="7"/>
      <c r="Z10" s="383"/>
      <c r="AA10" s="7"/>
      <c r="AB10" s="384"/>
    </row>
    <row r="11" spans="1:29" x14ac:dyDescent="0.25">
      <c r="A11" s="6"/>
      <c r="B11" s="383"/>
      <c r="C11" s="7"/>
      <c r="D11" s="383"/>
      <c r="E11" s="7"/>
      <c r="F11" s="383"/>
      <c r="G11" s="7"/>
      <c r="H11" s="383"/>
      <c r="I11" s="7"/>
      <c r="J11" s="383"/>
      <c r="K11" s="7"/>
      <c r="L11" s="383"/>
      <c r="M11" s="7"/>
      <c r="N11" s="383"/>
      <c r="O11" s="7"/>
      <c r="P11" s="383"/>
      <c r="Q11" s="7"/>
      <c r="R11" s="383"/>
      <c r="S11" s="7"/>
      <c r="T11" s="383"/>
      <c r="U11" s="7"/>
      <c r="V11" s="383"/>
      <c r="W11" s="7"/>
      <c r="X11" s="383"/>
      <c r="Y11" s="7"/>
      <c r="Z11" s="383"/>
      <c r="AA11" s="7"/>
      <c r="AB11" s="384"/>
    </row>
    <row r="12" spans="1:29" x14ac:dyDescent="0.25">
      <c r="A12" s="6"/>
      <c r="B12" s="383"/>
      <c r="C12" s="7"/>
      <c r="D12" s="383"/>
      <c r="E12" s="7"/>
      <c r="F12" s="383"/>
      <c r="G12" s="7"/>
      <c r="H12" s="383"/>
      <c r="I12" s="7"/>
      <c r="J12" s="383"/>
      <c r="K12" s="7"/>
      <c r="L12" s="383"/>
      <c r="M12" s="7"/>
      <c r="N12" s="383"/>
      <c r="O12" s="7"/>
      <c r="P12" s="383"/>
      <c r="Q12" s="7"/>
      <c r="R12" s="383"/>
      <c r="S12" s="7"/>
      <c r="T12" s="383"/>
      <c r="U12" s="7"/>
      <c r="V12" s="383"/>
      <c r="W12" s="7"/>
      <c r="X12" s="383"/>
      <c r="Y12" s="7"/>
      <c r="Z12" s="383"/>
      <c r="AA12" s="7"/>
      <c r="AB12" s="384"/>
    </row>
    <row r="13" spans="1:29" x14ac:dyDescent="0.25">
      <c r="A13" s="6"/>
      <c r="B13" s="383"/>
      <c r="C13" s="7"/>
      <c r="D13" s="383"/>
      <c r="E13" s="7"/>
      <c r="F13" s="383"/>
      <c r="G13" s="7"/>
      <c r="H13" s="383"/>
      <c r="I13" s="7"/>
      <c r="J13" s="383"/>
      <c r="K13" s="7"/>
      <c r="L13" s="383"/>
      <c r="M13" s="7"/>
      <c r="N13" s="383"/>
      <c r="O13" s="7"/>
      <c r="P13" s="383"/>
      <c r="Q13" s="7"/>
      <c r="R13" s="383"/>
      <c r="S13" s="7"/>
      <c r="T13" s="383"/>
      <c r="U13" s="7"/>
      <c r="V13" s="383"/>
      <c r="W13" s="7"/>
      <c r="X13" s="383"/>
      <c r="Y13" s="7"/>
      <c r="Z13" s="383"/>
      <c r="AA13" s="7"/>
      <c r="AB13" s="384"/>
    </row>
    <row r="14" spans="1:29" x14ac:dyDescent="0.25">
      <c r="A14" s="6"/>
      <c r="B14" s="383"/>
      <c r="C14" s="7"/>
      <c r="D14" s="383"/>
      <c r="E14" s="7"/>
      <c r="F14" s="383"/>
      <c r="G14" s="7"/>
      <c r="H14" s="383"/>
      <c r="I14" s="7"/>
      <c r="J14" s="383"/>
      <c r="K14" s="7"/>
      <c r="L14" s="383"/>
      <c r="M14" s="7"/>
      <c r="N14" s="383"/>
      <c r="O14" s="7"/>
      <c r="P14" s="383"/>
      <c r="Q14" s="7"/>
      <c r="R14" s="383"/>
      <c r="S14" s="7"/>
      <c r="T14" s="383"/>
      <c r="U14" s="7"/>
      <c r="V14" s="383"/>
      <c r="W14" s="7"/>
      <c r="X14" s="383"/>
      <c r="Y14" s="7"/>
      <c r="Z14" s="383"/>
      <c r="AA14" s="7"/>
      <c r="AB14" s="384"/>
    </row>
    <row r="15" spans="1:29" x14ac:dyDescent="0.25">
      <c r="A15" s="6"/>
      <c r="B15" s="383"/>
      <c r="C15" s="7"/>
      <c r="D15" s="383"/>
      <c r="E15" s="7"/>
      <c r="F15" s="383"/>
      <c r="G15" s="7"/>
      <c r="H15" s="383"/>
      <c r="I15" s="7"/>
      <c r="J15" s="383"/>
      <c r="K15" s="7"/>
      <c r="L15" s="383"/>
      <c r="M15" s="7"/>
      <c r="N15" s="383"/>
      <c r="O15" s="7"/>
      <c r="P15" s="383"/>
      <c r="Q15" s="7"/>
      <c r="R15" s="383"/>
      <c r="S15" s="7"/>
      <c r="T15" s="383"/>
      <c r="U15" s="7"/>
      <c r="V15" s="383"/>
      <c r="W15" s="7"/>
      <c r="X15" s="383"/>
      <c r="Y15" s="7"/>
      <c r="Z15" s="383"/>
      <c r="AA15" s="7"/>
      <c r="AB15" s="384"/>
    </row>
    <row r="16" spans="1:29" x14ac:dyDescent="0.25">
      <c r="A16" s="6"/>
      <c r="B16" s="383"/>
      <c r="C16" s="7"/>
      <c r="D16" s="383"/>
      <c r="E16" s="7"/>
      <c r="F16" s="383"/>
      <c r="G16" s="7"/>
      <c r="H16" s="383"/>
      <c r="I16" s="7"/>
      <c r="J16" s="383"/>
      <c r="K16" s="7"/>
      <c r="L16" s="383"/>
      <c r="M16" s="7"/>
      <c r="N16" s="383"/>
      <c r="O16" s="7"/>
      <c r="P16" s="383"/>
      <c r="Q16" s="7"/>
      <c r="R16" s="383"/>
      <c r="S16" s="7"/>
      <c r="T16" s="383"/>
      <c r="U16" s="7"/>
      <c r="V16" s="383"/>
      <c r="W16" s="7"/>
      <c r="X16" s="383"/>
      <c r="Y16" s="7"/>
      <c r="Z16" s="383"/>
      <c r="AA16" s="7"/>
      <c r="AB16" s="384"/>
    </row>
    <row r="17" spans="1:28" x14ac:dyDescent="0.25">
      <c r="A17" s="6"/>
      <c r="B17" s="383"/>
      <c r="C17" s="7"/>
      <c r="D17" s="383"/>
      <c r="E17" s="7"/>
      <c r="F17" s="383"/>
      <c r="G17" s="7"/>
      <c r="H17" s="383"/>
      <c r="I17" s="7"/>
      <c r="J17" s="383"/>
      <c r="K17" s="7"/>
      <c r="L17" s="383"/>
      <c r="M17" s="7"/>
      <c r="N17" s="383"/>
      <c r="O17" s="7"/>
      <c r="P17" s="383"/>
      <c r="Q17" s="7"/>
      <c r="R17" s="383"/>
      <c r="S17" s="7"/>
      <c r="T17" s="383"/>
      <c r="U17" s="7"/>
      <c r="V17" s="383"/>
      <c r="W17" s="7"/>
      <c r="X17" s="383"/>
      <c r="Y17" s="7"/>
      <c r="Z17" s="383"/>
      <c r="AA17" s="7"/>
      <c r="AB17" s="384"/>
    </row>
    <row r="18" spans="1:28" x14ac:dyDescent="0.25">
      <c r="A18" s="6"/>
      <c r="B18" s="383"/>
      <c r="C18" s="7"/>
      <c r="D18" s="383"/>
      <c r="E18" s="7"/>
      <c r="F18" s="383"/>
      <c r="G18" s="7"/>
      <c r="H18" s="383"/>
      <c r="I18" s="7"/>
      <c r="J18" s="383"/>
      <c r="K18" s="7"/>
      <c r="L18" s="383"/>
      <c r="M18" s="7"/>
      <c r="N18" s="383"/>
      <c r="O18" s="7"/>
      <c r="P18" s="383"/>
      <c r="Q18" s="7"/>
      <c r="R18" s="383"/>
      <c r="S18" s="7"/>
      <c r="T18" s="383"/>
      <c r="U18" s="7"/>
      <c r="V18" s="383"/>
      <c r="W18" s="7"/>
      <c r="X18" s="383"/>
      <c r="Y18" s="7"/>
      <c r="Z18" s="383"/>
      <c r="AA18" s="7"/>
      <c r="AB18" s="384"/>
    </row>
    <row r="19" spans="1:28" x14ac:dyDescent="0.25">
      <c r="A19" s="6"/>
      <c r="B19" s="383"/>
      <c r="C19" s="7"/>
      <c r="D19" s="383"/>
      <c r="E19" s="7"/>
      <c r="F19" s="383"/>
      <c r="G19" s="7"/>
      <c r="H19" s="383"/>
      <c r="I19" s="7"/>
      <c r="J19" s="383"/>
      <c r="K19" s="7"/>
      <c r="L19" s="383"/>
      <c r="M19" s="7"/>
      <c r="N19" s="383"/>
      <c r="O19" s="7"/>
      <c r="P19" s="383"/>
      <c r="Q19" s="7"/>
      <c r="R19" s="383"/>
      <c r="S19" s="7"/>
      <c r="T19" s="383"/>
      <c r="U19" s="7"/>
      <c r="V19" s="383"/>
      <c r="W19" s="7"/>
      <c r="X19" s="383"/>
      <c r="Y19" s="7"/>
      <c r="Z19" s="383"/>
      <c r="AA19" s="7"/>
      <c r="AB19" s="384"/>
    </row>
    <row r="20" spans="1:28" x14ac:dyDescent="0.25">
      <c r="A20" s="6"/>
      <c r="B20" s="383"/>
      <c r="C20" s="7"/>
      <c r="D20" s="383"/>
      <c r="E20" s="7"/>
      <c r="F20" s="383"/>
      <c r="G20" s="7"/>
      <c r="H20" s="383"/>
      <c r="I20" s="7"/>
      <c r="J20" s="383"/>
      <c r="K20" s="7"/>
      <c r="L20" s="383"/>
      <c r="M20" s="7"/>
      <c r="N20" s="383"/>
      <c r="O20" s="7"/>
      <c r="P20" s="383"/>
      <c r="Q20" s="7"/>
      <c r="R20" s="383"/>
      <c r="S20" s="7"/>
      <c r="T20" s="383"/>
      <c r="U20" s="7"/>
      <c r="V20" s="383"/>
      <c r="W20" s="7"/>
      <c r="X20" s="383"/>
      <c r="Y20" s="7"/>
      <c r="Z20" s="383"/>
      <c r="AA20" s="7"/>
      <c r="AB20" s="384"/>
    </row>
    <row r="21" spans="1:28" ht="15.75" customHeight="1" x14ac:dyDescent="0.25">
      <c r="A21" s="6"/>
      <c r="B21" s="383"/>
      <c r="C21" s="7"/>
      <c r="D21" s="383"/>
      <c r="E21" s="7"/>
      <c r="F21" s="383"/>
      <c r="G21" s="7"/>
      <c r="H21" s="383"/>
      <c r="I21" s="7"/>
      <c r="J21" s="383"/>
      <c r="K21" s="7"/>
      <c r="L21" s="383"/>
      <c r="M21" s="7"/>
      <c r="N21" s="383"/>
      <c r="O21" s="7"/>
      <c r="P21" s="383"/>
      <c r="Q21" s="7"/>
      <c r="R21" s="383"/>
      <c r="S21" s="7"/>
      <c r="T21" s="383"/>
      <c r="U21" s="7"/>
      <c r="V21" s="383"/>
      <c r="W21" s="7"/>
      <c r="X21" s="383"/>
      <c r="Y21" s="7"/>
      <c r="Z21" s="383"/>
      <c r="AA21" s="7"/>
      <c r="AB21" s="384"/>
    </row>
    <row r="22" spans="1:28" ht="15.75" customHeight="1" x14ac:dyDescent="0.25">
      <c r="A22" s="6"/>
      <c r="B22" s="383"/>
      <c r="C22" s="7"/>
      <c r="D22" s="383"/>
      <c r="E22" s="7"/>
      <c r="F22" s="383"/>
      <c r="G22" s="7"/>
      <c r="H22" s="383"/>
      <c r="I22" s="7"/>
      <c r="J22" s="383"/>
      <c r="K22" s="7"/>
      <c r="L22" s="383"/>
      <c r="M22" s="7"/>
      <c r="N22" s="383"/>
      <c r="O22" s="7"/>
      <c r="P22" s="383"/>
      <c r="Q22" s="7"/>
      <c r="R22" s="383"/>
      <c r="S22" s="7"/>
      <c r="T22" s="383"/>
      <c r="U22" s="7"/>
      <c r="V22" s="383"/>
      <c r="W22" s="7"/>
      <c r="X22" s="383"/>
      <c r="Y22" s="7"/>
      <c r="Z22" s="383"/>
      <c r="AA22" s="7"/>
      <c r="AB22" s="384"/>
    </row>
    <row r="23" spans="1:28" ht="15.75" customHeight="1" x14ac:dyDescent="0.25">
      <c r="A23" s="6"/>
      <c r="B23" s="383"/>
      <c r="C23" s="7"/>
      <c r="D23" s="383"/>
      <c r="E23" s="7"/>
      <c r="F23" s="383"/>
      <c r="G23" s="7"/>
      <c r="H23" s="383"/>
      <c r="I23" s="7"/>
      <c r="J23" s="383"/>
      <c r="K23" s="7"/>
      <c r="L23" s="383"/>
      <c r="M23" s="7"/>
      <c r="N23" s="383"/>
      <c r="O23" s="7"/>
      <c r="P23" s="383"/>
      <c r="Q23" s="7"/>
      <c r="R23" s="383"/>
      <c r="S23" s="7"/>
      <c r="T23" s="383"/>
      <c r="U23" s="7"/>
      <c r="V23" s="383"/>
      <c r="W23" s="7"/>
      <c r="X23" s="383"/>
      <c r="Y23" s="7"/>
      <c r="Z23" s="383"/>
      <c r="AA23" s="7"/>
      <c r="AB23" s="384"/>
    </row>
    <row r="24" spans="1:28" ht="15.75" customHeight="1" x14ac:dyDescent="0.25">
      <c r="A24" s="6"/>
      <c r="B24" s="383"/>
      <c r="C24" s="7"/>
      <c r="D24" s="383"/>
      <c r="E24" s="7"/>
      <c r="F24" s="383"/>
      <c r="G24" s="7"/>
      <c r="H24" s="383"/>
      <c r="I24" s="7"/>
      <c r="J24" s="383"/>
      <c r="K24" s="7"/>
      <c r="L24" s="383"/>
      <c r="M24" s="7"/>
      <c r="N24" s="383"/>
      <c r="O24" s="7"/>
      <c r="P24" s="383"/>
      <c r="Q24" s="7"/>
      <c r="R24" s="383"/>
      <c r="S24" s="7"/>
      <c r="T24" s="383"/>
      <c r="U24" s="7"/>
      <c r="V24" s="383"/>
      <c r="W24" s="7"/>
      <c r="X24" s="383"/>
      <c r="Y24" s="7"/>
      <c r="Z24" s="383"/>
      <c r="AA24" s="7"/>
      <c r="AB24" s="384"/>
    </row>
    <row r="25" spans="1:28" ht="15.75" customHeight="1" x14ac:dyDescent="0.25">
      <c r="A25" s="6"/>
      <c r="B25" s="383"/>
      <c r="C25" s="7"/>
      <c r="D25" s="383"/>
      <c r="E25" s="7"/>
      <c r="F25" s="383"/>
      <c r="G25" s="7"/>
      <c r="H25" s="383"/>
      <c r="I25" s="7"/>
      <c r="J25" s="383"/>
      <c r="K25" s="7"/>
      <c r="L25" s="383"/>
      <c r="M25" s="7"/>
      <c r="N25" s="383"/>
      <c r="O25" s="7"/>
      <c r="P25" s="383"/>
      <c r="Q25" s="7"/>
      <c r="R25" s="383"/>
      <c r="S25" s="7"/>
      <c r="T25" s="383"/>
      <c r="U25" s="7"/>
      <c r="V25" s="383"/>
      <c r="W25" s="7"/>
      <c r="X25" s="383"/>
      <c r="Y25" s="7"/>
      <c r="Z25" s="383"/>
      <c r="AA25" s="7"/>
      <c r="AB25" s="384"/>
    </row>
    <row r="26" spans="1:28" ht="15.75" customHeight="1" x14ac:dyDescent="0.25">
      <c r="A26" s="6"/>
      <c r="B26" s="383"/>
      <c r="C26" s="7"/>
      <c r="D26" s="383"/>
      <c r="E26" s="7"/>
      <c r="F26" s="383"/>
      <c r="G26" s="7"/>
      <c r="H26" s="383"/>
      <c r="I26" s="7"/>
      <c r="J26" s="383"/>
      <c r="K26" s="7"/>
      <c r="L26" s="383"/>
      <c r="M26" s="7"/>
      <c r="N26" s="383"/>
      <c r="O26" s="7"/>
      <c r="P26" s="383"/>
      <c r="Q26" s="7"/>
      <c r="R26" s="383"/>
      <c r="S26" s="7"/>
      <c r="T26" s="383"/>
      <c r="U26" s="7"/>
      <c r="V26" s="383"/>
      <c r="W26" s="7"/>
      <c r="X26" s="383"/>
      <c r="Y26" s="7"/>
      <c r="Z26" s="383"/>
      <c r="AA26" s="7"/>
      <c r="AB26" s="384"/>
    </row>
    <row r="27" spans="1:28" ht="15.75" customHeight="1" x14ac:dyDescent="0.25">
      <c r="A27" s="6"/>
      <c r="B27" s="383"/>
      <c r="C27" s="7"/>
      <c r="D27" s="383"/>
      <c r="E27" s="7"/>
      <c r="F27" s="383"/>
      <c r="G27" s="7"/>
      <c r="H27" s="383"/>
      <c r="I27" s="7"/>
      <c r="J27" s="383"/>
      <c r="K27" s="7"/>
      <c r="L27" s="383"/>
      <c r="M27" s="7"/>
      <c r="N27" s="383"/>
      <c r="O27" s="7"/>
      <c r="P27" s="383"/>
      <c r="Q27" s="7"/>
      <c r="R27" s="383"/>
      <c r="S27" s="7"/>
      <c r="T27" s="383"/>
      <c r="U27" s="7"/>
      <c r="V27" s="383"/>
      <c r="W27" s="7"/>
      <c r="X27" s="383"/>
      <c r="Y27" s="7"/>
      <c r="Z27" s="383"/>
      <c r="AA27" s="7"/>
      <c r="AB27" s="384"/>
    </row>
    <row r="28" spans="1:28" ht="15.75" customHeight="1" x14ac:dyDescent="0.25">
      <c r="A28" s="6"/>
      <c r="B28" s="383"/>
      <c r="C28" s="7"/>
      <c r="D28" s="383"/>
      <c r="E28" s="7"/>
      <c r="F28" s="383"/>
      <c r="G28" s="7"/>
      <c r="H28" s="383"/>
      <c r="I28" s="7"/>
      <c r="J28" s="383"/>
      <c r="K28" s="7"/>
      <c r="L28" s="383"/>
      <c r="M28" s="7"/>
      <c r="N28" s="383"/>
      <c r="O28" s="7"/>
      <c r="P28" s="383"/>
      <c r="Q28" s="7"/>
      <c r="R28" s="383"/>
      <c r="S28" s="7"/>
      <c r="T28" s="383"/>
      <c r="U28" s="7"/>
      <c r="V28" s="383"/>
      <c r="W28" s="7"/>
      <c r="X28" s="383"/>
      <c r="Y28" s="7"/>
      <c r="Z28" s="383"/>
      <c r="AA28" s="7"/>
      <c r="AB28" s="384"/>
    </row>
    <row r="29" spans="1:28" ht="15.75" customHeight="1" x14ac:dyDescent="0.25">
      <c r="A29" s="6"/>
      <c r="B29" s="383"/>
      <c r="C29" s="7"/>
      <c r="D29" s="383"/>
      <c r="E29" s="7"/>
      <c r="F29" s="383"/>
      <c r="G29" s="7"/>
      <c r="H29" s="383"/>
      <c r="I29" s="7"/>
      <c r="J29" s="383"/>
      <c r="K29" s="7"/>
      <c r="L29" s="383"/>
      <c r="M29" s="7"/>
      <c r="N29" s="383"/>
      <c r="O29" s="7"/>
      <c r="P29" s="383"/>
      <c r="Q29" s="7"/>
      <c r="R29" s="383"/>
      <c r="S29" s="7"/>
      <c r="T29" s="383"/>
      <c r="U29" s="7"/>
      <c r="V29" s="383"/>
      <c r="W29" s="7"/>
      <c r="X29" s="383"/>
      <c r="Y29" s="7"/>
      <c r="Z29" s="383"/>
      <c r="AA29" s="7"/>
      <c r="AB29" s="384"/>
    </row>
    <row r="30" spans="1:28" ht="15.75" customHeight="1" x14ac:dyDescent="0.25">
      <c r="A30" s="6"/>
      <c r="B30" s="383"/>
      <c r="C30" s="7"/>
      <c r="D30" s="383"/>
      <c r="E30" s="7"/>
      <c r="F30" s="383"/>
      <c r="G30" s="7"/>
      <c r="H30" s="383"/>
      <c r="I30" s="7"/>
      <c r="J30" s="383"/>
      <c r="K30" s="7"/>
      <c r="L30" s="383"/>
      <c r="M30" s="7"/>
      <c r="N30" s="383"/>
      <c r="O30" s="7"/>
      <c r="P30" s="383"/>
      <c r="Q30" s="7"/>
      <c r="R30" s="383"/>
      <c r="S30" s="7"/>
      <c r="T30" s="383"/>
      <c r="U30" s="7"/>
      <c r="V30" s="383"/>
      <c r="W30" s="7"/>
      <c r="X30" s="383"/>
      <c r="Y30" s="7"/>
      <c r="Z30" s="383"/>
      <c r="AA30" s="7"/>
      <c r="AB30" s="384"/>
    </row>
    <row r="31" spans="1:28" ht="15.75" customHeight="1" x14ac:dyDescent="0.25">
      <c r="A31" s="6"/>
      <c r="B31" s="383"/>
      <c r="C31" s="7"/>
      <c r="D31" s="383"/>
      <c r="E31" s="7"/>
      <c r="F31" s="383"/>
      <c r="G31" s="7"/>
      <c r="H31" s="383"/>
      <c r="I31" s="7"/>
      <c r="J31" s="383"/>
      <c r="K31" s="7"/>
      <c r="L31" s="383"/>
      <c r="M31" s="7"/>
      <c r="N31" s="383"/>
      <c r="O31" s="7"/>
      <c r="P31" s="383"/>
      <c r="Q31" s="7"/>
      <c r="R31" s="383"/>
      <c r="S31" s="7"/>
      <c r="T31" s="383"/>
      <c r="U31" s="7"/>
      <c r="V31" s="383"/>
      <c r="W31" s="7"/>
      <c r="X31" s="383"/>
      <c r="Y31" s="7"/>
      <c r="Z31" s="383"/>
      <c r="AA31" s="7"/>
      <c r="AB31" s="384"/>
    </row>
    <row r="32" spans="1:28" ht="15.75" customHeight="1" x14ac:dyDescent="0.25">
      <c r="A32" s="6"/>
      <c r="B32" s="383"/>
      <c r="C32" s="7"/>
      <c r="D32" s="383"/>
      <c r="E32" s="7"/>
      <c r="F32" s="383"/>
      <c r="G32" s="7"/>
      <c r="H32" s="383"/>
      <c r="I32" s="7"/>
      <c r="J32" s="383"/>
      <c r="K32" s="7"/>
      <c r="L32" s="383"/>
      <c r="M32" s="7"/>
      <c r="N32" s="383"/>
      <c r="O32" s="7"/>
      <c r="P32" s="383"/>
      <c r="Q32" s="7"/>
      <c r="R32" s="383"/>
      <c r="S32" s="7"/>
      <c r="T32" s="383"/>
      <c r="U32" s="7"/>
      <c r="V32" s="383"/>
      <c r="W32" s="7"/>
      <c r="X32" s="383"/>
      <c r="Y32" s="7"/>
      <c r="Z32" s="383"/>
      <c r="AA32" s="7"/>
      <c r="AB32" s="384"/>
    </row>
    <row r="33" spans="1:30" ht="15.75" customHeight="1" x14ac:dyDescent="0.25">
      <c r="A33" s="6"/>
      <c r="B33" s="383"/>
      <c r="C33" s="7"/>
      <c r="D33" s="383"/>
      <c r="E33" s="7"/>
      <c r="F33" s="383"/>
      <c r="G33" s="7"/>
      <c r="H33" s="383"/>
      <c r="I33" s="7"/>
      <c r="J33" s="383"/>
      <c r="K33" s="7"/>
      <c r="L33" s="383"/>
      <c r="M33" s="7"/>
      <c r="N33" s="383"/>
      <c r="O33" s="7"/>
      <c r="P33" s="383"/>
      <c r="Q33" s="7"/>
      <c r="R33" s="383"/>
      <c r="S33" s="7"/>
      <c r="T33" s="383"/>
      <c r="U33" s="7"/>
      <c r="V33" s="383"/>
      <c r="W33" s="7"/>
      <c r="X33" s="383"/>
      <c r="Y33" s="7"/>
      <c r="Z33" s="383"/>
      <c r="AA33" s="7"/>
      <c r="AB33" s="384"/>
    </row>
    <row r="34" spans="1:30" ht="15.75" customHeight="1" x14ac:dyDescent="0.25">
      <c r="A34" s="6"/>
      <c r="B34" s="383"/>
      <c r="C34" s="7"/>
      <c r="D34" s="383"/>
      <c r="E34" s="7"/>
      <c r="F34" s="383"/>
      <c r="G34" s="7"/>
      <c r="H34" s="383"/>
      <c r="I34" s="7"/>
      <c r="J34" s="383"/>
      <c r="K34" s="7"/>
      <c r="L34" s="383"/>
      <c r="M34" s="7"/>
      <c r="N34" s="383"/>
      <c r="O34" s="7"/>
      <c r="P34" s="383"/>
      <c r="Q34" s="7"/>
      <c r="R34" s="383"/>
      <c r="S34" s="7"/>
      <c r="T34" s="383"/>
      <c r="U34" s="7"/>
      <c r="V34" s="383"/>
      <c r="W34" s="7"/>
      <c r="X34" s="383"/>
      <c r="Y34" s="7"/>
      <c r="Z34" s="383"/>
      <c r="AA34" s="7"/>
      <c r="AB34" s="384"/>
    </row>
    <row r="35" spans="1:30" ht="15.75" customHeight="1" x14ac:dyDescent="0.25">
      <c r="A35" s="6"/>
      <c r="B35" s="383"/>
      <c r="C35" s="7"/>
      <c r="D35" s="383"/>
      <c r="E35" s="7"/>
      <c r="F35" s="383"/>
      <c r="G35" s="7"/>
      <c r="H35" s="383"/>
      <c r="I35" s="7"/>
      <c r="J35" s="383"/>
      <c r="K35" s="7"/>
      <c r="L35" s="383"/>
      <c r="M35" s="7"/>
      <c r="N35" s="383"/>
      <c r="O35" s="7"/>
      <c r="P35" s="383"/>
      <c r="Q35" s="7"/>
      <c r="R35" s="383"/>
      <c r="S35" s="7"/>
      <c r="T35" s="383"/>
      <c r="U35" s="7"/>
      <c r="V35" s="383"/>
      <c r="W35" s="7"/>
      <c r="X35" s="383"/>
      <c r="Y35" s="7"/>
      <c r="Z35" s="383"/>
      <c r="AA35" s="7"/>
      <c r="AB35" s="384"/>
    </row>
    <row r="36" spans="1:30" ht="15.75" customHeight="1" x14ac:dyDescent="0.25">
      <c r="A36" s="4"/>
      <c r="B36" s="383"/>
      <c r="C36" s="5"/>
      <c r="D36" s="383"/>
      <c r="E36" s="5"/>
      <c r="F36" s="383"/>
      <c r="G36" s="5"/>
      <c r="H36" s="383"/>
      <c r="I36" s="5"/>
      <c r="J36" s="383"/>
      <c r="K36" s="5"/>
      <c r="L36" s="383"/>
      <c r="M36" s="5"/>
      <c r="N36" s="383"/>
      <c r="O36" s="5"/>
      <c r="P36" s="383"/>
      <c r="Q36" s="5"/>
      <c r="R36" s="383"/>
      <c r="S36" s="5"/>
      <c r="T36" s="383"/>
      <c r="U36" s="5"/>
      <c r="V36" s="383"/>
      <c r="W36" s="5"/>
      <c r="X36" s="383"/>
      <c r="Y36" s="5"/>
      <c r="Z36" s="383"/>
      <c r="AA36" s="5"/>
      <c r="AB36" s="384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6">
        <f>SUM(A38:AC38)</f>
        <v>8105.7</v>
      </c>
      <c r="B40" s="377"/>
      <c r="C40" s="377"/>
      <c r="D40" s="378"/>
    </row>
    <row r="41" spans="1:30" ht="15.75" customHeight="1" x14ac:dyDescent="0.25">
      <c r="A41" s="379"/>
      <c r="B41" s="380"/>
      <c r="C41" s="380"/>
      <c r="D41" s="381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tabSelected="1"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65" customWidth="1"/>
    <col min="4" max="4" width="8.7109375" style="165" customWidth="1"/>
    <col min="5" max="11" width="25.7109375" style="165" customWidth="1"/>
    <col min="12" max="16384" width="9.140625" style="165"/>
  </cols>
  <sheetData>
    <row r="1" spans="1:24" ht="24.95" customHeight="1" thickBot="1" x14ac:dyDescent="0.45">
      <c r="A1" s="392" t="s">
        <v>86</v>
      </c>
      <c r="B1" s="393"/>
      <c r="C1" s="393"/>
      <c r="D1" s="393"/>
      <c r="E1" s="393"/>
      <c r="F1" s="393"/>
      <c r="G1" s="393"/>
      <c r="H1" s="393"/>
      <c r="I1" s="393"/>
      <c r="J1" s="393"/>
      <c r="K1" s="394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</row>
    <row r="2" spans="1:24" ht="21.95" customHeight="1" thickBot="1" x14ac:dyDescent="0.45">
      <c r="A2" s="404" t="s">
        <v>128</v>
      </c>
      <c r="B2" s="405"/>
      <c r="C2" s="406"/>
      <c r="D2" s="293" t="s">
        <v>220</v>
      </c>
      <c r="E2" s="294" t="s">
        <v>4</v>
      </c>
      <c r="F2" s="295" t="s">
        <v>2</v>
      </c>
      <c r="G2" s="296" t="s">
        <v>3</v>
      </c>
      <c r="H2" s="296" t="s">
        <v>113</v>
      </c>
      <c r="I2" s="296" t="s">
        <v>5</v>
      </c>
      <c r="J2" s="296" t="s">
        <v>6</v>
      </c>
      <c r="K2" s="297" t="s">
        <v>115</v>
      </c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</row>
    <row r="3" spans="1:24" s="188" customFormat="1" ht="18" customHeight="1" x14ac:dyDescent="0.35">
      <c r="A3" s="298">
        <v>0.4</v>
      </c>
      <c r="B3" s="410" t="s">
        <v>7</v>
      </c>
      <c r="C3" s="411"/>
      <c r="D3" s="299">
        <v>102</v>
      </c>
      <c r="E3" s="300">
        <f>SUM(F3:K3)</f>
        <v>0</v>
      </c>
      <c r="F3" s="301"/>
      <c r="G3" s="302"/>
      <c r="H3" s="302"/>
      <c r="I3" s="302"/>
      <c r="J3" s="302"/>
      <c r="K3" s="303">
        <f>'STOK DETAY'!D6</f>
        <v>0</v>
      </c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</row>
    <row r="4" spans="1:24" s="188" customFormat="1" ht="18" customHeight="1" x14ac:dyDescent="0.35">
      <c r="A4" s="304">
        <v>0.5</v>
      </c>
      <c r="B4" s="412" t="s">
        <v>7</v>
      </c>
      <c r="C4" s="413"/>
      <c r="D4" s="305">
        <v>102</v>
      </c>
      <c r="E4" s="306">
        <f t="shared" ref="E4:E7" si="0">SUM(F4:K4)</f>
        <v>0</v>
      </c>
      <c r="F4" s="307"/>
      <c r="G4" s="308"/>
      <c r="H4" s="308"/>
      <c r="I4" s="308"/>
      <c r="J4" s="308"/>
      <c r="K4" s="309">
        <f>'STOK DETAY'!E6</f>
        <v>0</v>
      </c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</row>
    <row r="5" spans="1:24" s="188" customFormat="1" ht="18" customHeight="1" x14ac:dyDescent="0.35">
      <c r="A5" s="304">
        <v>0.6</v>
      </c>
      <c r="B5" s="412" t="s">
        <v>7</v>
      </c>
      <c r="C5" s="413"/>
      <c r="D5" s="305">
        <v>102</v>
      </c>
      <c r="E5" s="306">
        <f t="shared" si="0"/>
        <v>0</v>
      </c>
      <c r="F5" s="307"/>
      <c r="G5" s="308"/>
      <c r="H5" s="308"/>
      <c r="I5" s="308"/>
      <c r="J5" s="308"/>
      <c r="K5" s="309">
        <f>'STOK DETAY'!F6</f>
        <v>0</v>
      </c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  <c r="X5" s="189"/>
    </row>
    <row r="6" spans="1:24" s="188" customFormat="1" ht="18" customHeight="1" thickBot="1" x14ac:dyDescent="0.4">
      <c r="A6" s="310">
        <v>2.6</v>
      </c>
      <c r="B6" s="417" t="s">
        <v>7</v>
      </c>
      <c r="C6" s="418"/>
      <c r="D6" s="311"/>
      <c r="E6" s="312">
        <f t="shared" si="0"/>
        <v>0</v>
      </c>
      <c r="F6" s="313"/>
      <c r="G6" s="314"/>
      <c r="H6" s="314"/>
      <c r="I6" s="314"/>
      <c r="J6" s="314"/>
      <c r="K6" s="315">
        <f>'STOK DETAY'!G6</f>
        <v>0</v>
      </c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</row>
    <row r="7" spans="1:24" ht="21.95" customHeight="1" thickBot="1" x14ac:dyDescent="0.45">
      <c r="A7" s="401" t="s">
        <v>4</v>
      </c>
      <c r="B7" s="402"/>
      <c r="C7" s="402"/>
      <c r="D7" s="403"/>
      <c r="E7" s="316">
        <f t="shared" si="0"/>
        <v>0</v>
      </c>
      <c r="F7" s="317">
        <f>SUM(F3:F6)</f>
        <v>0</v>
      </c>
      <c r="G7" s="318">
        <f t="shared" ref="G7:J7" si="1">SUM(G3:G6)</f>
        <v>0</v>
      </c>
      <c r="H7" s="318">
        <f>SUM(H3:H6)</f>
        <v>0</v>
      </c>
      <c r="I7" s="318">
        <f t="shared" si="1"/>
        <v>0</v>
      </c>
      <c r="J7" s="318">
        <f t="shared" si="1"/>
        <v>0</v>
      </c>
      <c r="K7" s="319">
        <f>SUM(K3:K6)</f>
        <v>0</v>
      </c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66"/>
      <c r="X7" s="166"/>
    </row>
    <row r="8" spans="1:24" ht="21.95" customHeight="1" thickBot="1" x14ac:dyDescent="0.45">
      <c r="A8" s="421" t="s">
        <v>55</v>
      </c>
      <c r="B8" s="422"/>
      <c r="C8" s="423"/>
      <c r="D8" s="294" t="s">
        <v>220</v>
      </c>
      <c r="E8" s="294" t="s">
        <v>4</v>
      </c>
      <c r="F8" s="320" t="s">
        <v>2</v>
      </c>
      <c r="G8" s="321" t="s">
        <v>3</v>
      </c>
      <c r="H8" s="321" t="s">
        <v>113</v>
      </c>
      <c r="I8" s="321" t="s">
        <v>5</v>
      </c>
      <c r="J8" s="321" t="s">
        <v>6</v>
      </c>
      <c r="K8" s="322" t="s">
        <v>115</v>
      </c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</row>
    <row r="9" spans="1:24" s="188" customFormat="1" ht="18" customHeight="1" x14ac:dyDescent="0.35">
      <c r="A9" s="298">
        <v>0.1</v>
      </c>
      <c r="B9" s="323" t="s">
        <v>7</v>
      </c>
      <c r="C9" s="324" t="s">
        <v>55</v>
      </c>
      <c r="D9" s="325">
        <v>312</v>
      </c>
      <c r="E9" s="300">
        <f>SUM(F9:K9)</f>
        <v>92.75</v>
      </c>
      <c r="F9" s="301"/>
      <c r="G9" s="302"/>
      <c r="H9" s="302">
        <f>'STOK DETAY'!H6</f>
        <v>92.75</v>
      </c>
      <c r="I9" s="302"/>
      <c r="J9" s="302"/>
      <c r="K9" s="303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</row>
    <row r="10" spans="1:24" s="188" customFormat="1" ht="18" customHeight="1" x14ac:dyDescent="0.35">
      <c r="A10" s="304">
        <v>0.16</v>
      </c>
      <c r="B10" s="326" t="s">
        <v>142</v>
      </c>
      <c r="C10" s="327" t="s">
        <v>55</v>
      </c>
      <c r="D10" s="328">
        <v>113</v>
      </c>
      <c r="E10" s="306">
        <f t="shared" ref="E10:E56" si="2">SUM(F10:K10)</f>
        <v>38.11</v>
      </c>
      <c r="F10" s="329"/>
      <c r="G10" s="330"/>
      <c r="H10" s="330">
        <f>'STOK DETAY'!I6</f>
        <v>38.11</v>
      </c>
      <c r="I10" s="330"/>
      <c r="J10" s="330"/>
      <c r="K10" s="331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</row>
    <row r="11" spans="1:24" s="188" customFormat="1" ht="18" customHeight="1" x14ac:dyDescent="0.35">
      <c r="A11" s="304">
        <v>0.2</v>
      </c>
      <c r="B11" s="332" t="s">
        <v>7</v>
      </c>
      <c r="C11" s="327" t="s">
        <v>55</v>
      </c>
      <c r="D11" s="328">
        <v>103</v>
      </c>
      <c r="E11" s="306">
        <f t="shared" si="2"/>
        <v>0</v>
      </c>
      <c r="F11" s="333"/>
      <c r="G11" s="330">
        <f>'STOK DETAY'!L6</f>
        <v>0</v>
      </c>
      <c r="H11" s="330">
        <f>'STOK DETAY'!M6</f>
        <v>0</v>
      </c>
      <c r="I11" s="330"/>
      <c r="J11" s="330"/>
      <c r="K11" s="331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</row>
    <row r="12" spans="1:24" s="188" customFormat="1" ht="18" customHeight="1" x14ac:dyDescent="0.35">
      <c r="A12" s="304">
        <v>0.25</v>
      </c>
      <c r="B12" s="332" t="s">
        <v>7</v>
      </c>
      <c r="C12" s="327" t="s">
        <v>55</v>
      </c>
      <c r="D12" s="328">
        <v>103</v>
      </c>
      <c r="E12" s="306">
        <f t="shared" si="2"/>
        <v>8.6150000000000002</v>
      </c>
      <c r="F12" s="329">
        <f>'STOK DETAY'!N6</f>
        <v>0</v>
      </c>
      <c r="G12" s="330">
        <f>'STOK DETAY'!O6</f>
        <v>8.6150000000000002</v>
      </c>
      <c r="H12" s="330">
        <f>'STOK DETAY'!P6</f>
        <v>0</v>
      </c>
      <c r="I12" s="330"/>
      <c r="J12" s="330">
        <f>'STOK DETAY'!Q6</f>
        <v>0</v>
      </c>
      <c r="K12" s="331">
        <f>'STOK DETAY'!R6</f>
        <v>0</v>
      </c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</row>
    <row r="13" spans="1:24" s="188" customFormat="1" ht="18" customHeight="1" x14ac:dyDescent="0.35">
      <c r="A13" s="304">
        <v>0.28000000000000003</v>
      </c>
      <c r="B13" s="332" t="s">
        <v>8</v>
      </c>
      <c r="C13" s="327" t="s">
        <v>143</v>
      </c>
      <c r="D13" s="328"/>
      <c r="E13" s="306">
        <f t="shared" si="2"/>
        <v>98.29</v>
      </c>
      <c r="F13" s="333"/>
      <c r="G13" s="330"/>
      <c r="H13" s="330">
        <f>'STOK DETAY'!S6</f>
        <v>98.29</v>
      </c>
      <c r="I13" s="330"/>
      <c r="J13" s="330"/>
      <c r="K13" s="331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</row>
    <row r="14" spans="1:24" s="188" customFormat="1" ht="18" customHeight="1" x14ac:dyDescent="0.35">
      <c r="A14" s="304">
        <v>0.3</v>
      </c>
      <c r="B14" s="332" t="s">
        <v>7</v>
      </c>
      <c r="C14" s="327" t="s">
        <v>55</v>
      </c>
      <c r="D14" s="328">
        <v>201</v>
      </c>
      <c r="E14" s="306">
        <f t="shared" si="2"/>
        <v>54.594999999999999</v>
      </c>
      <c r="F14" s="329">
        <f>'STOK DETAY'!T6</f>
        <v>0</v>
      </c>
      <c r="G14" s="330">
        <f>'STOK DETAY'!U6</f>
        <v>0</v>
      </c>
      <c r="H14" s="334">
        <f>'STOK DETAY'!V6</f>
        <v>54.594999999999999</v>
      </c>
      <c r="I14" s="330"/>
      <c r="J14" s="330"/>
      <c r="K14" s="331">
        <f>'STOK DETAY'!W6</f>
        <v>0</v>
      </c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</row>
    <row r="15" spans="1:24" s="188" customFormat="1" ht="18" customHeight="1" x14ac:dyDescent="0.35">
      <c r="A15" s="304">
        <v>0.35</v>
      </c>
      <c r="B15" s="332" t="s">
        <v>7</v>
      </c>
      <c r="C15" s="327" t="s">
        <v>55</v>
      </c>
      <c r="D15" s="328">
        <v>201</v>
      </c>
      <c r="E15" s="306">
        <f t="shared" si="2"/>
        <v>16.89</v>
      </c>
      <c r="F15" s="329">
        <f>'STOK DETAY'!X6</f>
        <v>0</v>
      </c>
      <c r="G15" s="330">
        <f>'STOK DETAY'!Y6</f>
        <v>0</v>
      </c>
      <c r="H15" s="330">
        <f>'STOK DETAY'!Z6</f>
        <v>16.89</v>
      </c>
      <c r="I15" s="330"/>
      <c r="J15" s="330"/>
      <c r="K15" s="331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</row>
    <row r="16" spans="1:24" s="188" customFormat="1" ht="18" customHeight="1" x14ac:dyDescent="0.35">
      <c r="A16" s="304">
        <v>0.4</v>
      </c>
      <c r="B16" s="332" t="s">
        <v>7</v>
      </c>
      <c r="C16" s="327" t="s">
        <v>55</v>
      </c>
      <c r="D16" s="328">
        <v>202</v>
      </c>
      <c r="E16" s="306">
        <f t="shared" si="2"/>
        <v>25.8</v>
      </c>
      <c r="F16" s="329">
        <f>'STOK DETAY'!AA6</f>
        <v>0</v>
      </c>
      <c r="G16" s="330">
        <f>'STOK DETAY'!AB6</f>
        <v>0</v>
      </c>
      <c r="H16" s="330">
        <f>'STOK DETAY'!AC6</f>
        <v>25.8</v>
      </c>
      <c r="I16" s="330"/>
      <c r="J16" s="330"/>
      <c r="K16" s="331">
        <f>'STOK DETAY'!AD6</f>
        <v>0</v>
      </c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</row>
    <row r="17" spans="1:24" s="188" customFormat="1" ht="18" customHeight="1" x14ac:dyDescent="0.35">
      <c r="A17" s="304">
        <v>0.45</v>
      </c>
      <c r="B17" s="332" t="s">
        <v>7</v>
      </c>
      <c r="C17" s="327" t="s">
        <v>55</v>
      </c>
      <c r="D17" s="328">
        <v>202</v>
      </c>
      <c r="E17" s="306">
        <f t="shared" si="2"/>
        <v>0</v>
      </c>
      <c r="F17" s="329">
        <f>'STOK DETAY'!AE6</f>
        <v>0</v>
      </c>
      <c r="G17" s="330">
        <f>'STOK DETAY'!AF6</f>
        <v>0</v>
      </c>
      <c r="H17" s="330">
        <f>'STOK DETAY'!AG6</f>
        <v>0</v>
      </c>
      <c r="I17" s="330">
        <f>'STOK DETAY'!AH6</f>
        <v>0</v>
      </c>
      <c r="J17" s="330">
        <f>'STOK DETAY'!AI6</f>
        <v>0</v>
      </c>
      <c r="K17" s="331">
        <f>'STOK DETAY'!AJ6</f>
        <v>0</v>
      </c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</row>
    <row r="18" spans="1:24" s="188" customFormat="1" ht="18" customHeight="1" x14ac:dyDescent="0.35">
      <c r="A18" s="307">
        <v>0.47499999999999998</v>
      </c>
      <c r="B18" s="332" t="s">
        <v>7</v>
      </c>
      <c r="C18" s="327" t="s">
        <v>55</v>
      </c>
      <c r="D18" s="328"/>
      <c r="E18" s="306">
        <f t="shared" si="2"/>
        <v>24.27</v>
      </c>
      <c r="F18" s="329"/>
      <c r="G18" s="330"/>
      <c r="H18" s="330">
        <f>'STOK DETAY'!AK6</f>
        <v>24.27</v>
      </c>
      <c r="I18" s="330"/>
      <c r="J18" s="330"/>
      <c r="K18" s="331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</row>
    <row r="19" spans="1:24" s="188" customFormat="1" ht="18" customHeight="1" x14ac:dyDescent="0.35">
      <c r="A19" s="304">
        <v>0.5</v>
      </c>
      <c r="B19" s="332" t="s">
        <v>7</v>
      </c>
      <c r="C19" s="327" t="s">
        <v>55</v>
      </c>
      <c r="D19" s="328">
        <v>203</v>
      </c>
      <c r="E19" s="306">
        <f t="shared" si="2"/>
        <v>49.41</v>
      </c>
      <c r="F19" s="329">
        <f>'STOK DETAY'!AL6</f>
        <v>0</v>
      </c>
      <c r="G19" s="330">
        <f>'STOK DETAY'!AM6</f>
        <v>0</v>
      </c>
      <c r="H19" s="330">
        <f>'STOK DETAY'!AN6</f>
        <v>49.41</v>
      </c>
      <c r="I19" s="330"/>
      <c r="J19" s="330">
        <f>'STOK DETAY'!AO6</f>
        <v>0</v>
      </c>
      <c r="K19" s="331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</row>
    <row r="20" spans="1:24" s="188" customFormat="1" ht="18" customHeight="1" x14ac:dyDescent="0.35">
      <c r="A20" s="304">
        <v>0.55000000000000004</v>
      </c>
      <c r="B20" s="332" t="s">
        <v>7</v>
      </c>
      <c r="C20" s="327" t="s">
        <v>55</v>
      </c>
      <c r="D20" s="328">
        <v>203</v>
      </c>
      <c r="E20" s="306">
        <f t="shared" si="2"/>
        <v>7.83</v>
      </c>
      <c r="F20" s="329">
        <f>'STOK DETAY'!AP6</f>
        <v>0</v>
      </c>
      <c r="G20" s="330">
        <f>'STOK DETAY'!AQ6</f>
        <v>0</v>
      </c>
      <c r="H20" s="330">
        <f>'STOK DETAY'!AR6</f>
        <v>7.83</v>
      </c>
      <c r="I20" s="330">
        <f>'STOK DETAY'!AS6</f>
        <v>0</v>
      </c>
      <c r="J20" s="330">
        <f>'STOK DETAY'!AT6</f>
        <v>0</v>
      </c>
      <c r="K20" s="331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</row>
    <row r="21" spans="1:24" s="188" customFormat="1" ht="18" customHeight="1" x14ac:dyDescent="0.35">
      <c r="A21" s="304">
        <v>0.6</v>
      </c>
      <c r="B21" s="332" t="s">
        <v>7</v>
      </c>
      <c r="C21" s="327" t="s">
        <v>55</v>
      </c>
      <c r="D21" s="328">
        <v>301</v>
      </c>
      <c r="E21" s="306">
        <f t="shared" si="2"/>
        <v>16.170000000000002</v>
      </c>
      <c r="F21" s="329">
        <f>'STOK DETAY'!AU6</f>
        <v>0</v>
      </c>
      <c r="G21" s="330">
        <f>'STOK DETAY'!AV6</f>
        <v>0</v>
      </c>
      <c r="H21" s="330">
        <f>'STOK DETAY'!AW6</f>
        <v>16.170000000000002</v>
      </c>
      <c r="I21" s="330">
        <f>'STOK DETAY'!AX6</f>
        <v>0</v>
      </c>
      <c r="J21" s="330">
        <f>'STOK DETAY'!AY6</f>
        <v>0</v>
      </c>
      <c r="K21" s="331">
        <f>'STOK DETAY'!AZ6</f>
        <v>0</v>
      </c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</row>
    <row r="22" spans="1:24" s="188" customFormat="1" ht="18" customHeight="1" x14ac:dyDescent="0.35">
      <c r="A22" s="304">
        <v>0.65</v>
      </c>
      <c r="B22" s="332" t="s">
        <v>7</v>
      </c>
      <c r="C22" s="327" t="s">
        <v>55</v>
      </c>
      <c r="D22" s="328">
        <v>301</v>
      </c>
      <c r="E22" s="306">
        <f t="shared" si="2"/>
        <v>17.34</v>
      </c>
      <c r="F22" s="329">
        <f>'STOK DETAY'!BA6</f>
        <v>0</v>
      </c>
      <c r="G22" s="330">
        <f>'STOK DETAY'!BB6</f>
        <v>0</v>
      </c>
      <c r="H22" s="330">
        <f>'STOK DETAY'!BC6</f>
        <v>17.34</v>
      </c>
      <c r="I22" s="330"/>
      <c r="J22" s="330">
        <f>'STOK DETAY'!BE6</f>
        <v>0</v>
      </c>
      <c r="K22" s="331">
        <f>'STOK DETAY'!BF6</f>
        <v>0</v>
      </c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</row>
    <row r="23" spans="1:24" s="188" customFormat="1" ht="18" customHeight="1" x14ac:dyDescent="0.35">
      <c r="A23" s="304">
        <v>0.7</v>
      </c>
      <c r="B23" s="332" t="s">
        <v>7</v>
      </c>
      <c r="C23" s="327" t="s">
        <v>55</v>
      </c>
      <c r="D23" s="328">
        <v>302</v>
      </c>
      <c r="E23" s="306">
        <f t="shared" si="2"/>
        <v>0</v>
      </c>
      <c r="F23" s="329">
        <f>'STOK DETAY'!BG6</f>
        <v>0</v>
      </c>
      <c r="G23" s="330">
        <f>'STOK DETAY'!BH6</f>
        <v>0</v>
      </c>
      <c r="H23" s="330">
        <f>'STOK DETAY'!BI6</f>
        <v>0</v>
      </c>
      <c r="I23" s="330">
        <f>'STOK DETAY'!BJ6</f>
        <v>0</v>
      </c>
      <c r="J23" s="330">
        <f>'STOK DETAY'!BK6</f>
        <v>0</v>
      </c>
      <c r="K23" s="331">
        <f>'STOK DETAY'!BL6</f>
        <v>0</v>
      </c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</row>
    <row r="24" spans="1:24" s="188" customFormat="1" ht="18" customHeight="1" x14ac:dyDescent="0.35">
      <c r="A24" s="304">
        <v>0.75</v>
      </c>
      <c r="B24" s="332" t="s">
        <v>7</v>
      </c>
      <c r="C24" s="327" t="s">
        <v>55</v>
      </c>
      <c r="D24" s="328">
        <v>302</v>
      </c>
      <c r="E24" s="306">
        <f t="shared" si="2"/>
        <v>8.83</v>
      </c>
      <c r="F24" s="329">
        <f>'STOK DETAY'!BM6</f>
        <v>0</v>
      </c>
      <c r="G24" s="330">
        <f>'STOK DETAY'!BN6</f>
        <v>0</v>
      </c>
      <c r="H24" s="330">
        <f>'STOK DETAY'!BO6</f>
        <v>8.83</v>
      </c>
      <c r="I24" s="330">
        <f>'STOK DETAY'!BP6</f>
        <v>0</v>
      </c>
      <c r="J24" s="330">
        <f>'STOK DETAY'!BQ6</f>
        <v>0</v>
      </c>
      <c r="K24" s="331">
        <f>'STOK DETAY'!BR6</f>
        <v>0</v>
      </c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</row>
    <row r="25" spans="1:24" s="188" customFormat="1" ht="18" customHeight="1" x14ac:dyDescent="0.35">
      <c r="A25" s="304">
        <v>0.8</v>
      </c>
      <c r="B25" s="332" t="s">
        <v>7</v>
      </c>
      <c r="C25" s="327" t="s">
        <v>55</v>
      </c>
      <c r="D25" s="328">
        <v>303</v>
      </c>
      <c r="E25" s="306">
        <f t="shared" si="2"/>
        <v>0</v>
      </c>
      <c r="F25" s="329">
        <f>'STOK DETAY'!BS6</f>
        <v>0</v>
      </c>
      <c r="G25" s="330">
        <f>'STOK DETAY'!BT6</f>
        <v>0</v>
      </c>
      <c r="H25" s="330">
        <f>'STOK DETAY'!BU6</f>
        <v>0</v>
      </c>
      <c r="I25" s="330">
        <f>'STOK DETAY'!BV6</f>
        <v>0</v>
      </c>
      <c r="J25" s="330">
        <f>'STOK DETAY'!BW6</f>
        <v>0</v>
      </c>
      <c r="K25" s="331">
        <f>'STOK DETAY'!BX6</f>
        <v>0</v>
      </c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</row>
    <row r="26" spans="1:24" s="188" customFormat="1" ht="18" customHeight="1" x14ac:dyDescent="0.35">
      <c r="A26" s="304">
        <v>0.85</v>
      </c>
      <c r="B26" s="332" t="s">
        <v>7</v>
      </c>
      <c r="C26" s="327" t="s">
        <v>55</v>
      </c>
      <c r="D26" s="328">
        <v>303</v>
      </c>
      <c r="E26" s="306">
        <f t="shared" si="2"/>
        <v>0</v>
      </c>
      <c r="F26" s="329">
        <f>'STOK DETAY'!BY6</f>
        <v>0</v>
      </c>
      <c r="G26" s="330">
        <f>'STOK DETAY'!BZ6</f>
        <v>0</v>
      </c>
      <c r="H26" s="330">
        <f>'STOK DETAY'!CA6</f>
        <v>0</v>
      </c>
      <c r="I26" s="330">
        <f>'STOK DETAY'!CB6</f>
        <v>0</v>
      </c>
      <c r="J26" s="330">
        <f>'STOK DETAY'!CC6</f>
        <v>0</v>
      </c>
      <c r="K26" s="331">
        <f>'STOK DETAY'!CD6</f>
        <v>0</v>
      </c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</row>
    <row r="27" spans="1:24" s="188" customFormat="1" ht="18" customHeight="1" x14ac:dyDescent="0.35">
      <c r="A27" s="304">
        <v>0.9</v>
      </c>
      <c r="B27" s="332" t="s">
        <v>7</v>
      </c>
      <c r="C27" s="327" t="s">
        <v>55</v>
      </c>
      <c r="D27" s="328">
        <v>401</v>
      </c>
      <c r="E27" s="306">
        <f t="shared" si="2"/>
        <v>0</v>
      </c>
      <c r="F27" s="329">
        <f>'STOK DETAY'!CE6</f>
        <v>0</v>
      </c>
      <c r="G27" s="330">
        <f>'STOK DETAY'!CF6</f>
        <v>0</v>
      </c>
      <c r="H27" s="330">
        <f>'STOK DETAY'!CG6</f>
        <v>0</v>
      </c>
      <c r="I27" s="330">
        <f>'STOK DETAY'!CH6</f>
        <v>0</v>
      </c>
      <c r="J27" s="330">
        <f>'STOK DETAY'!CI6</f>
        <v>0</v>
      </c>
      <c r="K27" s="331">
        <f>'STOK DETAY'!CJ6</f>
        <v>0</v>
      </c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</row>
    <row r="28" spans="1:24" s="188" customFormat="1" ht="18" customHeight="1" x14ac:dyDescent="0.35">
      <c r="A28" s="304">
        <v>0.95</v>
      </c>
      <c r="B28" s="332" t="s">
        <v>7</v>
      </c>
      <c r="C28" s="327" t="s">
        <v>55</v>
      </c>
      <c r="D28" s="328">
        <v>401</v>
      </c>
      <c r="E28" s="306">
        <f t="shared" si="2"/>
        <v>8.6750000000000007</v>
      </c>
      <c r="F28" s="329">
        <f>'STOK DETAY'!CK6</f>
        <v>0</v>
      </c>
      <c r="G28" s="330">
        <f>'STOK DETAY'!CL6</f>
        <v>0</v>
      </c>
      <c r="H28" s="330">
        <f>'STOK DETAY'!CM6</f>
        <v>8.6750000000000007</v>
      </c>
      <c r="I28" s="330">
        <f>'STOK DETAY'!CN6</f>
        <v>0</v>
      </c>
      <c r="J28" s="330">
        <f>'STOK DETAY'!CO6</f>
        <v>0</v>
      </c>
      <c r="K28" s="331">
        <f>'STOK DETAY'!CP6</f>
        <v>0</v>
      </c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</row>
    <row r="29" spans="1:24" s="188" customFormat="1" ht="18" customHeight="1" x14ac:dyDescent="0.35">
      <c r="A29" s="304">
        <v>1</v>
      </c>
      <c r="B29" s="332" t="s">
        <v>7</v>
      </c>
      <c r="C29" s="327" t="s">
        <v>55</v>
      </c>
      <c r="D29" s="328">
        <v>402</v>
      </c>
      <c r="E29" s="306">
        <f t="shared" si="2"/>
        <v>86.37</v>
      </c>
      <c r="F29" s="329">
        <f>'STOK DETAY'!CQ6</f>
        <v>0</v>
      </c>
      <c r="G29" s="330">
        <f>'STOK DETAY'!CR6</f>
        <v>0</v>
      </c>
      <c r="H29" s="330">
        <f>'STOK DETAY'!CS6</f>
        <v>86.37</v>
      </c>
      <c r="I29" s="330">
        <f>'STOK DETAY'!CT6</f>
        <v>0</v>
      </c>
      <c r="J29" s="330">
        <f>'STOK DETAY'!CU6</f>
        <v>0</v>
      </c>
      <c r="K29" s="331">
        <f>'STOK DETAY'!CV6</f>
        <v>0</v>
      </c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</row>
    <row r="30" spans="1:24" s="188" customFormat="1" ht="18" customHeight="1" x14ac:dyDescent="0.35">
      <c r="A30" s="304">
        <v>1.05</v>
      </c>
      <c r="B30" s="332" t="s">
        <v>7</v>
      </c>
      <c r="C30" s="327" t="s">
        <v>55</v>
      </c>
      <c r="D30" s="328">
        <v>402</v>
      </c>
      <c r="E30" s="306">
        <f t="shared" si="2"/>
        <v>8.7949999999999999</v>
      </c>
      <c r="F30" s="329">
        <f>'STOK DETAY'!CW6</f>
        <v>0</v>
      </c>
      <c r="G30" s="330">
        <f>'STOK DETAY'!CX6</f>
        <v>0</v>
      </c>
      <c r="H30" s="330">
        <f>'STOK DETAY'!CY6</f>
        <v>8.7949999999999999</v>
      </c>
      <c r="I30" s="330">
        <f>'STOK DETAY'!CZ6</f>
        <v>0</v>
      </c>
      <c r="J30" s="330">
        <f>'STOK DETAY'!DA6</f>
        <v>0</v>
      </c>
      <c r="K30" s="331">
        <f>'STOK DETAY'!DB6</f>
        <v>0</v>
      </c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</row>
    <row r="31" spans="1:24" s="188" customFormat="1" ht="18" customHeight="1" x14ac:dyDescent="0.35">
      <c r="A31" s="304">
        <v>1.1000000000000001</v>
      </c>
      <c r="B31" s="332" t="s">
        <v>7</v>
      </c>
      <c r="C31" s="327" t="s">
        <v>55</v>
      </c>
      <c r="D31" s="328">
        <v>403</v>
      </c>
      <c r="E31" s="306">
        <f t="shared" si="2"/>
        <v>51.814999999999998</v>
      </c>
      <c r="F31" s="329">
        <f>'STOK DETAY'!DC6</f>
        <v>0</v>
      </c>
      <c r="G31" s="330">
        <f>'STOK DETAY'!DD6</f>
        <v>0</v>
      </c>
      <c r="H31" s="330">
        <f>'STOK DETAY'!DE6</f>
        <v>51.814999999999998</v>
      </c>
      <c r="I31" s="330">
        <f>'STOK DETAY'!DF6</f>
        <v>0</v>
      </c>
      <c r="J31" s="330">
        <f>'STOK DETAY'!DG6</f>
        <v>0</v>
      </c>
      <c r="K31" s="331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</row>
    <row r="32" spans="1:24" s="188" customFormat="1" ht="18" customHeight="1" x14ac:dyDescent="0.35">
      <c r="A32" s="304">
        <v>1.1499999999999999</v>
      </c>
      <c r="B32" s="332" t="s">
        <v>7</v>
      </c>
      <c r="C32" s="327" t="s">
        <v>55</v>
      </c>
      <c r="D32" s="328">
        <v>403</v>
      </c>
      <c r="E32" s="306">
        <f t="shared" si="2"/>
        <v>24.55</v>
      </c>
      <c r="F32" s="329">
        <f>'STOK DETAY'!DI6</f>
        <v>0</v>
      </c>
      <c r="G32" s="330">
        <f>'STOK DETAY'!DJ6</f>
        <v>0</v>
      </c>
      <c r="H32" s="330">
        <f>'STOK DETAY'!DK6</f>
        <v>0</v>
      </c>
      <c r="I32" s="330">
        <f>'STOK DETAY'!DL6</f>
        <v>0</v>
      </c>
      <c r="J32" s="330">
        <f>'STOK DETAY'!DM6</f>
        <v>24.55</v>
      </c>
      <c r="K32" s="331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</row>
    <row r="33" spans="1:24" s="188" customFormat="1" ht="18" customHeight="1" x14ac:dyDescent="0.35">
      <c r="A33" s="304">
        <v>1.2</v>
      </c>
      <c r="B33" s="332" t="s">
        <v>7</v>
      </c>
      <c r="C33" s="327" t="s">
        <v>55</v>
      </c>
      <c r="D33" s="328">
        <v>501</v>
      </c>
      <c r="E33" s="306">
        <f t="shared" si="2"/>
        <v>8.8049999999999997</v>
      </c>
      <c r="F33" s="329">
        <f>'STOK DETAY'!DN6</f>
        <v>0</v>
      </c>
      <c r="G33" s="330">
        <f>'STOK DETAY'!DO6</f>
        <v>0</v>
      </c>
      <c r="H33" s="330">
        <f>'STOK DETAY'!DP6</f>
        <v>8.8049999999999997</v>
      </c>
      <c r="I33" s="330">
        <f>'STOK DETAY'!DQ6</f>
        <v>0</v>
      </c>
      <c r="J33" s="330">
        <f>'STOK DETAY'!DR6</f>
        <v>0</v>
      </c>
      <c r="K33" s="331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</row>
    <row r="34" spans="1:24" s="188" customFormat="1" ht="18" customHeight="1" x14ac:dyDescent="0.35">
      <c r="A34" s="304">
        <v>1.25</v>
      </c>
      <c r="B34" s="332" t="s">
        <v>7</v>
      </c>
      <c r="C34" s="327" t="s">
        <v>55</v>
      </c>
      <c r="D34" s="328">
        <v>501</v>
      </c>
      <c r="E34" s="306">
        <f t="shared" si="2"/>
        <v>0</v>
      </c>
      <c r="F34" s="329">
        <f>'STOK DETAY'!DS6</f>
        <v>0</v>
      </c>
      <c r="G34" s="330">
        <f>'STOK DETAY'!DT6</f>
        <v>0</v>
      </c>
      <c r="H34" s="330">
        <f>'STOK DETAY'!DU6</f>
        <v>0</v>
      </c>
      <c r="I34" s="330">
        <f>'STOK DETAY'!DV6</f>
        <v>0</v>
      </c>
      <c r="J34" s="330">
        <f>'STOK DETAY'!DW6</f>
        <v>0</v>
      </c>
      <c r="K34" s="331">
        <f>'STOK DETAY'!DX6</f>
        <v>0</v>
      </c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</row>
    <row r="35" spans="1:24" s="188" customFormat="1" ht="18" customHeight="1" x14ac:dyDescent="0.35">
      <c r="A35" s="304">
        <v>1.3</v>
      </c>
      <c r="B35" s="332" t="s">
        <v>7</v>
      </c>
      <c r="C35" s="327" t="s">
        <v>55</v>
      </c>
      <c r="D35" s="328">
        <v>502</v>
      </c>
      <c r="E35" s="306">
        <f t="shared" si="2"/>
        <v>42.075000000000003</v>
      </c>
      <c r="F35" s="329">
        <f>'STOK DETAY'!DY6</f>
        <v>0</v>
      </c>
      <c r="G35" s="330">
        <f>'STOK DETAY'!DZ6</f>
        <v>0</v>
      </c>
      <c r="H35" s="330">
        <f>'STOK DETAY'!EA6</f>
        <v>42.075000000000003</v>
      </c>
      <c r="I35" s="330">
        <f>'STOK DETAY'!EB6</f>
        <v>0</v>
      </c>
      <c r="J35" s="330">
        <f>'STOK DETAY'!EC6</f>
        <v>0</v>
      </c>
      <c r="K35" s="331">
        <f>'STOK DETAY'!ED6</f>
        <v>0</v>
      </c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</row>
    <row r="36" spans="1:24" s="188" customFormat="1" ht="18" customHeight="1" x14ac:dyDescent="0.35">
      <c r="A36" s="304">
        <v>1.35</v>
      </c>
      <c r="B36" s="332" t="s">
        <v>7</v>
      </c>
      <c r="C36" s="327" t="s">
        <v>55</v>
      </c>
      <c r="D36" s="328">
        <v>502</v>
      </c>
      <c r="E36" s="306">
        <f t="shared" si="2"/>
        <v>671.93499999999995</v>
      </c>
      <c r="F36" s="329">
        <f>'STOK DETAY'!EE6</f>
        <v>0</v>
      </c>
      <c r="G36" s="330">
        <f>'STOK DETAY'!EF6</f>
        <v>0</v>
      </c>
      <c r="H36" s="330">
        <f>'STOK DETAY'!EG6</f>
        <v>661.745</v>
      </c>
      <c r="I36" s="330">
        <f>'STOK DETAY'!EH6</f>
        <v>1.75</v>
      </c>
      <c r="J36" s="330">
        <f>'STOK DETAY'!EI6</f>
        <v>8.44</v>
      </c>
      <c r="K36" s="331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</row>
    <row r="37" spans="1:24" s="188" customFormat="1" ht="18" customHeight="1" x14ac:dyDescent="0.35">
      <c r="A37" s="304">
        <v>1.4</v>
      </c>
      <c r="B37" s="332" t="s">
        <v>7</v>
      </c>
      <c r="C37" s="327" t="s">
        <v>55</v>
      </c>
      <c r="D37" s="328">
        <v>503</v>
      </c>
      <c r="E37" s="306">
        <f t="shared" si="2"/>
        <v>68.8</v>
      </c>
      <c r="F37" s="329">
        <f>'STOK DETAY'!EJ6</f>
        <v>0</v>
      </c>
      <c r="G37" s="330">
        <f>'STOK DETAY'!EK6</f>
        <v>0</v>
      </c>
      <c r="H37" s="330">
        <f>'STOK DETAY'!EL6</f>
        <v>0</v>
      </c>
      <c r="I37" s="330"/>
      <c r="J37" s="330">
        <f>'STOK DETAY'!EM6</f>
        <v>68.8</v>
      </c>
      <c r="K37" s="331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</row>
    <row r="38" spans="1:24" s="188" customFormat="1" ht="18" customHeight="1" x14ac:dyDescent="0.35">
      <c r="A38" s="304">
        <v>1.45</v>
      </c>
      <c r="B38" s="332" t="s">
        <v>7</v>
      </c>
      <c r="C38" s="327" t="s">
        <v>55</v>
      </c>
      <c r="D38" s="328">
        <v>503</v>
      </c>
      <c r="E38" s="306">
        <f t="shared" si="2"/>
        <v>16.170000000000002</v>
      </c>
      <c r="F38" s="329">
        <f>'STOK DETAY'!EN6</f>
        <v>0</v>
      </c>
      <c r="G38" s="330">
        <f>'STOK DETAY'!EO6</f>
        <v>0</v>
      </c>
      <c r="H38" s="330">
        <f>'STOK DETAY'!EP6</f>
        <v>16.170000000000002</v>
      </c>
      <c r="I38" s="330"/>
      <c r="J38" s="330">
        <f>'STOK DETAY'!EQ6</f>
        <v>0</v>
      </c>
      <c r="K38" s="331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</row>
    <row r="39" spans="1:24" s="188" customFormat="1" ht="18" customHeight="1" x14ac:dyDescent="0.35">
      <c r="A39" s="304">
        <v>1.5</v>
      </c>
      <c r="B39" s="332" t="s">
        <v>7</v>
      </c>
      <c r="C39" s="327" t="s">
        <v>55</v>
      </c>
      <c r="D39" s="328"/>
      <c r="E39" s="306">
        <f t="shared" si="2"/>
        <v>0</v>
      </c>
      <c r="F39" s="329">
        <f>'STOK DETAY'!ER6</f>
        <v>0</v>
      </c>
      <c r="G39" s="330">
        <f>'STOK DETAY'!ES6</f>
        <v>0</v>
      </c>
      <c r="H39" s="330">
        <f>'STOK DETAY'!ET6</f>
        <v>0</v>
      </c>
      <c r="I39" s="330"/>
      <c r="J39" s="330">
        <f>'STOK DETAY'!EU6</f>
        <v>0</v>
      </c>
      <c r="K39" s="331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</row>
    <row r="40" spans="1:24" s="188" customFormat="1" ht="18" customHeight="1" x14ac:dyDescent="0.35">
      <c r="A40" s="304">
        <v>1.55</v>
      </c>
      <c r="B40" s="332" t="s">
        <v>142</v>
      </c>
      <c r="C40" s="327" t="s">
        <v>55</v>
      </c>
      <c r="D40" s="328">
        <v>211</v>
      </c>
      <c r="E40" s="306">
        <f t="shared" si="2"/>
        <v>27.65</v>
      </c>
      <c r="F40" s="329"/>
      <c r="G40" s="330"/>
      <c r="H40" s="330"/>
      <c r="I40" s="330"/>
      <c r="J40" s="330">
        <f>'STOK DETAY'!EV6</f>
        <v>27.65</v>
      </c>
      <c r="K40" s="331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</row>
    <row r="41" spans="1:24" s="188" customFormat="1" ht="18" customHeight="1" x14ac:dyDescent="0.35">
      <c r="A41" s="304">
        <v>1.6</v>
      </c>
      <c r="B41" s="332" t="s">
        <v>7</v>
      </c>
      <c r="C41" s="327" t="s">
        <v>55</v>
      </c>
      <c r="D41" s="328"/>
      <c r="E41" s="306">
        <f t="shared" si="2"/>
        <v>0</v>
      </c>
      <c r="F41" s="329"/>
      <c r="G41" s="330">
        <f>'STOK DETAY'!EW6</f>
        <v>0</v>
      </c>
      <c r="H41" s="330"/>
      <c r="I41" s="330"/>
      <c r="J41" s="330"/>
      <c r="K41" s="331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</row>
    <row r="42" spans="1:24" s="188" customFormat="1" ht="18" customHeight="1" x14ac:dyDescent="0.35">
      <c r="A42" s="304">
        <v>1.7</v>
      </c>
      <c r="B42" s="332" t="s">
        <v>9</v>
      </c>
      <c r="C42" s="327" t="s">
        <v>55</v>
      </c>
      <c r="D42" s="328"/>
      <c r="E42" s="306">
        <f t="shared" si="2"/>
        <v>0</v>
      </c>
      <c r="F42" s="329"/>
      <c r="G42" s="330">
        <f>'STOK DETAY'!EY6</f>
        <v>0</v>
      </c>
      <c r="H42" s="330">
        <f>'STOK DETAY'!EZ6</f>
        <v>0</v>
      </c>
      <c r="I42" s="330"/>
      <c r="J42" s="330"/>
      <c r="K42" s="331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</row>
    <row r="43" spans="1:24" s="188" customFormat="1" ht="18" customHeight="1" x14ac:dyDescent="0.35">
      <c r="A43" s="304">
        <v>1.8</v>
      </c>
      <c r="B43" s="332" t="s">
        <v>9</v>
      </c>
      <c r="C43" s="327" t="s">
        <v>55</v>
      </c>
      <c r="D43" s="328"/>
      <c r="E43" s="306">
        <f t="shared" si="2"/>
        <v>0</v>
      </c>
      <c r="F43" s="329">
        <f>'STOK DETAY'!FA6</f>
        <v>0</v>
      </c>
      <c r="G43" s="330">
        <f>'STOK DETAY'!FB6</f>
        <v>0</v>
      </c>
      <c r="H43" s="330">
        <f>'STOK DETAY'!FC6</f>
        <v>0</v>
      </c>
      <c r="I43" s="330"/>
      <c r="J43" s="330">
        <f>'STOK DETAY'!FD6</f>
        <v>0</v>
      </c>
      <c r="K43" s="331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</row>
    <row r="44" spans="1:24" s="188" customFormat="1" ht="18" customHeight="1" x14ac:dyDescent="0.35">
      <c r="A44" s="304">
        <v>1.85</v>
      </c>
      <c r="B44" s="332" t="s">
        <v>9</v>
      </c>
      <c r="C44" s="327" t="s">
        <v>55</v>
      </c>
      <c r="D44" s="328"/>
      <c r="E44" s="306">
        <f t="shared" si="2"/>
        <v>28</v>
      </c>
      <c r="F44" s="329"/>
      <c r="G44" s="330"/>
      <c r="H44" s="330"/>
      <c r="I44" s="330"/>
      <c r="J44" s="330">
        <f>'STOK DETAY'!FE6</f>
        <v>28</v>
      </c>
      <c r="K44" s="331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</row>
    <row r="45" spans="1:24" s="188" customFormat="1" ht="18" customHeight="1" x14ac:dyDescent="0.35">
      <c r="A45" s="304">
        <v>1.9</v>
      </c>
      <c r="B45" s="332" t="s">
        <v>9</v>
      </c>
      <c r="C45" s="327" t="s">
        <v>55</v>
      </c>
      <c r="D45" s="328"/>
      <c r="E45" s="306">
        <f t="shared" si="2"/>
        <v>103.66500000000001</v>
      </c>
      <c r="F45" s="329"/>
      <c r="G45" s="330">
        <f>'STOK DETAY'!FF6</f>
        <v>0</v>
      </c>
      <c r="H45" s="330">
        <f>'STOK DETAY'!FG6</f>
        <v>103.66500000000001</v>
      </c>
      <c r="I45" s="330"/>
      <c r="J45" s="330">
        <f>'STOK DETAY'!FH6</f>
        <v>0</v>
      </c>
      <c r="K45" s="331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</row>
    <row r="46" spans="1:24" s="188" customFormat="1" ht="18" customHeight="1" x14ac:dyDescent="0.35">
      <c r="A46" s="304">
        <v>2</v>
      </c>
      <c r="B46" s="332" t="s">
        <v>9</v>
      </c>
      <c r="C46" s="327" t="s">
        <v>55</v>
      </c>
      <c r="D46" s="328"/>
      <c r="E46" s="306">
        <f t="shared" si="2"/>
        <v>0</v>
      </c>
      <c r="F46" s="329"/>
      <c r="G46" s="330">
        <f>'STOK DETAY'!FJ6</f>
        <v>0</v>
      </c>
      <c r="H46" s="330">
        <f>'STOK DETAY'!FK6</f>
        <v>0</v>
      </c>
      <c r="I46" s="330"/>
      <c r="J46" s="330">
        <f>'STOK DETAY'!FL6</f>
        <v>0</v>
      </c>
      <c r="K46" s="331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</row>
    <row r="47" spans="1:24" s="188" customFormat="1" ht="18" customHeight="1" x14ac:dyDescent="0.35">
      <c r="A47" s="304">
        <v>2.2000000000000002</v>
      </c>
      <c r="B47" s="332" t="s">
        <v>9</v>
      </c>
      <c r="C47" s="327" t="s">
        <v>55</v>
      </c>
      <c r="D47" s="328"/>
      <c r="E47" s="306">
        <f t="shared" si="2"/>
        <v>45.85</v>
      </c>
      <c r="F47" s="329">
        <f>'STOK DETAY'!FM6</f>
        <v>0</v>
      </c>
      <c r="G47" s="330"/>
      <c r="H47" s="330"/>
      <c r="I47" s="330"/>
      <c r="J47" s="330">
        <f>'STOK DETAY'!FN6</f>
        <v>45.85</v>
      </c>
      <c r="K47" s="331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</row>
    <row r="48" spans="1:24" s="188" customFormat="1" ht="18" customHeight="1" x14ac:dyDescent="0.35">
      <c r="A48" s="304">
        <v>2.2999999999999998</v>
      </c>
      <c r="B48" s="332" t="s">
        <v>9</v>
      </c>
      <c r="C48" s="327" t="s">
        <v>55</v>
      </c>
      <c r="D48" s="328"/>
      <c r="E48" s="306">
        <f t="shared" si="2"/>
        <v>0</v>
      </c>
      <c r="F48" s="329"/>
      <c r="G48" s="330"/>
      <c r="H48" s="330"/>
      <c r="I48" s="330"/>
      <c r="J48" s="330">
        <f>'STOK DETAY'!FO6</f>
        <v>0</v>
      </c>
      <c r="K48" s="331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</row>
    <row r="49" spans="1:24" s="188" customFormat="1" ht="18" customHeight="1" x14ac:dyDescent="0.35">
      <c r="A49" s="304">
        <v>2.4</v>
      </c>
      <c r="B49" s="332" t="s">
        <v>9</v>
      </c>
      <c r="C49" s="327" t="s">
        <v>55</v>
      </c>
      <c r="D49" s="328"/>
      <c r="E49" s="306">
        <f t="shared" si="2"/>
        <v>0</v>
      </c>
      <c r="F49" s="329"/>
      <c r="G49" s="330"/>
      <c r="H49" s="330"/>
      <c r="I49" s="330"/>
      <c r="J49" s="330">
        <f>'STOK DETAY'!FP6</f>
        <v>0</v>
      </c>
      <c r="K49" s="331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</row>
    <row r="50" spans="1:24" s="188" customFormat="1" ht="18" customHeight="1" x14ac:dyDescent="0.35">
      <c r="A50" s="304">
        <v>2.5</v>
      </c>
      <c r="B50" s="332" t="s">
        <v>9</v>
      </c>
      <c r="C50" s="327" t="s">
        <v>55</v>
      </c>
      <c r="D50" s="328"/>
      <c r="E50" s="306">
        <f t="shared" si="2"/>
        <v>0</v>
      </c>
      <c r="F50" s="329">
        <f>'STOK DETAY'!FQ6</f>
        <v>0</v>
      </c>
      <c r="G50" s="330">
        <f>'STOK DETAY'!FR6</f>
        <v>0</v>
      </c>
      <c r="H50" s="330">
        <f>'STOK DETAY'!FS6</f>
        <v>0</v>
      </c>
      <c r="I50" s="330"/>
      <c r="J50" s="330"/>
      <c r="K50" s="331">
        <f>'STOK DETAY'!FT6</f>
        <v>0</v>
      </c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</row>
    <row r="51" spans="1:24" s="188" customFormat="1" ht="18" customHeight="1" x14ac:dyDescent="0.35">
      <c r="A51" s="304">
        <v>2.6</v>
      </c>
      <c r="B51" s="332" t="s">
        <v>9</v>
      </c>
      <c r="C51" s="327" t="s">
        <v>55</v>
      </c>
      <c r="D51" s="328"/>
      <c r="E51" s="306">
        <f t="shared" si="2"/>
        <v>45.4</v>
      </c>
      <c r="F51" s="329"/>
      <c r="G51" s="330">
        <f>'STOK DETAY'!FU6</f>
        <v>0</v>
      </c>
      <c r="H51" s="330">
        <f>'STOK DETAY'!FV6</f>
        <v>0</v>
      </c>
      <c r="I51" s="330"/>
      <c r="J51" s="330">
        <f>'STOK DETAY'!FW6</f>
        <v>45.4</v>
      </c>
      <c r="K51" s="331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</row>
    <row r="52" spans="1:24" s="188" customFormat="1" ht="18" customHeight="1" x14ac:dyDescent="0.35">
      <c r="A52" s="304">
        <v>2.7</v>
      </c>
      <c r="B52" s="332" t="s">
        <v>9</v>
      </c>
      <c r="C52" s="327" t="s">
        <v>55</v>
      </c>
      <c r="D52" s="328">
        <v>113</v>
      </c>
      <c r="E52" s="306">
        <f t="shared" si="2"/>
        <v>9.1999999999999993</v>
      </c>
      <c r="F52" s="329">
        <f>'STOK DETAY'!FX6</f>
        <v>9.1999999999999993</v>
      </c>
      <c r="G52" s="330"/>
      <c r="H52" s="330"/>
      <c r="I52" s="330"/>
      <c r="J52" s="330">
        <f>'STOK DETAY'!FY6</f>
        <v>0</v>
      </c>
      <c r="K52" s="331">
        <f>'STOK DETAY'!FZ6</f>
        <v>0</v>
      </c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</row>
    <row r="53" spans="1:24" s="188" customFormat="1" ht="18" customHeight="1" x14ac:dyDescent="0.35">
      <c r="A53" s="304">
        <v>3</v>
      </c>
      <c r="B53" s="332" t="s">
        <v>9</v>
      </c>
      <c r="C53" s="327" t="s">
        <v>55</v>
      </c>
      <c r="D53" s="328"/>
      <c r="E53" s="306">
        <f t="shared" si="2"/>
        <v>89.45</v>
      </c>
      <c r="F53" s="329"/>
      <c r="G53" s="330">
        <f>'STOK DETAY'!GA6</f>
        <v>0</v>
      </c>
      <c r="H53" s="330">
        <f>'STOK DETAY'!GB6</f>
        <v>0</v>
      </c>
      <c r="I53" s="330"/>
      <c r="J53" s="330">
        <f>'STOK DETAY'!GC6</f>
        <v>89.45</v>
      </c>
      <c r="K53" s="331">
        <f>'STOK DETAY'!GD6</f>
        <v>0</v>
      </c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</row>
    <row r="54" spans="1:24" s="188" customFormat="1" ht="18" customHeight="1" x14ac:dyDescent="0.35">
      <c r="A54" s="304">
        <v>3.2</v>
      </c>
      <c r="B54" s="332" t="s">
        <v>9</v>
      </c>
      <c r="C54" s="327" t="s">
        <v>55</v>
      </c>
      <c r="D54" s="328">
        <v>211</v>
      </c>
      <c r="E54" s="306">
        <f t="shared" si="2"/>
        <v>21.45</v>
      </c>
      <c r="F54" s="329"/>
      <c r="G54" s="330">
        <f>'STOK DETAY'!GE6</f>
        <v>0</v>
      </c>
      <c r="H54" s="330"/>
      <c r="I54" s="330"/>
      <c r="J54" s="330">
        <f>'STOK DETAY'!GF6</f>
        <v>21.45</v>
      </c>
      <c r="K54" s="331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</row>
    <row r="55" spans="1:24" s="188" customFormat="1" ht="18" customHeight="1" x14ac:dyDescent="0.35">
      <c r="A55" s="304">
        <v>3.5</v>
      </c>
      <c r="B55" s="332" t="s">
        <v>9</v>
      </c>
      <c r="C55" s="327" t="s">
        <v>55</v>
      </c>
      <c r="D55" s="305"/>
      <c r="E55" s="306">
        <f t="shared" si="2"/>
        <v>0</v>
      </c>
      <c r="F55" s="329"/>
      <c r="G55" s="330"/>
      <c r="H55" s="330"/>
      <c r="I55" s="330"/>
      <c r="J55" s="330">
        <f>'STOK DETAY'!GG6</f>
        <v>0</v>
      </c>
      <c r="K55" s="331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</row>
    <row r="56" spans="1:24" s="188" customFormat="1" ht="18" customHeight="1" thickBot="1" x14ac:dyDescent="0.4">
      <c r="A56" s="304">
        <v>4</v>
      </c>
      <c r="B56" s="326" t="s">
        <v>9</v>
      </c>
      <c r="C56" s="327" t="s">
        <v>55</v>
      </c>
      <c r="D56" s="336"/>
      <c r="E56" s="306">
        <f t="shared" si="2"/>
        <v>0</v>
      </c>
      <c r="F56" s="329"/>
      <c r="G56" s="330"/>
      <c r="H56" s="330"/>
      <c r="I56" s="330"/>
      <c r="J56" s="330">
        <f>'STOK DETAY'!GI6</f>
        <v>0</v>
      </c>
      <c r="K56" s="331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</row>
    <row r="57" spans="1:24" ht="21.95" customHeight="1" thickBot="1" x14ac:dyDescent="0.45">
      <c r="A57" s="401" t="s">
        <v>4</v>
      </c>
      <c r="B57" s="402"/>
      <c r="C57" s="402"/>
      <c r="D57" s="403"/>
      <c r="E57" s="316">
        <f>SUM(F57:K57)</f>
        <v>1817.5550000000001</v>
      </c>
      <c r="F57" s="317">
        <f t="shared" ref="F57:K57" si="3">SUM(F9:F56)</f>
        <v>9.1999999999999993</v>
      </c>
      <c r="G57" s="318">
        <f t="shared" si="3"/>
        <v>8.6150000000000002</v>
      </c>
      <c r="H57" s="318">
        <f t="shared" si="3"/>
        <v>1438.4</v>
      </c>
      <c r="I57" s="318">
        <f t="shared" si="3"/>
        <v>1.75</v>
      </c>
      <c r="J57" s="318">
        <f t="shared" si="3"/>
        <v>359.59</v>
      </c>
      <c r="K57" s="319">
        <f t="shared" si="3"/>
        <v>0</v>
      </c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</row>
    <row r="58" spans="1:24" ht="21.95" customHeight="1" thickBot="1" x14ac:dyDescent="0.45">
      <c r="A58" s="404" t="s">
        <v>30</v>
      </c>
      <c r="B58" s="405"/>
      <c r="C58" s="406"/>
      <c r="D58" s="293" t="s">
        <v>220</v>
      </c>
      <c r="E58" s="316" t="s">
        <v>4</v>
      </c>
      <c r="F58" s="320" t="s">
        <v>2</v>
      </c>
      <c r="G58" s="321" t="s">
        <v>3</v>
      </c>
      <c r="H58" s="321" t="s">
        <v>113</v>
      </c>
      <c r="I58" s="321" t="s">
        <v>5</v>
      </c>
      <c r="J58" s="321" t="s">
        <v>6</v>
      </c>
      <c r="K58" s="322" t="s">
        <v>115</v>
      </c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</row>
    <row r="59" spans="1:24" s="188" customFormat="1" ht="18" customHeight="1" x14ac:dyDescent="0.35">
      <c r="A59" s="337">
        <v>0.08</v>
      </c>
      <c r="B59" s="326" t="s">
        <v>7</v>
      </c>
      <c r="C59" s="327" t="s">
        <v>30</v>
      </c>
      <c r="D59" s="336">
        <v>611</v>
      </c>
      <c r="E59" s="306">
        <f t="shared" ref="E59:E88" si="4">SUM(F59:K59)</f>
        <v>76.703000000000003</v>
      </c>
      <c r="F59" s="329">
        <f>'STOK DETAY'!GJ6</f>
        <v>0</v>
      </c>
      <c r="G59" s="330"/>
      <c r="H59" s="330">
        <f>'STOK DETAY'!GK6</f>
        <v>76.703000000000003</v>
      </c>
      <c r="I59" s="330"/>
      <c r="J59" s="330"/>
      <c r="K59" s="331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</row>
    <row r="60" spans="1:24" s="188" customFormat="1" ht="18" customHeight="1" x14ac:dyDescent="0.35">
      <c r="A60" s="304">
        <v>0.1</v>
      </c>
      <c r="B60" s="326" t="s">
        <v>7</v>
      </c>
      <c r="C60" s="335" t="s">
        <v>30</v>
      </c>
      <c r="D60" s="336"/>
      <c r="E60" s="306">
        <f t="shared" si="4"/>
        <v>0</v>
      </c>
      <c r="F60" s="329">
        <f>'STOK DETAY'!GL6</f>
        <v>0</v>
      </c>
      <c r="G60" s="330"/>
      <c r="H60" s="330">
        <f>'STOK DETAY'!GM6</f>
        <v>0</v>
      </c>
      <c r="I60" s="330"/>
      <c r="J60" s="330"/>
      <c r="K60" s="331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</row>
    <row r="61" spans="1:24" s="188" customFormat="1" ht="18" customHeight="1" x14ac:dyDescent="0.35">
      <c r="A61" s="304">
        <v>0.12</v>
      </c>
      <c r="B61" s="326" t="s">
        <v>7</v>
      </c>
      <c r="C61" s="335" t="s">
        <v>30</v>
      </c>
      <c r="D61" s="336"/>
      <c r="E61" s="306">
        <f t="shared" si="4"/>
        <v>0</v>
      </c>
      <c r="F61" s="329"/>
      <c r="G61" s="330"/>
      <c r="H61" s="330">
        <f>'STOK DETAY'!GO6</f>
        <v>0</v>
      </c>
      <c r="I61" s="330"/>
      <c r="J61" s="330"/>
      <c r="K61" s="331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</row>
    <row r="62" spans="1:24" s="188" customFormat="1" ht="18" customHeight="1" x14ac:dyDescent="0.35">
      <c r="A62" s="304">
        <v>0.14000000000000001</v>
      </c>
      <c r="B62" s="326" t="s">
        <v>7</v>
      </c>
      <c r="C62" s="327" t="s">
        <v>30</v>
      </c>
      <c r="D62" s="336"/>
      <c r="E62" s="306">
        <f t="shared" si="4"/>
        <v>0</v>
      </c>
      <c r="F62" s="329">
        <f>'STOK DETAY'!GP6</f>
        <v>0</v>
      </c>
      <c r="G62" s="330"/>
      <c r="H62" s="330">
        <f>'STOK DETAY'!GQ6</f>
        <v>0</v>
      </c>
      <c r="I62" s="330"/>
      <c r="J62" s="330"/>
      <c r="K62" s="331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</row>
    <row r="63" spans="1:24" s="188" customFormat="1" ht="18" customHeight="1" x14ac:dyDescent="0.35">
      <c r="A63" s="304">
        <v>0.15</v>
      </c>
      <c r="B63" s="326" t="s">
        <v>7</v>
      </c>
      <c r="C63" s="327" t="s">
        <v>30</v>
      </c>
      <c r="D63" s="336"/>
      <c r="E63" s="306">
        <f t="shared" si="4"/>
        <v>0</v>
      </c>
      <c r="F63" s="329">
        <f>'STOK DETAY'!GR6</f>
        <v>0</v>
      </c>
      <c r="G63" s="330"/>
      <c r="H63" s="330">
        <f>'STOK DETAY'!GS6</f>
        <v>0</v>
      </c>
      <c r="I63" s="330"/>
      <c r="J63" s="330"/>
      <c r="K63" s="331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</row>
    <row r="64" spans="1:24" s="188" customFormat="1" ht="18" customHeight="1" x14ac:dyDescent="0.35">
      <c r="A64" s="304">
        <v>0.17</v>
      </c>
      <c r="B64" s="326" t="s">
        <v>7</v>
      </c>
      <c r="C64" s="327" t="s">
        <v>30</v>
      </c>
      <c r="D64" s="336"/>
      <c r="E64" s="306">
        <f t="shared" si="4"/>
        <v>0</v>
      </c>
      <c r="F64" s="329"/>
      <c r="G64" s="330"/>
      <c r="H64" s="330">
        <f>'STOK DETAY'!GU6</f>
        <v>0</v>
      </c>
      <c r="I64" s="330"/>
      <c r="J64" s="330"/>
      <c r="K64" s="331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</row>
    <row r="65" spans="1:24" s="188" customFormat="1" ht="18" customHeight="1" x14ac:dyDescent="0.35">
      <c r="A65" s="304">
        <v>0.18</v>
      </c>
      <c r="B65" s="326" t="s">
        <v>7</v>
      </c>
      <c r="C65" s="327" t="s">
        <v>30</v>
      </c>
      <c r="D65" s="336"/>
      <c r="E65" s="306">
        <f t="shared" si="4"/>
        <v>0</v>
      </c>
      <c r="F65" s="329">
        <f>'STOK DETAY'!GV6</f>
        <v>0</v>
      </c>
      <c r="G65" s="330"/>
      <c r="H65" s="330">
        <f>'STOK DETAY'!GW6</f>
        <v>0</v>
      </c>
      <c r="I65" s="330"/>
      <c r="J65" s="330"/>
      <c r="K65" s="331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</row>
    <row r="66" spans="1:24" s="188" customFormat="1" ht="18" customHeight="1" x14ac:dyDescent="0.35">
      <c r="A66" s="304">
        <v>0.19</v>
      </c>
      <c r="B66" s="326" t="s">
        <v>7</v>
      </c>
      <c r="C66" s="327" t="s">
        <v>30</v>
      </c>
      <c r="D66" s="336"/>
      <c r="E66" s="306">
        <f t="shared" si="4"/>
        <v>0</v>
      </c>
      <c r="F66" s="329"/>
      <c r="G66" s="330"/>
      <c r="H66" s="330">
        <f>'STOK DETAY'!GX6</f>
        <v>0</v>
      </c>
      <c r="I66" s="330"/>
      <c r="J66" s="330"/>
      <c r="K66" s="331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</row>
    <row r="67" spans="1:24" s="188" customFormat="1" ht="18" customHeight="1" x14ac:dyDescent="0.35">
      <c r="A67" s="304">
        <v>0.2</v>
      </c>
      <c r="B67" s="326" t="s">
        <v>7</v>
      </c>
      <c r="C67" s="327" t="s">
        <v>30</v>
      </c>
      <c r="D67" s="336"/>
      <c r="E67" s="306">
        <f t="shared" si="4"/>
        <v>0</v>
      </c>
      <c r="F67" s="329">
        <f>'STOK DETAY'!GY6</f>
        <v>0</v>
      </c>
      <c r="G67" s="330"/>
      <c r="H67" s="330">
        <f>'STOK DETAY'!GZ6</f>
        <v>0</v>
      </c>
      <c r="I67" s="330"/>
      <c r="J67" s="330"/>
      <c r="K67" s="331">
        <f>'STOK DETAY'!HA6</f>
        <v>0</v>
      </c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</row>
    <row r="68" spans="1:24" s="188" customFormat="1" ht="18" customHeight="1" x14ac:dyDescent="0.35">
      <c r="A68" s="304">
        <v>0.22</v>
      </c>
      <c r="B68" s="326" t="s">
        <v>7</v>
      </c>
      <c r="C68" s="327" t="s">
        <v>30</v>
      </c>
      <c r="D68" s="336"/>
      <c r="E68" s="306">
        <f t="shared" si="4"/>
        <v>0</v>
      </c>
      <c r="F68" s="329">
        <f>'STOK DETAY'!HB6</f>
        <v>0</v>
      </c>
      <c r="G68" s="330"/>
      <c r="H68" s="330"/>
      <c r="I68" s="330"/>
      <c r="J68" s="330"/>
      <c r="K68" s="331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</row>
    <row r="69" spans="1:24" s="188" customFormat="1" ht="18" customHeight="1" x14ac:dyDescent="0.35">
      <c r="A69" s="304">
        <v>0.25</v>
      </c>
      <c r="B69" s="326" t="s">
        <v>7</v>
      </c>
      <c r="C69" s="327" t="s">
        <v>30</v>
      </c>
      <c r="D69" s="336"/>
      <c r="E69" s="306">
        <f t="shared" si="4"/>
        <v>0</v>
      </c>
      <c r="F69" s="329">
        <f>'STOK DETAY'!HC6</f>
        <v>0</v>
      </c>
      <c r="G69" s="330"/>
      <c r="H69" s="330">
        <f>'STOK DETAY'!HD6</f>
        <v>0</v>
      </c>
      <c r="I69" s="330"/>
      <c r="J69" s="330"/>
      <c r="K69" s="331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</row>
    <row r="70" spans="1:24" s="188" customFormat="1" ht="18" customHeight="1" x14ac:dyDescent="0.35">
      <c r="A70" s="304">
        <v>0.28000000000000003</v>
      </c>
      <c r="B70" s="326" t="s">
        <v>7</v>
      </c>
      <c r="C70" s="327" t="s">
        <v>30</v>
      </c>
      <c r="D70" s="336"/>
      <c r="E70" s="306">
        <f t="shared" si="4"/>
        <v>67.03</v>
      </c>
      <c r="F70" s="329">
        <f>'STOK DETAY'!HE6</f>
        <v>0</v>
      </c>
      <c r="G70" s="330"/>
      <c r="H70" s="330">
        <f>'STOK DETAY'!HF6</f>
        <v>67.03</v>
      </c>
      <c r="I70" s="330"/>
      <c r="J70" s="330"/>
      <c r="K70" s="331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</row>
    <row r="71" spans="1:24" s="188" customFormat="1" ht="18" customHeight="1" x14ac:dyDescent="0.35">
      <c r="A71" s="304">
        <v>0.3</v>
      </c>
      <c r="B71" s="326" t="s">
        <v>7</v>
      </c>
      <c r="C71" s="327" t="s">
        <v>30</v>
      </c>
      <c r="D71" s="336"/>
      <c r="E71" s="306">
        <f t="shared" si="4"/>
        <v>13.32</v>
      </c>
      <c r="F71" s="329">
        <f>'STOK DETAY'!HG6</f>
        <v>0</v>
      </c>
      <c r="G71" s="330"/>
      <c r="H71" s="330">
        <f>'STOK DETAY'!HH6</f>
        <v>0</v>
      </c>
      <c r="I71" s="330"/>
      <c r="J71" s="330"/>
      <c r="K71" s="331">
        <f>'STOK DETAY'!HI6</f>
        <v>13.32</v>
      </c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</row>
    <row r="72" spans="1:24" s="188" customFormat="1" ht="18" customHeight="1" x14ac:dyDescent="0.35">
      <c r="A72" s="304">
        <v>0.32</v>
      </c>
      <c r="B72" s="326" t="s">
        <v>7</v>
      </c>
      <c r="C72" s="327" t="s">
        <v>30</v>
      </c>
      <c r="D72" s="336">
        <v>613</v>
      </c>
      <c r="E72" s="306">
        <f t="shared" si="4"/>
        <v>8.9849999999999994</v>
      </c>
      <c r="F72" s="329"/>
      <c r="G72" s="330"/>
      <c r="H72" s="330">
        <f>'STOK DETAY'!HJ6</f>
        <v>8.9849999999999994</v>
      </c>
      <c r="I72" s="330"/>
      <c r="J72" s="330"/>
      <c r="K72" s="331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</row>
    <row r="73" spans="1:24" s="188" customFormat="1" ht="18" customHeight="1" x14ac:dyDescent="0.35">
      <c r="A73" s="304">
        <v>0.33</v>
      </c>
      <c r="B73" s="326" t="s">
        <v>7</v>
      </c>
      <c r="C73" s="327" t="s">
        <v>30</v>
      </c>
      <c r="D73" s="336"/>
      <c r="E73" s="306">
        <f t="shared" si="4"/>
        <v>0</v>
      </c>
      <c r="F73" s="329">
        <f>'STOK DETAY'!HK6</f>
        <v>0</v>
      </c>
      <c r="G73" s="330"/>
      <c r="H73" s="330"/>
      <c r="I73" s="330"/>
      <c r="J73" s="330"/>
      <c r="K73" s="331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</row>
    <row r="74" spans="1:24" s="188" customFormat="1" ht="18" customHeight="1" x14ac:dyDescent="0.35">
      <c r="A74" s="304">
        <v>0.35</v>
      </c>
      <c r="B74" s="326" t="s">
        <v>7</v>
      </c>
      <c r="C74" s="327" t="s">
        <v>30</v>
      </c>
      <c r="D74" s="336"/>
      <c r="E74" s="306">
        <f t="shared" si="4"/>
        <v>0</v>
      </c>
      <c r="F74" s="329">
        <f>'STOK DETAY'!HL6</f>
        <v>0</v>
      </c>
      <c r="G74" s="330"/>
      <c r="H74" s="330">
        <f>'STOK DETAY'!HM6</f>
        <v>0</v>
      </c>
      <c r="I74" s="330"/>
      <c r="J74" s="330"/>
      <c r="K74" s="331">
        <f>'STOK DETAY'!HN6</f>
        <v>0</v>
      </c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</row>
    <row r="75" spans="1:24" s="188" customFormat="1" ht="18" customHeight="1" x14ac:dyDescent="0.35">
      <c r="A75" s="304">
        <v>0.38</v>
      </c>
      <c r="B75" s="326" t="s">
        <v>7</v>
      </c>
      <c r="C75" s="327" t="s">
        <v>30</v>
      </c>
      <c r="D75" s="336">
        <v>612</v>
      </c>
      <c r="E75" s="306">
        <f t="shared" si="4"/>
        <v>51.43</v>
      </c>
      <c r="F75" s="329">
        <f>'STOK DETAY'!HO6</f>
        <v>0</v>
      </c>
      <c r="G75" s="330"/>
      <c r="H75" s="330">
        <f>'STOK DETAY'!HP6</f>
        <v>51.43</v>
      </c>
      <c r="I75" s="330"/>
      <c r="J75" s="330"/>
      <c r="K75" s="331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</row>
    <row r="76" spans="1:24" s="188" customFormat="1" ht="18" customHeight="1" x14ac:dyDescent="0.35">
      <c r="A76" s="304">
        <v>0.4</v>
      </c>
      <c r="B76" s="326" t="s">
        <v>7</v>
      </c>
      <c r="C76" s="327" t="s">
        <v>30</v>
      </c>
      <c r="D76" s="336"/>
      <c r="E76" s="306">
        <f t="shared" si="4"/>
        <v>0</v>
      </c>
      <c r="F76" s="329">
        <f>'STOK DETAY'!HQ6</f>
        <v>0</v>
      </c>
      <c r="G76" s="330"/>
      <c r="H76" s="330">
        <f>'STOK DETAY'!HR6</f>
        <v>0</v>
      </c>
      <c r="I76" s="330"/>
      <c r="J76" s="330"/>
      <c r="K76" s="331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</row>
    <row r="77" spans="1:24" s="188" customFormat="1" ht="18" customHeight="1" x14ac:dyDescent="0.35">
      <c r="A77" s="304">
        <v>0.45</v>
      </c>
      <c r="B77" s="326" t="s">
        <v>7</v>
      </c>
      <c r="C77" s="327" t="s">
        <v>30</v>
      </c>
      <c r="D77" s="336">
        <v>213</v>
      </c>
      <c r="E77" s="306">
        <f t="shared" si="4"/>
        <v>93.39</v>
      </c>
      <c r="F77" s="329">
        <f>'STOK DETAY'!HS6</f>
        <v>93.39</v>
      </c>
      <c r="G77" s="330"/>
      <c r="H77" s="330"/>
      <c r="I77" s="330"/>
      <c r="J77" s="330"/>
      <c r="K77" s="331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</row>
    <row r="78" spans="1:24" s="188" customFormat="1" ht="18" customHeight="1" x14ac:dyDescent="0.35">
      <c r="A78" s="304">
        <v>0.45</v>
      </c>
      <c r="B78" s="326" t="s">
        <v>7</v>
      </c>
      <c r="C78" s="327" t="s">
        <v>129</v>
      </c>
      <c r="D78" s="336">
        <v>213</v>
      </c>
      <c r="E78" s="306">
        <f t="shared" si="4"/>
        <v>31.1</v>
      </c>
      <c r="F78" s="329"/>
      <c r="G78" s="330"/>
      <c r="H78" s="330">
        <f>'STOK DETAY'!HT6</f>
        <v>31.1</v>
      </c>
      <c r="I78" s="330"/>
      <c r="J78" s="330"/>
      <c r="K78" s="331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</row>
    <row r="79" spans="1:24" s="188" customFormat="1" ht="18" customHeight="1" x14ac:dyDescent="0.35">
      <c r="A79" s="304">
        <v>0.5</v>
      </c>
      <c r="B79" s="326" t="s">
        <v>7</v>
      </c>
      <c r="C79" s="327" t="s">
        <v>30</v>
      </c>
      <c r="D79" s="336"/>
      <c r="E79" s="306">
        <f t="shared" si="4"/>
        <v>0</v>
      </c>
      <c r="F79" s="329">
        <f>'STOK DETAY'!HU6</f>
        <v>0</v>
      </c>
      <c r="G79" s="330"/>
      <c r="H79" s="330">
        <f>'STOK DETAY'!HV6</f>
        <v>0</v>
      </c>
      <c r="I79" s="330"/>
      <c r="J79" s="330"/>
      <c r="K79" s="331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</row>
    <row r="80" spans="1:24" s="188" customFormat="1" ht="18" customHeight="1" x14ac:dyDescent="0.35">
      <c r="A80" s="304">
        <v>0.55000000000000004</v>
      </c>
      <c r="B80" s="326" t="s">
        <v>7</v>
      </c>
      <c r="C80" s="327" t="s">
        <v>30</v>
      </c>
      <c r="D80" s="336"/>
      <c r="E80" s="306">
        <f t="shared" si="4"/>
        <v>0</v>
      </c>
      <c r="F80" s="329">
        <f>'STOK DETAY'!HW6</f>
        <v>0</v>
      </c>
      <c r="G80" s="330"/>
      <c r="H80" s="330">
        <f>'STOK DETAY'!HX6</f>
        <v>0</v>
      </c>
      <c r="I80" s="330"/>
      <c r="J80" s="330"/>
      <c r="K80" s="331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</row>
    <row r="81" spans="1:24" s="188" customFormat="1" ht="18" customHeight="1" x14ac:dyDescent="0.35">
      <c r="A81" s="304">
        <v>0.6</v>
      </c>
      <c r="B81" s="326" t="s">
        <v>7</v>
      </c>
      <c r="C81" s="327" t="s">
        <v>30</v>
      </c>
      <c r="D81" s="336"/>
      <c r="E81" s="306">
        <f t="shared" si="4"/>
        <v>8.94</v>
      </c>
      <c r="F81" s="329">
        <f>'STOK DETAY'!HY6</f>
        <v>8.94</v>
      </c>
      <c r="G81" s="330"/>
      <c r="H81" s="330"/>
      <c r="I81" s="330"/>
      <c r="J81" s="330"/>
      <c r="K81" s="331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spans="1:24" s="188" customFormat="1" ht="18" customHeight="1" x14ac:dyDescent="0.35">
      <c r="A82" s="304">
        <v>0.65</v>
      </c>
      <c r="B82" s="326" t="s">
        <v>7</v>
      </c>
      <c r="C82" s="327" t="s">
        <v>30</v>
      </c>
      <c r="D82" s="336">
        <v>411</v>
      </c>
      <c r="E82" s="306">
        <f t="shared" si="4"/>
        <v>83.82</v>
      </c>
      <c r="F82" s="329"/>
      <c r="G82" s="330"/>
      <c r="H82" s="330">
        <f>'STOK DETAY'!IA6</f>
        <v>83.82</v>
      </c>
      <c r="I82" s="330"/>
      <c r="J82" s="330"/>
      <c r="K82" s="331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</row>
    <row r="83" spans="1:24" s="188" customFormat="1" ht="18" customHeight="1" x14ac:dyDescent="0.35">
      <c r="A83" s="304">
        <v>0.7</v>
      </c>
      <c r="B83" s="326" t="s">
        <v>7</v>
      </c>
      <c r="C83" s="327" t="s">
        <v>30</v>
      </c>
      <c r="D83" s="336"/>
      <c r="E83" s="306">
        <f t="shared" si="4"/>
        <v>0</v>
      </c>
      <c r="F83" s="329">
        <f>'STOK DETAY'!IB6</f>
        <v>0</v>
      </c>
      <c r="G83" s="330"/>
      <c r="H83" s="330">
        <f>'STOK DETAY'!IC6</f>
        <v>0</v>
      </c>
      <c r="I83" s="330"/>
      <c r="J83" s="330"/>
      <c r="K83" s="331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</row>
    <row r="84" spans="1:24" s="188" customFormat="1" ht="18" customHeight="1" x14ac:dyDescent="0.35">
      <c r="A84" s="304">
        <v>0.75</v>
      </c>
      <c r="B84" s="326" t="s">
        <v>7</v>
      </c>
      <c r="C84" s="327" t="s">
        <v>30</v>
      </c>
      <c r="D84" s="336"/>
      <c r="E84" s="306">
        <f t="shared" si="4"/>
        <v>2.42</v>
      </c>
      <c r="F84" s="329">
        <f>'STOK DETAY'!ID6</f>
        <v>0</v>
      </c>
      <c r="G84" s="330"/>
      <c r="H84" s="330">
        <f>'STOK DETAY'!IE6</f>
        <v>2.42</v>
      </c>
      <c r="I84" s="330"/>
      <c r="J84" s="330"/>
      <c r="K84" s="331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</row>
    <row r="85" spans="1:24" s="188" customFormat="1" ht="18" customHeight="1" x14ac:dyDescent="0.35">
      <c r="A85" s="304">
        <v>0.8</v>
      </c>
      <c r="B85" s="326" t="s">
        <v>7</v>
      </c>
      <c r="C85" s="327" t="s">
        <v>30</v>
      </c>
      <c r="D85" s="336"/>
      <c r="E85" s="306">
        <f t="shared" si="4"/>
        <v>0</v>
      </c>
      <c r="F85" s="329">
        <f>'STOK DETAY'!IF6</f>
        <v>0</v>
      </c>
      <c r="G85" s="330"/>
      <c r="H85" s="330"/>
      <c r="I85" s="330"/>
      <c r="J85" s="330"/>
      <c r="K85" s="331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</row>
    <row r="86" spans="1:24" s="188" customFormat="1" ht="18" customHeight="1" x14ac:dyDescent="0.35">
      <c r="A86" s="304">
        <v>0.85</v>
      </c>
      <c r="B86" s="326" t="s">
        <v>7</v>
      </c>
      <c r="C86" s="335" t="s">
        <v>30</v>
      </c>
      <c r="D86" s="336">
        <v>611</v>
      </c>
      <c r="E86" s="306">
        <f t="shared" si="4"/>
        <v>127.11</v>
      </c>
      <c r="F86" s="329">
        <f>'STOK DETAY'!IG6</f>
        <v>127.11</v>
      </c>
      <c r="G86" s="330"/>
      <c r="H86" s="330"/>
      <c r="I86" s="330"/>
      <c r="J86" s="330"/>
      <c r="K86" s="331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</row>
    <row r="87" spans="1:24" s="188" customFormat="1" ht="18" customHeight="1" x14ac:dyDescent="0.35">
      <c r="A87" s="304">
        <v>0.9</v>
      </c>
      <c r="B87" s="326" t="s">
        <v>7</v>
      </c>
      <c r="C87" s="327" t="s">
        <v>30</v>
      </c>
      <c r="D87" s="336">
        <v>613</v>
      </c>
      <c r="E87" s="306">
        <f t="shared" si="4"/>
        <v>128.26</v>
      </c>
      <c r="F87" s="329">
        <f>'STOK DETAY'!IH6</f>
        <v>128.26</v>
      </c>
      <c r="G87" s="330"/>
      <c r="H87" s="330"/>
      <c r="I87" s="330"/>
      <c r="J87" s="330"/>
      <c r="K87" s="331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</row>
    <row r="88" spans="1:24" s="188" customFormat="1" ht="18" customHeight="1" thickBot="1" x14ac:dyDescent="0.4">
      <c r="A88" s="304">
        <v>0.95</v>
      </c>
      <c r="B88" s="326" t="s">
        <v>7</v>
      </c>
      <c r="C88" s="327" t="s">
        <v>30</v>
      </c>
      <c r="D88" s="336"/>
      <c r="E88" s="306">
        <f t="shared" si="4"/>
        <v>29.6</v>
      </c>
      <c r="F88" s="329"/>
      <c r="G88" s="330"/>
      <c r="H88" s="330">
        <f>'STOK DETAY'!II6</f>
        <v>29.6</v>
      </c>
      <c r="I88" s="330"/>
      <c r="J88" s="330"/>
      <c r="K88" s="331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</row>
    <row r="89" spans="1:24" ht="21.95" customHeight="1" thickBot="1" x14ac:dyDescent="0.45">
      <c r="A89" s="398" t="s">
        <v>4</v>
      </c>
      <c r="B89" s="399"/>
      <c r="C89" s="399"/>
      <c r="D89" s="400"/>
      <c r="E89" s="316">
        <f>SUM(F89:K89)</f>
        <v>722.10799999999995</v>
      </c>
      <c r="F89" s="317">
        <f t="shared" ref="F89:K89" si="5">SUM(F59:F88)</f>
        <v>357.7</v>
      </c>
      <c r="G89" s="318">
        <f t="shared" si="5"/>
        <v>0</v>
      </c>
      <c r="H89" s="318">
        <f t="shared" si="5"/>
        <v>351.08800000000002</v>
      </c>
      <c r="I89" s="318">
        <f t="shared" si="5"/>
        <v>0</v>
      </c>
      <c r="J89" s="318">
        <f t="shared" si="5"/>
        <v>0</v>
      </c>
      <c r="K89" s="319">
        <f t="shared" si="5"/>
        <v>13.32</v>
      </c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</row>
    <row r="90" spans="1:24" ht="21.95" customHeight="1" thickBot="1" x14ac:dyDescent="0.45">
      <c r="A90" s="404" t="s">
        <v>10</v>
      </c>
      <c r="B90" s="405"/>
      <c r="C90" s="407"/>
      <c r="D90" s="338" t="s">
        <v>220</v>
      </c>
      <c r="E90" s="316" t="s">
        <v>4</v>
      </c>
      <c r="F90" s="320" t="s">
        <v>2</v>
      </c>
      <c r="G90" s="321" t="s">
        <v>3</v>
      </c>
      <c r="H90" s="321" t="s">
        <v>113</v>
      </c>
      <c r="I90" s="321" t="s">
        <v>5</v>
      </c>
      <c r="J90" s="321" t="s">
        <v>6</v>
      </c>
      <c r="K90" s="322" t="s">
        <v>115</v>
      </c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</row>
    <row r="91" spans="1:24" s="188" customFormat="1" ht="18" customHeight="1" x14ac:dyDescent="0.35">
      <c r="A91" s="339">
        <v>0.3</v>
      </c>
      <c r="B91" s="390"/>
      <c r="C91" s="391"/>
      <c r="D91" s="340">
        <v>511</v>
      </c>
      <c r="E91" s="341">
        <f t="shared" ref="E91:E101" si="6">SUM(F91:K91)</f>
        <v>3.28</v>
      </c>
      <c r="F91" s="342"/>
      <c r="G91" s="343">
        <f>'STOK DETAY'!IJ6</f>
        <v>3.28</v>
      </c>
      <c r="H91" s="343"/>
      <c r="I91" s="343"/>
      <c r="J91" s="343"/>
      <c r="K91" s="344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</row>
    <row r="92" spans="1:24" s="188" customFormat="1" ht="18" customHeight="1" x14ac:dyDescent="0.35">
      <c r="A92" s="304">
        <v>0.5</v>
      </c>
      <c r="B92" s="388"/>
      <c r="C92" s="389"/>
      <c r="D92" s="340">
        <v>511</v>
      </c>
      <c r="E92" s="306">
        <f t="shared" si="6"/>
        <v>63.54</v>
      </c>
      <c r="F92" s="345"/>
      <c r="G92" s="330">
        <f>'STOK DETAY'!IK6</f>
        <v>63.54</v>
      </c>
      <c r="H92" s="330"/>
      <c r="I92" s="330"/>
      <c r="J92" s="330"/>
      <c r="K92" s="331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</row>
    <row r="93" spans="1:24" s="188" customFormat="1" ht="18" customHeight="1" x14ac:dyDescent="0.35">
      <c r="A93" s="304">
        <v>0.55000000000000004</v>
      </c>
      <c r="B93" s="388"/>
      <c r="C93" s="389"/>
      <c r="D93" s="340">
        <v>511</v>
      </c>
      <c r="E93" s="306">
        <f t="shared" si="6"/>
        <v>10.45</v>
      </c>
      <c r="F93" s="345"/>
      <c r="G93" s="330">
        <f>'STOK DETAY'!IL6</f>
        <v>10.45</v>
      </c>
      <c r="H93" s="330"/>
      <c r="I93" s="330"/>
      <c r="J93" s="330"/>
      <c r="K93" s="331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</row>
    <row r="94" spans="1:24" s="188" customFormat="1" ht="18" customHeight="1" x14ac:dyDescent="0.35">
      <c r="A94" s="304">
        <v>0.6</v>
      </c>
      <c r="B94" s="388"/>
      <c r="C94" s="389"/>
      <c r="D94" s="340">
        <v>101</v>
      </c>
      <c r="E94" s="306">
        <f t="shared" si="6"/>
        <v>0</v>
      </c>
      <c r="F94" s="345">
        <f>'STOK DETAY'!IM6</f>
        <v>0</v>
      </c>
      <c r="G94" s="330"/>
      <c r="H94" s="330"/>
      <c r="I94" s="330"/>
      <c r="J94" s="330"/>
      <c r="K94" s="331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</row>
    <row r="95" spans="1:24" s="188" customFormat="1" ht="18" customHeight="1" x14ac:dyDescent="0.35">
      <c r="A95" s="304">
        <v>0.7</v>
      </c>
      <c r="B95" s="388"/>
      <c r="C95" s="389"/>
      <c r="D95" s="340">
        <v>101</v>
      </c>
      <c r="E95" s="306">
        <f t="shared" si="6"/>
        <v>457.2</v>
      </c>
      <c r="F95" s="345">
        <f>'STOK DETAY'!IN6</f>
        <v>0</v>
      </c>
      <c r="G95" s="330"/>
      <c r="H95" s="330"/>
      <c r="I95" s="330"/>
      <c r="J95" s="330"/>
      <c r="K95" s="331">
        <f>'STOK DETAY'!IO6</f>
        <v>457.2</v>
      </c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</row>
    <row r="96" spans="1:24" s="188" customFormat="1" ht="18" customHeight="1" x14ac:dyDescent="0.35">
      <c r="A96" s="304">
        <v>1</v>
      </c>
      <c r="B96" s="388"/>
      <c r="C96" s="389"/>
      <c r="D96" s="340">
        <v>511</v>
      </c>
      <c r="E96" s="306">
        <f t="shared" si="6"/>
        <v>2.5</v>
      </c>
      <c r="F96" s="345"/>
      <c r="G96" s="330">
        <f>'STOK DETAY'!IP6</f>
        <v>2.5</v>
      </c>
      <c r="H96" s="330"/>
      <c r="I96" s="330"/>
      <c r="J96" s="330"/>
      <c r="K96" s="331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</row>
    <row r="97" spans="1:24" s="188" customFormat="1" ht="18" customHeight="1" x14ac:dyDescent="0.35">
      <c r="A97" s="304">
        <v>1.2</v>
      </c>
      <c r="B97" s="388"/>
      <c r="C97" s="389"/>
      <c r="D97" s="340">
        <v>511</v>
      </c>
      <c r="E97" s="306">
        <f t="shared" si="6"/>
        <v>14.7</v>
      </c>
      <c r="F97" s="345"/>
      <c r="G97" s="330">
        <f>'STOK DETAY'!IQ6</f>
        <v>14.7</v>
      </c>
      <c r="H97" s="330"/>
      <c r="I97" s="330"/>
      <c r="J97" s="330"/>
      <c r="K97" s="331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</row>
    <row r="98" spans="1:24" s="188" customFormat="1" ht="18" customHeight="1" x14ac:dyDescent="0.35">
      <c r="A98" s="304">
        <v>1.3</v>
      </c>
      <c r="B98" s="388"/>
      <c r="C98" s="389"/>
      <c r="D98" s="340">
        <v>511</v>
      </c>
      <c r="E98" s="306">
        <f t="shared" si="6"/>
        <v>2.85</v>
      </c>
      <c r="F98" s="345"/>
      <c r="G98" s="330">
        <f>'STOK DETAY'!IR6</f>
        <v>2.85</v>
      </c>
      <c r="H98" s="330"/>
      <c r="I98" s="330"/>
      <c r="J98" s="330"/>
      <c r="K98" s="331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</row>
    <row r="99" spans="1:24" s="188" customFormat="1" ht="18" customHeight="1" x14ac:dyDescent="0.35">
      <c r="A99" s="304">
        <v>1.4</v>
      </c>
      <c r="B99" s="388"/>
      <c r="C99" s="389"/>
      <c r="D99" s="340">
        <v>511</v>
      </c>
      <c r="E99" s="306">
        <f t="shared" si="6"/>
        <v>6.83</v>
      </c>
      <c r="F99" s="345"/>
      <c r="G99" s="330">
        <f>'STOK DETAY'!IS6</f>
        <v>6.83</v>
      </c>
      <c r="H99" s="330"/>
      <c r="I99" s="330"/>
      <c r="J99" s="330"/>
      <c r="K99" s="331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</row>
    <row r="100" spans="1:24" s="188" customFormat="1" ht="18" customHeight="1" x14ac:dyDescent="0.35">
      <c r="A100" s="304">
        <v>1.6</v>
      </c>
      <c r="B100" s="388"/>
      <c r="C100" s="389"/>
      <c r="D100" s="340">
        <v>511</v>
      </c>
      <c r="E100" s="306">
        <f t="shared" si="6"/>
        <v>9.2200000000000006</v>
      </c>
      <c r="F100" s="345"/>
      <c r="G100" s="330">
        <f>'STOK DETAY'!IT6</f>
        <v>9.2200000000000006</v>
      </c>
      <c r="H100" s="330"/>
      <c r="I100" s="330"/>
      <c r="J100" s="330"/>
      <c r="K100" s="331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</row>
    <row r="101" spans="1:24" s="188" customFormat="1" ht="18" customHeight="1" x14ac:dyDescent="0.35">
      <c r="A101" s="304">
        <v>1.7</v>
      </c>
      <c r="B101" s="388"/>
      <c r="C101" s="389"/>
      <c r="D101" s="340">
        <v>511</v>
      </c>
      <c r="E101" s="306">
        <f t="shared" si="6"/>
        <v>18.5</v>
      </c>
      <c r="F101" s="345"/>
      <c r="G101" s="330">
        <f>'STOK DETAY'!IU6</f>
        <v>18.5</v>
      </c>
      <c r="H101" s="330"/>
      <c r="I101" s="330"/>
      <c r="J101" s="330"/>
      <c r="K101" s="331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</row>
    <row r="102" spans="1:24" s="188" customFormat="1" ht="18" customHeight="1" x14ac:dyDescent="0.35">
      <c r="A102" s="298">
        <v>1.8</v>
      </c>
      <c r="B102" s="419"/>
      <c r="C102" s="420"/>
      <c r="D102" s="346">
        <v>511</v>
      </c>
      <c r="E102" s="306">
        <f>SUM(F102:K102)</f>
        <v>64.48</v>
      </c>
      <c r="F102" s="345"/>
      <c r="G102" s="330">
        <f>'STOK DETAY'!IV6</f>
        <v>64.48</v>
      </c>
      <c r="H102" s="330"/>
      <c r="I102" s="330"/>
      <c r="J102" s="330"/>
      <c r="K102" s="331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</row>
    <row r="103" spans="1:24" s="188" customFormat="1" ht="18" customHeight="1" thickBot="1" x14ac:dyDescent="0.4">
      <c r="A103" s="347">
        <v>3.5</v>
      </c>
      <c r="B103" s="408"/>
      <c r="C103" s="409"/>
      <c r="D103" s="348">
        <v>511</v>
      </c>
      <c r="E103" s="349">
        <f>SUM(F103:K103)</f>
        <v>52.36</v>
      </c>
      <c r="F103" s="350"/>
      <c r="G103" s="314">
        <f>'STOK DETAY'!IW6</f>
        <v>52.36</v>
      </c>
      <c r="H103" s="314"/>
      <c r="I103" s="314"/>
      <c r="J103" s="314"/>
      <c r="K103" s="315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</row>
    <row r="104" spans="1:24" ht="21.95" customHeight="1" thickBot="1" x14ac:dyDescent="0.45">
      <c r="A104" s="414" t="s">
        <v>4</v>
      </c>
      <c r="B104" s="415"/>
      <c r="C104" s="415"/>
      <c r="D104" s="416"/>
      <c r="E104" s="316">
        <f>SUM(F104:K104)</f>
        <v>705.91</v>
      </c>
      <c r="F104" s="317">
        <f>SUM(F91:F103)</f>
        <v>0</v>
      </c>
      <c r="G104" s="318">
        <f t="shared" ref="G104:K104" si="7">SUM(G91:G103)</f>
        <v>248.71</v>
      </c>
      <c r="H104" s="318">
        <f t="shared" si="7"/>
        <v>0</v>
      </c>
      <c r="I104" s="318">
        <f t="shared" si="7"/>
        <v>0</v>
      </c>
      <c r="J104" s="318">
        <f t="shared" si="7"/>
        <v>0</v>
      </c>
      <c r="K104" s="319">
        <f t="shared" si="7"/>
        <v>457.2</v>
      </c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</row>
    <row r="105" spans="1:24" ht="21.95" customHeight="1" thickBot="1" x14ac:dyDescent="0.45">
      <c r="A105" s="395" t="s">
        <v>1</v>
      </c>
      <c r="B105" s="396"/>
      <c r="C105" s="396"/>
      <c r="D105" s="397"/>
      <c r="E105" s="351">
        <f>SUM(F105:K105)</f>
        <v>3245.5729999999999</v>
      </c>
      <c r="F105" s="352">
        <f t="shared" ref="F105:K105" si="8">F7+F57+F89+F104</f>
        <v>366.9</v>
      </c>
      <c r="G105" s="353">
        <f t="shared" si="8"/>
        <v>257.32499999999999</v>
      </c>
      <c r="H105" s="353">
        <f t="shared" si="8"/>
        <v>1789.4880000000001</v>
      </c>
      <c r="I105" s="353">
        <f t="shared" si="8"/>
        <v>1.75</v>
      </c>
      <c r="J105" s="353">
        <f t="shared" si="8"/>
        <v>359.59</v>
      </c>
      <c r="K105" s="354">
        <f t="shared" si="8"/>
        <v>470.52</v>
      </c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</row>
    <row r="106" spans="1:24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</row>
    <row r="107" spans="1:24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</row>
    <row r="108" spans="1:24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</row>
    <row r="109" spans="1:24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</row>
    <row r="110" spans="1:24" ht="15.75" customHeight="1" x14ac:dyDescent="0.4">
      <c r="A110" s="166"/>
      <c r="B110" s="166"/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</row>
    <row r="111" spans="1:24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</row>
    <row r="112" spans="1:24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</row>
    <row r="113" spans="1:24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</row>
    <row r="114" spans="1:24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</row>
    <row r="115" spans="1:24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</row>
    <row r="116" spans="1:24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</row>
    <row r="117" spans="1:24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</row>
    <row r="118" spans="1:24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</row>
    <row r="119" spans="1:24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7"/>
      <c r="J119" s="167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</row>
    <row r="120" spans="1:24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</row>
    <row r="121" spans="1:24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</row>
    <row r="122" spans="1:24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</row>
    <row r="123" spans="1:24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</row>
    <row r="124" spans="1:24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</row>
    <row r="125" spans="1:24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</row>
    <row r="126" spans="1:24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</row>
    <row r="127" spans="1:24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</row>
    <row r="128" spans="1:24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</row>
    <row r="129" spans="1:24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</row>
    <row r="130" spans="1:24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</row>
    <row r="131" spans="1:24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</row>
    <row r="132" spans="1:24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</row>
    <row r="133" spans="1:24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</row>
    <row r="134" spans="1:24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</row>
    <row r="135" spans="1:24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</row>
    <row r="136" spans="1:24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</row>
    <row r="137" spans="1:24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</row>
    <row r="138" spans="1:24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</row>
    <row r="139" spans="1:24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</row>
    <row r="140" spans="1:24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</row>
    <row r="141" spans="1:24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</row>
    <row r="142" spans="1:24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</row>
    <row r="143" spans="1:24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</row>
    <row r="144" spans="1:24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</row>
    <row r="145" spans="1:24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</row>
    <row r="146" spans="1:24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</row>
    <row r="147" spans="1:24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</row>
    <row r="148" spans="1:24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</row>
    <row r="149" spans="1:24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</row>
    <row r="150" spans="1:24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</row>
    <row r="151" spans="1:24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</row>
    <row r="152" spans="1:24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</row>
    <row r="153" spans="1:24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</row>
    <row r="154" spans="1:24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</row>
    <row r="155" spans="1:24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</row>
    <row r="156" spans="1:24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</row>
    <row r="157" spans="1:24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</row>
    <row r="158" spans="1:24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</row>
    <row r="159" spans="1:24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</row>
    <row r="160" spans="1:24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</row>
    <row r="161" spans="1:24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</row>
    <row r="162" spans="1:24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</row>
    <row r="163" spans="1:24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</row>
    <row r="164" spans="1:24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</row>
    <row r="165" spans="1:24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</row>
    <row r="166" spans="1:24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</row>
    <row r="167" spans="1:24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</row>
    <row r="168" spans="1:24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</row>
    <row r="169" spans="1:24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</row>
    <row r="170" spans="1:24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</row>
    <row r="171" spans="1:24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</row>
    <row r="172" spans="1:24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</row>
    <row r="173" spans="1:24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</row>
    <row r="174" spans="1:24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</row>
    <row r="175" spans="1:24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</row>
    <row r="176" spans="1:24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</row>
    <row r="177" spans="1:24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</row>
    <row r="178" spans="1:24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</row>
    <row r="179" spans="1:24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</row>
    <row r="180" spans="1:24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</row>
    <row r="181" spans="1:24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</row>
    <row r="182" spans="1:24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</row>
    <row r="183" spans="1:24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</row>
    <row r="184" spans="1:24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</row>
    <row r="185" spans="1:24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</row>
    <row r="186" spans="1:24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</row>
    <row r="187" spans="1:24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</row>
    <row r="188" spans="1:24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</row>
    <row r="189" spans="1:24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</row>
    <row r="190" spans="1:24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</row>
    <row r="191" spans="1:24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</row>
    <row r="192" spans="1:24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</row>
    <row r="193" spans="1:24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</row>
    <row r="194" spans="1:24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</row>
    <row r="195" spans="1:24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</row>
    <row r="196" spans="1:24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</row>
    <row r="197" spans="1:24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</row>
    <row r="198" spans="1:24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</row>
    <row r="199" spans="1:24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</row>
    <row r="200" spans="1:24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</row>
    <row r="201" spans="1:24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</row>
    <row r="202" spans="1:24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</row>
    <row r="203" spans="1:24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</row>
    <row r="204" spans="1:24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</row>
    <row r="205" spans="1:24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</row>
    <row r="206" spans="1:24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</row>
    <row r="207" spans="1:24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</row>
    <row r="208" spans="1:24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</row>
    <row r="209" spans="1:24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</row>
    <row r="210" spans="1:24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</row>
    <row r="211" spans="1:24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</row>
    <row r="212" spans="1:24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</row>
    <row r="213" spans="1:24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</row>
    <row r="214" spans="1:24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</row>
    <row r="215" spans="1:24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</row>
    <row r="216" spans="1:24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</row>
    <row r="217" spans="1:24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</row>
    <row r="218" spans="1:24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</row>
    <row r="219" spans="1:24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</row>
    <row r="220" spans="1:24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</row>
    <row r="221" spans="1:24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</row>
    <row r="222" spans="1:24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</row>
    <row r="223" spans="1:24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</row>
    <row r="224" spans="1:24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</row>
    <row r="225" spans="1:24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</row>
    <row r="226" spans="1:24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</row>
    <row r="227" spans="1:24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</row>
    <row r="228" spans="1:24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</row>
    <row r="229" spans="1:24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</row>
    <row r="230" spans="1:24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</row>
    <row r="231" spans="1:24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</row>
    <row r="232" spans="1:24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</row>
    <row r="233" spans="1:24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</row>
    <row r="234" spans="1:24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</row>
    <row r="235" spans="1:24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</row>
    <row r="236" spans="1:24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</row>
    <row r="237" spans="1:24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</row>
    <row r="238" spans="1:24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</row>
    <row r="239" spans="1:24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</row>
    <row r="240" spans="1:24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</row>
    <row r="241" spans="1:24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</row>
    <row r="242" spans="1:24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</row>
    <row r="243" spans="1:24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</row>
    <row r="244" spans="1:24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</row>
    <row r="245" spans="1:24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</row>
    <row r="246" spans="1:24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</row>
    <row r="247" spans="1:24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</row>
    <row r="248" spans="1:24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</row>
    <row r="249" spans="1:24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</row>
    <row r="250" spans="1:24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</row>
    <row r="251" spans="1:24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</row>
    <row r="252" spans="1:24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</row>
    <row r="253" spans="1:24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</row>
    <row r="254" spans="1:24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</row>
    <row r="255" spans="1:24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</row>
    <row r="256" spans="1:24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</row>
    <row r="257" spans="1:24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</row>
    <row r="258" spans="1:24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</row>
    <row r="259" spans="1:24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</row>
    <row r="260" spans="1:24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</row>
    <row r="261" spans="1:24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</row>
    <row r="262" spans="1:24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</row>
    <row r="263" spans="1:24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</row>
    <row r="264" spans="1:24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</row>
    <row r="265" spans="1:24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</row>
    <row r="266" spans="1:24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</row>
    <row r="267" spans="1:24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</row>
    <row r="268" spans="1:24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</row>
    <row r="269" spans="1:24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</row>
    <row r="270" spans="1:24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</row>
    <row r="271" spans="1:24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</row>
    <row r="272" spans="1:24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</row>
    <row r="273" spans="1:24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</row>
    <row r="274" spans="1:24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</row>
    <row r="275" spans="1:24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</row>
    <row r="276" spans="1:24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</row>
    <row r="277" spans="1:24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</row>
    <row r="278" spans="1:24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</row>
    <row r="279" spans="1:24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</row>
    <row r="280" spans="1:24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</row>
    <row r="281" spans="1:24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</row>
    <row r="282" spans="1:24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</row>
    <row r="283" spans="1:24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</row>
    <row r="284" spans="1:24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</row>
    <row r="285" spans="1:24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</row>
    <row r="286" spans="1:24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</row>
    <row r="287" spans="1:24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</row>
    <row r="288" spans="1:24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</row>
    <row r="289" spans="1:24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</row>
    <row r="290" spans="1:24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</row>
    <row r="291" spans="1:24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</row>
    <row r="292" spans="1:24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</row>
    <row r="293" spans="1:24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</row>
    <row r="294" spans="1:24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</row>
    <row r="295" spans="1:24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</row>
    <row r="296" spans="1:24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</row>
    <row r="297" spans="1:24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</row>
    <row r="298" spans="1:24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</row>
    <row r="299" spans="1:24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</row>
    <row r="300" spans="1:24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</row>
    <row r="301" spans="1:24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</row>
    <row r="302" spans="1:24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</row>
    <row r="303" spans="1:24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</row>
    <row r="304" spans="1:24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</row>
    <row r="305" spans="1:24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</row>
    <row r="306" spans="1:24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</row>
    <row r="307" spans="1:24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</row>
    <row r="308" spans="1:24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</row>
    <row r="309" spans="1:24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</row>
    <row r="310" spans="1:24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</row>
    <row r="311" spans="1:24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</row>
    <row r="312" spans="1:24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</row>
    <row r="313" spans="1:24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</row>
    <row r="314" spans="1:24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</row>
    <row r="315" spans="1:24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</row>
    <row r="316" spans="1:24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</row>
    <row r="317" spans="1:24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</row>
    <row r="318" spans="1:24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</row>
    <row r="319" spans="1:24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</row>
    <row r="320" spans="1:24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</row>
    <row r="321" spans="1:24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</row>
    <row r="322" spans="1:24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</row>
    <row r="323" spans="1:24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</row>
    <row r="324" spans="1:24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</row>
    <row r="325" spans="1:24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</row>
    <row r="326" spans="1:24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</row>
    <row r="327" spans="1:24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</row>
    <row r="328" spans="1:24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</row>
    <row r="329" spans="1:24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</row>
    <row r="330" spans="1:24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</row>
    <row r="331" spans="1:24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</row>
    <row r="332" spans="1:24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</row>
    <row r="333" spans="1:24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</row>
    <row r="334" spans="1:24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</row>
    <row r="335" spans="1:24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</row>
    <row r="336" spans="1:24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</row>
    <row r="337" spans="1:24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</row>
    <row r="338" spans="1:24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</row>
    <row r="339" spans="1:24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</row>
    <row r="340" spans="1:24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</row>
    <row r="341" spans="1:24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</row>
    <row r="342" spans="1:24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</row>
    <row r="343" spans="1:24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</row>
    <row r="344" spans="1:24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</row>
    <row r="345" spans="1:24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</row>
    <row r="346" spans="1:24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</row>
    <row r="347" spans="1:24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</row>
    <row r="348" spans="1:24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</row>
    <row r="349" spans="1:24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</row>
    <row r="350" spans="1:24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</row>
    <row r="351" spans="1:24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</row>
    <row r="352" spans="1:24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</row>
    <row r="353" spans="1:24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</row>
    <row r="354" spans="1:24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</row>
    <row r="355" spans="1:24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</row>
    <row r="356" spans="1:24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</row>
    <row r="357" spans="1:24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</row>
    <row r="358" spans="1:24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</row>
    <row r="359" spans="1:24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</row>
    <row r="360" spans="1:24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</row>
    <row r="361" spans="1:24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</row>
    <row r="362" spans="1:24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</row>
    <row r="363" spans="1:24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</row>
    <row r="364" spans="1:24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</row>
    <row r="365" spans="1:24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</row>
    <row r="366" spans="1:24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</row>
    <row r="367" spans="1:24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</row>
    <row r="368" spans="1:24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</row>
    <row r="369" spans="1:24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</row>
    <row r="370" spans="1:24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</row>
    <row r="371" spans="1:24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</row>
    <row r="372" spans="1:24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</row>
    <row r="373" spans="1:24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</row>
    <row r="374" spans="1:24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</row>
    <row r="375" spans="1:24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</row>
    <row r="376" spans="1:24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</row>
    <row r="377" spans="1:24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</row>
    <row r="378" spans="1:24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</row>
    <row r="379" spans="1:24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</row>
    <row r="380" spans="1:24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</row>
    <row r="381" spans="1:24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</row>
    <row r="382" spans="1:24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</row>
    <row r="383" spans="1:24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</row>
    <row r="384" spans="1:24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</row>
    <row r="385" spans="1:24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</row>
    <row r="386" spans="1:24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</row>
    <row r="387" spans="1:24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</row>
    <row r="388" spans="1:24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</row>
    <row r="389" spans="1:24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</row>
    <row r="390" spans="1:24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</row>
    <row r="391" spans="1:24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</row>
    <row r="392" spans="1:24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</row>
    <row r="393" spans="1:24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</row>
    <row r="394" spans="1:24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</row>
    <row r="395" spans="1:24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</row>
    <row r="396" spans="1:24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</row>
    <row r="397" spans="1:24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</row>
    <row r="398" spans="1:24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</row>
    <row r="399" spans="1:24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</row>
    <row r="400" spans="1:24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</row>
    <row r="401" spans="1:24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</row>
    <row r="402" spans="1:24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</row>
    <row r="403" spans="1:24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</row>
    <row r="404" spans="1:24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</row>
    <row r="405" spans="1:24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</row>
    <row r="406" spans="1:24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</row>
    <row r="407" spans="1:24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</row>
    <row r="408" spans="1:24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</row>
    <row r="409" spans="1:24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</row>
    <row r="410" spans="1:24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</row>
    <row r="411" spans="1:24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</row>
    <row r="412" spans="1:24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</row>
    <row r="413" spans="1:24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</row>
    <row r="414" spans="1:24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</row>
    <row r="415" spans="1:24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</row>
    <row r="416" spans="1:24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</row>
    <row r="417" spans="1:24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</row>
    <row r="418" spans="1:24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</row>
    <row r="419" spans="1:24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</row>
    <row r="420" spans="1:24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</row>
    <row r="421" spans="1:24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</row>
    <row r="422" spans="1:24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</row>
    <row r="423" spans="1:24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</row>
    <row r="424" spans="1:24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</row>
    <row r="425" spans="1:24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</row>
    <row r="426" spans="1:24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</row>
    <row r="427" spans="1:24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</row>
    <row r="428" spans="1:24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</row>
    <row r="429" spans="1:24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</row>
    <row r="430" spans="1:24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</row>
    <row r="431" spans="1:24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</row>
    <row r="432" spans="1:24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</row>
    <row r="433" spans="1:24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</row>
    <row r="434" spans="1:24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</row>
    <row r="435" spans="1:24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</row>
    <row r="436" spans="1:24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</row>
    <row r="437" spans="1:24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</row>
    <row r="438" spans="1:24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</row>
    <row r="439" spans="1:24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</row>
    <row r="440" spans="1:24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</row>
    <row r="441" spans="1:24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</row>
    <row r="442" spans="1:24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</row>
    <row r="443" spans="1:24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</row>
    <row r="444" spans="1:24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</row>
    <row r="445" spans="1:24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</row>
    <row r="446" spans="1:24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</row>
    <row r="447" spans="1:24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</row>
    <row r="448" spans="1:24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</row>
    <row r="449" spans="1:24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</row>
    <row r="450" spans="1:24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</row>
    <row r="451" spans="1:24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</row>
    <row r="452" spans="1:24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</row>
    <row r="453" spans="1:24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</row>
    <row r="454" spans="1:24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</row>
    <row r="455" spans="1:24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</row>
    <row r="456" spans="1:24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</row>
    <row r="457" spans="1:24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</row>
    <row r="458" spans="1:24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</row>
    <row r="459" spans="1:24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</row>
    <row r="460" spans="1:24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</row>
    <row r="461" spans="1:24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</row>
    <row r="462" spans="1:24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</row>
    <row r="463" spans="1:24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</row>
    <row r="464" spans="1:24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</row>
    <row r="465" spans="1:24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</row>
    <row r="466" spans="1:24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</row>
    <row r="467" spans="1:24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</row>
    <row r="468" spans="1:24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</row>
    <row r="469" spans="1:24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</row>
    <row r="470" spans="1:24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</row>
    <row r="471" spans="1:24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</row>
    <row r="472" spans="1:24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</row>
    <row r="473" spans="1:24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</row>
    <row r="474" spans="1:24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</row>
    <row r="475" spans="1:24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</row>
    <row r="476" spans="1:24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</row>
    <row r="477" spans="1:24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</row>
    <row r="478" spans="1:24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</row>
    <row r="479" spans="1:24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</row>
    <row r="480" spans="1:24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</row>
    <row r="481" spans="1:24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</row>
    <row r="482" spans="1:24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</row>
    <row r="483" spans="1:24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</row>
    <row r="484" spans="1:24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</row>
    <row r="485" spans="1:24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</row>
    <row r="486" spans="1:24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</row>
    <row r="487" spans="1:24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</row>
    <row r="488" spans="1:24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</row>
    <row r="489" spans="1:24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</row>
    <row r="490" spans="1:24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</row>
    <row r="491" spans="1:24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</row>
    <row r="492" spans="1:24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</row>
    <row r="493" spans="1:24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</row>
    <row r="494" spans="1:24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</row>
    <row r="495" spans="1:24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</row>
    <row r="496" spans="1:24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</row>
    <row r="497" spans="1:24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</row>
    <row r="498" spans="1:24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</row>
    <row r="499" spans="1:24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</row>
    <row r="500" spans="1:24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</row>
    <row r="501" spans="1:24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</row>
    <row r="502" spans="1:24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</row>
    <row r="503" spans="1:24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</row>
    <row r="504" spans="1:24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</row>
    <row r="505" spans="1:24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</row>
    <row r="506" spans="1:24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</row>
    <row r="507" spans="1:24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</row>
    <row r="508" spans="1:24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</row>
    <row r="509" spans="1:24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</row>
    <row r="510" spans="1:24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</row>
    <row r="511" spans="1:24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</row>
    <row r="512" spans="1:24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</row>
    <row r="513" spans="1:24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</row>
    <row r="514" spans="1:24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</row>
    <row r="515" spans="1:24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</row>
    <row r="516" spans="1:24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</row>
    <row r="517" spans="1:24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</row>
    <row r="518" spans="1:24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</row>
    <row r="519" spans="1:24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</row>
    <row r="520" spans="1:24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</row>
    <row r="521" spans="1:24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</row>
    <row r="522" spans="1:24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</row>
    <row r="523" spans="1:24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</row>
    <row r="524" spans="1:24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</row>
    <row r="525" spans="1:24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</row>
    <row r="526" spans="1:24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</row>
    <row r="527" spans="1:24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</row>
    <row r="528" spans="1:24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</row>
    <row r="529" spans="1:24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</row>
    <row r="530" spans="1:24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</row>
    <row r="531" spans="1:24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</row>
    <row r="532" spans="1:24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</row>
    <row r="533" spans="1:24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</row>
    <row r="534" spans="1:24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</row>
    <row r="535" spans="1:24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</row>
    <row r="536" spans="1:24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</row>
    <row r="537" spans="1:24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</row>
    <row r="538" spans="1:24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</row>
    <row r="539" spans="1:24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</row>
    <row r="540" spans="1:24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</row>
    <row r="541" spans="1:24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</row>
    <row r="542" spans="1:24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</row>
    <row r="543" spans="1:24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</row>
    <row r="544" spans="1:24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</row>
    <row r="545" spans="1:24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</row>
    <row r="546" spans="1:24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</row>
    <row r="547" spans="1:24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</row>
    <row r="548" spans="1:24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</row>
    <row r="549" spans="1:24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</row>
    <row r="550" spans="1:24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</row>
    <row r="551" spans="1:24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</row>
    <row r="552" spans="1:24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</row>
    <row r="553" spans="1:24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</row>
    <row r="554" spans="1:24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</row>
    <row r="555" spans="1:24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</row>
    <row r="556" spans="1:24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</row>
    <row r="557" spans="1:24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</row>
    <row r="558" spans="1:24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</row>
    <row r="559" spans="1:24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</row>
    <row r="560" spans="1:24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</row>
    <row r="561" spans="1:24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</row>
    <row r="562" spans="1:24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</row>
    <row r="563" spans="1:24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</row>
    <row r="564" spans="1:24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</row>
    <row r="565" spans="1:24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</row>
    <row r="566" spans="1:24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</row>
    <row r="567" spans="1:24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</row>
    <row r="568" spans="1:24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</row>
    <row r="569" spans="1:24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</row>
    <row r="570" spans="1:24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</row>
    <row r="571" spans="1:24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</row>
    <row r="572" spans="1:24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</row>
    <row r="573" spans="1:24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</row>
    <row r="574" spans="1:24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</row>
    <row r="575" spans="1:24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</row>
    <row r="576" spans="1:24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</row>
    <row r="577" spans="1:24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</row>
    <row r="578" spans="1:24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</row>
    <row r="579" spans="1:24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</row>
    <row r="580" spans="1:24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</row>
    <row r="581" spans="1:24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</row>
    <row r="582" spans="1:24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</row>
    <row r="583" spans="1:24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</row>
    <row r="584" spans="1:24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</row>
    <row r="585" spans="1:24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</row>
    <row r="586" spans="1:24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</row>
    <row r="587" spans="1:24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</row>
    <row r="588" spans="1:24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</row>
    <row r="589" spans="1:24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</row>
    <row r="590" spans="1:24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</row>
    <row r="591" spans="1:24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</row>
    <row r="592" spans="1:24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</row>
    <row r="593" spans="1:24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</row>
    <row r="594" spans="1:24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</row>
    <row r="595" spans="1:24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</row>
    <row r="596" spans="1:24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</row>
    <row r="597" spans="1:24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</row>
    <row r="598" spans="1:24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</row>
    <row r="599" spans="1:24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</row>
    <row r="600" spans="1:24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</row>
    <row r="601" spans="1:24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</row>
    <row r="602" spans="1:24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</row>
    <row r="603" spans="1:24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</row>
    <row r="604" spans="1:24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</row>
    <row r="605" spans="1:24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</row>
    <row r="606" spans="1:24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</row>
    <row r="607" spans="1:24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</row>
    <row r="608" spans="1:24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</row>
    <row r="609" spans="1:24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</row>
    <row r="610" spans="1:24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</row>
    <row r="611" spans="1:24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</row>
    <row r="612" spans="1:24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</row>
    <row r="613" spans="1:24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</row>
    <row r="614" spans="1:24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</row>
    <row r="615" spans="1:24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</row>
    <row r="616" spans="1:24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</row>
    <row r="617" spans="1:24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</row>
    <row r="618" spans="1:24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</row>
    <row r="619" spans="1:24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</row>
    <row r="620" spans="1:24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</row>
    <row r="621" spans="1:24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</row>
    <row r="622" spans="1:24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</row>
    <row r="623" spans="1:24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</row>
    <row r="624" spans="1:24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</row>
    <row r="625" spans="1:24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</row>
    <row r="626" spans="1:24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</row>
    <row r="627" spans="1:24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</row>
    <row r="628" spans="1:24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</row>
    <row r="629" spans="1:24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</row>
    <row r="630" spans="1:24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</row>
    <row r="631" spans="1:24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</row>
    <row r="632" spans="1:24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</row>
    <row r="633" spans="1:24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</row>
    <row r="634" spans="1:24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</row>
    <row r="635" spans="1:24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</row>
    <row r="636" spans="1:24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</row>
    <row r="637" spans="1:24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</row>
    <row r="638" spans="1:24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</row>
    <row r="639" spans="1:24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</row>
    <row r="640" spans="1:24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</row>
    <row r="641" spans="1:24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</row>
    <row r="642" spans="1:24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</row>
    <row r="643" spans="1:24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</row>
    <row r="644" spans="1:24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</row>
    <row r="645" spans="1:24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</row>
    <row r="646" spans="1:24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</row>
    <row r="647" spans="1:24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</row>
    <row r="648" spans="1:24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</row>
    <row r="649" spans="1:24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</row>
    <row r="650" spans="1:24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</row>
    <row r="651" spans="1:24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</row>
    <row r="652" spans="1:24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</row>
    <row r="653" spans="1:24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</row>
    <row r="654" spans="1:24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</row>
    <row r="655" spans="1:24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</row>
    <row r="656" spans="1:24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</row>
    <row r="657" spans="1:24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</row>
    <row r="658" spans="1:24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</row>
    <row r="659" spans="1:24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</row>
    <row r="660" spans="1:24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</row>
    <row r="661" spans="1:24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</row>
    <row r="662" spans="1:24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</row>
    <row r="663" spans="1:24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</row>
    <row r="664" spans="1:24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</row>
    <row r="665" spans="1:24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</row>
    <row r="666" spans="1:24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</row>
    <row r="667" spans="1:24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</row>
    <row r="668" spans="1:24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</row>
    <row r="669" spans="1:24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</row>
    <row r="670" spans="1:24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</row>
    <row r="671" spans="1:24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</row>
    <row r="672" spans="1:24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</row>
    <row r="673" spans="1:24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</row>
    <row r="674" spans="1:24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</row>
    <row r="675" spans="1:24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</row>
    <row r="676" spans="1:24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</row>
    <row r="677" spans="1:24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</row>
    <row r="678" spans="1:24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</row>
    <row r="679" spans="1:24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</row>
    <row r="680" spans="1:24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</row>
    <row r="681" spans="1:24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</row>
    <row r="682" spans="1:24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</row>
    <row r="683" spans="1:24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</row>
    <row r="684" spans="1:24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</row>
    <row r="685" spans="1:24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</row>
    <row r="686" spans="1:24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</row>
    <row r="687" spans="1:24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</row>
    <row r="688" spans="1:24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</row>
    <row r="689" spans="1:24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</row>
    <row r="690" spans="1:24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</row>
    <row r="691" spans="1:24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</row>
    <row r="692" spans="1:24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</row>
    <row r="693" spans="1:24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</row>
    <row r="694" spans="1:24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</row>
    <row r="695" spans="1:24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</row>
    <row r="696" spans="1:24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</row>
    <row r="697" spans="1:24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</row>
    <row r="698" spans="1:24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</row>
    <row r="699" spans="1:24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</row>
    <row r="700" spans="1:24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</row>
    <row r="701" spans="1:24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</row>
    <row r="702" spans="1:24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</row>
    <row r="703" spans="1:24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</row>
    <row r="704" spans="1:24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</row>
    <row r="705" spans="1:24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</row>
    <row r="706" spans="1:24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</row>
    <row r="707" spans="1:24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</row>
    <row r="708" spans="1:24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</row>
    <row r="709" spans="1:24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</row>
    <row r="710" spans="1:24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</row>
    <row r="711" spans="1:24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</row>
    <row r="712" spans="1:24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</row>
    <row r="713" spans="1:24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</row>
    <row r="714" spans="1:24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</row>
    <row r="715" spans="1:24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</row>
    <row r="716" spans="1:24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</row>
    <row r="717" spans="1:24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</row>
    <row r="718" spans="1:24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</row>
    <row r="719" spans="1:24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</row>
    <row r="720" spans="1:24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</row>
    <row r="721" spans="1:24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</row>
    <row r="722" spans="1:24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</row>
    <row r="723" spans="1:24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</row>
    <row r="724" spans="1:24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</row>
    <row r="725" spans="1:24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</row>
    <row r="726" spans="1:24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</row>
    <row r="727" spans="1:24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</row>
    <row r="728" spans="1:24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</row>
    <row r="729" spans="1:24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</row>
    <row r="730" spans="1:24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</row>
    <row r="731" spans="1:24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</row>
    <row r="732" spans="1:24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</row>
    <row r="733" spans="1:24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</row>
    <row r="734" spans="1:24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</row>
    <row r="735" spans="1:24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</row>
    <row r="736" spans="1:24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</row>
    <row r="737" spans="1:24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</row>
    <row r="738" spans="1:24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</row>
    <row r="739" spans="1:24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</row>
    <row r="740" spans="1:24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</row>
    <row r="741" spans="1:24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</row>
    <row r="742" spans="1:24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</row>
    <row r="743" spans="1:24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</row>
    <row r="744" spans="1:24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</row>
    <row r="745" spans="1:24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</row>
    <row r="746" spans="1:24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</row>
    <row r="747" spans="1:24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</row>
    <row r="748" spans="1:24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</row>
    <row r="749" spans="1:24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</row>
    <row r="750" spans="1:24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</row>
    <row r="751" spans="1:24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</row>
    <row r="752" spans="1:24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</row>
    <row r="753" spans="1:24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</row>
    <row r="754" spans="1:24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</row>
    <row r="755" spans="1:24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</row>
    <row r="756" spans="1:24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</row>
    <row r="757" spans="1:24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</row>
    <row r="758" spans="1:24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</row>
    <row r="759" spans="1:24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</row>
    <row r="760" spans="1:24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</row>
    <row r="761" spans="1:24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</row>
    <row r="762" spans="1:24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</row>
    <row r="763" spans="1:24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</row>
    <row r="764" spans="1:24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</row>
    <row r="765" spans="1:24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</row>
    <row r="766" spans="1:24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</row>
    <row r="767" spans="1:24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</row>
    <row r="768" spans="1:24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</row>
    <row r="769" spans="1:24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</row>
    <row r="770" spans="1:24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</row>
    <row r="771" spans="1:24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</row>
    <row r="772" spans="1:24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</row>
    <row r="773" spans="1:24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</row>
    <row r="774" spans="1:24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</row>
    <row r="775" spans="1:24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</row>
    <row r="776" spans="1:24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</row>
    <row r="777" spans="1:24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</row>
    <row r="778" spans="1:24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</row>
    <row r="779" spans="1:24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</row>
    <row r="780" spans="1:24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</row>
    <row r="781" spans="1:24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</row>
    <row r="782" spans="1:24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</row>
    <row r="783" spans="1:24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</row>
    <row r="784" spans="1:24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</row>
    <row r="785" spans="1:24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</row>
    <row r="786" spans="1:24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</row>
    <row r="787" spans="1:24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</row>
    <row r="788" spans="1:24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</row>
    <row r="789" spans="1:24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</row>
    <row r="790" spans="1:24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</row>
    <row r="791" spans="1:24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</row>
    <row r="792" spans="1:24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</row>
    <row r="793" spans="1:24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</row>
    <row r="794" spans="1:24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</row>
    <row r="795" spans="1:24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</row>
    <row r="796" spans="1:24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</row>
    <row r="797" spans="1:24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</row>
    <row r="798" spans="1:24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</row>
    <row r="799" spans="1:24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</row>
    <row r="800" spans="1:24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</row>
    <row r="801" spans="1:24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</row>
    <row r="802" spans="1:24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</row>
    <row r="803" spans="1:24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</row>
    <row r="804" spans="1:24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</row>
    <row r="805" spans="1:24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</row>
    <row r="806" spans="1:24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</row>
    <row r="807" spans="1:24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</row>
    <row r="808" spans="1:24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</row>
    <row r="809" spans="1:24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</row>
    <row r="810" spans="1:24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</row>
    <row r="811" spans="1:24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</row>
    <row r="812" spans="1:24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</row>
    <row r="813" spans="1:24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</row>
    <row r="814" spans="1:24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</row>
    <row r="815" spans="1:24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</row>
    <row r="816" spans="1:24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</row>
    <row r="817" spans="1:24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</row>
    <row r="818" spans="1:24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</row>
    <row r="819" spans="1:24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</row>
    <row r="820" spans="1:24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</row>
    <row r="821" spans="1:24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</row>
    <row r="822" spans="1:24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</row>
    <row r="823" spans="1:24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</row>
    <row r="824" spans="1:24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</row>
    <row r="825" spans="1:24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</row>
    <row r="826" spans="1:24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</row>
    <row r="827" spans="1:24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</row>
    <row r="828" spans="1:24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</row>
    <row r="829" spans="1:24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</row>
    <row r="830" spans="1:24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</row>
    <row r="831" spans="1:24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</row>
    <row r="832" spans="1:24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</row>
    <row r="833" spans="1:24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</row>
    <row r="834" spans="1:24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</row>
    <row r="835" spans="1:24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</row>
    <row r="836" spans="1:24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</row>
    <row r="837" spans="1:24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</row>
    <row r="838" spans="1:24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</row>
    <row r="839" spans="1:24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</row>
    <row r="840" spans="1:24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</row>
    <row r="841" spans="1:24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</row>
    <row r="842" spans="1:24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</row>
    <row r="843" spans="1:24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</row>
    <row r="844" spans="1:24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</row>
    <row r="845" spans="1:24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</row>
    <row r="846" spans="1:24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</row>
    <row r="847" spans="1:24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</row>
    <row r="848" spans="1:24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</row>
    <row r="849" spans="1:24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</row>
    <row r="850" spans="1:24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</row>
    <row r="851" spans="1:24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</row>
    <row r="852" spans="1:24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</row>
    <row r="853" spans="1:24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</row>
    <row r="854" spans="1:24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</row>
    <row r="855" spans="1:24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</row>
    <row r="856" spans="1:24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</row>
    <row r="857" spans="1:24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</row>
    <row r="858" spans="1:24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</row>
    <row r="859" spans="1:24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</row>
    <row r="860" spans="1:24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</row>
    <row r="861" spans="1:24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</row>
    <row r="862" spans="1:24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</row>
    <row r="863" spans="1:24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</row>
    <row r="864" spans="1:24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</row>
    <row r="865" spans="1:24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</row>
    <row r="866" spans="1:24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</row>
    <row r="867" spans="1:24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</row>
    <row r="868" spans="1:24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</row>
    <row r="869" spans="1:24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</row>
    <row r="870" spans="1:24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</row>
    <row r="871" spans="1:24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</row>
    <row r="872" spans="1:24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</row>
    <row r="873" spans="1:24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</row>
    <row r="874" spans="1:24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</row>
    <row r="875" spans="1:24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</row>
    <row r="876" spans="1:24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</row>
    <row r="877" spans="1:24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</row>
    <row r="878" spans="1:24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</row>
    <row r="879" spans="1:24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</row>
    <row r="880" spans="1:24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</row>
    <row r="881" spans="1:24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</row>
    <row r="882" spans="1:24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</row>
    <row r="883" spans="1:24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</row>
    <row r="884" spans="1:24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</row>
    <row r="885" spans="1:24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</row>
    <row r="886" spans="1:24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</row>
    <row r="887" spans="1:24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</row>
    <row r="888" spans="1:24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</row>
    <row r="889" spans="1:24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</row>
    <row r="890" spans="1:24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</row>
    <row r="891" spans="1:24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</row>
    <row r="892" spans="1:24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</row>
    <row r="893" spans="1:24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</row>
    <row r="894" spans="1:24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</row>
    <row r="895" spans="1:24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</row>
    <row r="896" spans="1:24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</row>
    <row r="897" spans="1:24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</row>
    <row r="898" spans="1:24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</row>
    <row r="899" spans="1:24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</row>
    <row r="900" spans="1:24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</row>
    <row r="901" spans="1:24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</row>
    <row r="902" spans="1:24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</row>
    <row r="903" spans="1:24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</row>
    <row r="904" spans="1:24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</row>
    <row r="905" spans="1:24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</row>
    <row r="906" spans="1:24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</row>
    <row r="907" spans="1:24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</row>
    <row r="908" spans="1:24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</row>
    <row r="909" spans="1:24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</row>
    <row r="910" spans="1:24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</row>
    <row r="911" spans="1:24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</row>
    <row r="912" spans="1:24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</row>
    <row r="913" spans="1:24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</row>
    <row r="914" spans="1:24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</row>
    <row r="915" spans="1:24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</row>
    <row r="916" spans="1:24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</row>
    <row r="917" spans="1:24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</row>
    <row r="918" spans="1:24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</row>
    <row r="919" spans="1:24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</row>
    <row r="920" spans="1:24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</row>
    <row r="921" spans="1:24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</row>
    <row r="922" spans="1:24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</row>
    <row r="923" spans="1:24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</row>
    <row r="924" spans="1:24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</row>
    <row r="925" spans="1:24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</row>
    <row r="926" spans="1:24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</row>
    <row r="927" spans="1:24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</row>
    <row r="928" spans="1:24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</row>
    <row r="929" spans="1:24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</row>
    <row r="930" spans="1:24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</row>
    <row r="931" spans="1:24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</row>
    <row r="932" spans="1:24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</row>
    <row r="933" spans="1:24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</row>
    <row r="934" spans="1:24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</row>
    <row r="935" spans="1:24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</row>
    <row r="936" spans="1:24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</row>
    <row r="937" spans="1:24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</row>
    <row r="938" spans="1:24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</row>
    <row r="939" spans="1:24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</row>
    <row r="940" spans="1:24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</row>
    <row r="941" spans="1:24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</row>
    <row r="942" spans="1:24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</row>
    <row r="943" spans="1:24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</row>
    <row r="944" spans="1:24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</row>
    <row r="945" spans="1:24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</row>
    <row r="946" spans="1:24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</row>
    <row r="947" spans="1:24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</row>
    <row r="948" spans="1:24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</row>
    <row r="949" spans="1:24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</row>
    <row r="950" spans="1:24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</row>
    <row r="951" spans="1:24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</row>
    <row r="952" spans="1:24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</row>
    <row r="953" spans="1:24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</row>
    <row r="954" spans="1:24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</row>
    <row r="955" spans="1:24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</row>
    <row r="956" spans="1:24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</row>
    <row r="957" spans="1:24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</row>
    <row r="958" spans="1:24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</row>
    <row r="959" spans="1:24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</row>
    <row r="960" spans="1:24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</row>
    <row r="961" spans="1:24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</row>
    <row r="962" spans="1:24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</row>
    <row r="963" spans="1:24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</row>
    <row r="964" spans="1:24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</row>
    <row r="965" spans="1:24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</row>
    <row r="966" spans="1:24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</row>
    <row r="967" spans="1:24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</row>
    <row r="968" spans="1:24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</row>
    <row r="969" spans="1:24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</row>
    <row r="970" spans="1:24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</row>
    <row r="971" spans="1:24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</row>
    <row r="972" spans="1:24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</row>
    <row r="973" spans="1:24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</row>
    <row r="974" spans="1:24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</row>
    <row r="975" spans="1:24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</row>
    <row r="976" spans="1:24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</row>
    <row r="977" spans="1:24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</row>
    <row r="978" spans="1:24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</row>
    <row r="979" spans="1:24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</row>
    <row r="980" spans="1:24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</row>
    <row r="981" spans="1:24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</row>
    <row r="982" spans="1:24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</row>
    <row r="983" spans="1:24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</row>
    <row r="984" spans="1:24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</row>
    <row r="985" spans="1:24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</row>
    <row r="986" spans="1:24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</row>
    <row r="987" spans="1:24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</row>
    <row r="988" spans="1:24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</row>
    <row r="989" spans="1:24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</row>
    <row r="990" spans="1:24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</row>
    <row r="991" spans="1:24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</row>
    <row r="992" spans="1:24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</row>
    <row r="993" spans="1:24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</row>
    <row r="994" spans="1:24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</row>
    <row r="995" spans="1:24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</row>
    <row r="996" spans="1:24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</row>
    <row r="997" spans="1:24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</row>
    <row r="998" spans="1:24" ht="15.75" customHeight="1" x14ac:dyDescent="0.4">
      <c r="A998" s="166"/>
      <c r="B998" s="166"/>
      <c r="C998" s="166"/>
      <c r="D998" s="166"/>
      <c r="E998" s="166"/>
      <c r="F998" s="166"/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</row>
    <row r="999" spans="1:24" ht="15.75" customHeight="1" x14ac:dyDescent="0.4">
      <c r="A999" s="166"/>
      <c r="B999" s="166"/>
      <c r="C999" s="166"/>
      <c r="D999" s="166"/>
      <c r="E999" s="166"/>
      <c r="F999" s="166"/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</row>
    <row r="1000" spans="1:24" ht="15.75" customHeight="1" x14ac:dyDescent="0.4">
      <c r="A1000" s="166"/>
      <c r="B1000" s="166"/>
      <c r="C1000" s="166"/>
      <c r="D1000" s="166"/>
      <c r="E1000" s="166"/>
      <c r="F1000" s="166"/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</row>
    <row r="1001" spans="1:24" ht="15.75" customHeight="1" x14ac:dyDescent="0.4">
      <c r="A1001" s="166"/>
      <c r="B1001" s="166"/>
      <c r="C1001" s="166"/>
      <c r="D1001" s="166"/>
      <c r="E1001" s="166"/>
      <c r="F1001" s="166"/>
      <c r="G1001" s="166"/>
      <c r="H1001" s="166"/>
      <c r="I1001" s="166"/>
      <c r="J1001" s="166"/>
      <c r="K1001" s="166"/>
      <c r="L1001" s="166"/>
      <c r="M1001" s="166"/>
      <c r="N1001" s="166"/>
      <c r="O1001" s="166"/>
      <c r="P1001" s="166"/>
      <c r="Q1001" s="166"/>
      <c r="R1001" s="166"/>
      <c r="S1001" s="166"/>
      <c r="T1001" s="166"/>
      <c r="U1001" s="166"/>
      <c r="V1001" s="166"/>
      <c r="W1001" s="166"/>
      <c r="X1001" s="166"/>
    </row>
    <row r="1002" spans="1:24" ht="15.75" customHeight="1" x14ac:dyDescent="0.4">
      <c r="A1002" s="166"/>
      <c r="B1002" s="166"/>
      <c r="C1002" s="166"/>
      <c r="D1002" s="166"/>
      <c r="E1002" s="166"/>
      <c r="F1002" s="166"/>
      <c r="G1002" s="166"/>
      <c r="H1002" s="166"/>
      <c r="I1002" s="166"/>
      <c r="J1002" s="166"/>
      <c r="K1002" s="166"/>
      <c r="L1002" s="166"/>
      <c r="M1002" s="166"/>
      <c r="N1002" s="166"/>
      <c r="O1002" s="166"/>
      <c r="P1002" s="166"/>
      <c r="Q1002" s="166"/>
      <c r="R1002" s="166"/>
      <c r="S1002" s="166"/>
      <c r="T1002" s="166"/>
      <c r="U1002" s="166"/>
      <c r="V1002" s="166"/>
      <c r="W1002" s="166"/>
      <c r="X1002" s="166"/>
    </row>
    <row r="1003" spans="1:24" ht="15.75" customHeight="1" x14ac:dyDescent="0.4">
      <c r="A1003" s="166"/>
      <c r="B1003" s="166"/>
      <c r="C1003" s="166"/>
      <c r="D1003" s="166"/>
      <c r="E1003" s="166"/>
      <c r="F1003" s="166"/>
      <c r="G1003" s="166"/>
      <c r="H1003" s="166"/>
      <c r="I1003" s="166"/>
      <c r="J1003" s="166"/>
      <c r="K1003" s="166"/>
      <c r="L1003" s="166"/>
      <c r="M1003" s="166"/>
      <c r="N1003" s="166"/>
      <c r="O1003" s="166"/>
      <c r="P1003" s="166"/>
      <c r="Q1003" s="166"/>
      <c r="R1003" s="166"/>
      <c r="S1003" s="166"/>
      <c r="T1003" s="166"/>
      <c r="U1003" s="166"/>
      <c r="V1003" s="166"/>
      <c r="W1003" s="166"/>
      <c r="X1003" s="166"/>
    </row>
    <row r="1004" spans="1:24" ht="15.75" customHeight="1" x14ac:dyDescent="0.4">
      <c r="A1004" s="166"/>
      <c r="B1004" s="166"/>
      <c r="C1004" s="166"/>
      <c r="D1004" s="166"/>
      <c r="E1004" s="166"/>
      <c r="F1004" s="166"/>
      <c r="G1004" s="166"/>
      <c r="H1004" s="166"/>
      <c r="I1004" s="166"/>
      <c r="J1004" s="166"/>
      <c r="K1004" s="166"/>
      <c r="L1004" s="166"/>
      <c r="M1004" s="166"/>
      <c r="N1004" s="166"/>
      <c r="O1004" s="166"/>
      <c r="P1004" s="166"/>
      <c r="Q1004" s="166"/>
      <c r="R1004" s="166"/>
      <c r="S1004" s="166"/>
      <c r="T1004" s="166"/>
      <c r="U1004" s="166"/>
      <c r="V1004" s="166"/>
      <c r="W1004" s="166"/>
      <c r="X1004" s="166"/>
    </row>
    <row r="1005" spans="1:24" ht="15.75" customHeight="1" x14ac:dyDescent="0.4">
      <c r="A1005" s="166"/>
      <c r="B1005" s="166"/>
      <c r="C1005" s="166"/>
      <c r="D1005" s="166"/>
      <c r="E1005" s="166"/>
      <c r="F1005" s="166"/>
      <c r="G1005" s="166"/>
      <c r="H1005" s="166"/>
      <c r="I1005" s="166"/>
      <c r="J1005" s="166"/>
      <c r="K1005" s="166"/>
      <c r="L1005" s="166"/>
      <c r="M1005" s="166"/>
      <c r="N1005" s="166"/>
      <c r="O1005" s="166"/>
      <c r="P1005" s="166"/>
      <c r="Q1005" s="166"/>
      <c r="R1005" s="166"/>
      <c r="S1005" s="166"/>
      <c r="T1005" s="166"/>
      <c r="U1005" s="166"/>
      <c r="V1005" s="166"/>
      <c r="W1005" s="166"/>
      <c r="X1005" s="166"/>
    </row>
    <row r="1006" spans="1:24" ht="15.75" customHeight="1" x14ac:dyDescent="0.4">
      <c r="A1006" s="166"/>
      <c r="B1006" s="166"/>
      <c r="C1006" s="166"/>
      <c r="D1006" s="166"/>
      <c r="E1006" s="166"/>
      <c r="F1006" s="166"/>
      <c r="G1006" s="166"/>
      <c r="H1006" s="166"/>
      <c r="I1006" s="166"/>
      <c r="J1006" s="166"/>
      <c r="K1006" s="166"/>
      <c r="L1006" s="166"/>
      <c r="M1006" s="166"/>
      <c r="N1006" s="166"/>
      <c r="O1006" s="166"/>
      <c r="P1006" s="166"/>
      <c r="Q1006" s="166"/>
      <c r="R1006" s="166"/>
      <c r="S1006" s="166"/>
      <c r="T1006" s="166"/>
      <c r="U1006" s="166"/>
      <c r="V1006" s="166"/>
      <c r="W1006" s="166"/>
      <c r="X1006" s="166"/>
    </row>
  </sheetData>
  <dataConsolidate/>
  <mergeCells count="27"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  <mergeCell ref="B91:C91"/>
    <mergeCell ref="B92:C92"/>
    <mergeCell ref="B93:C93"/>
    <mergeCell ref="B94:C94"/>
    <mergeCell ref="B95:C95"/>
    <mergeCell ref="B96:C96"/>
    <mergeCell ref="B97:C97"/>
    <mergeCell ref="B100:C100"/>
    <mergeCell ref="B101:C101"/>
    <mergeCell ref="B98:C98"/>
    <mergeCell ref="B99:C99"/>
  </mergeCells>
  <conditionalFormatting sqref="F102:K103 F3:K6 F9:K56 F59:K87">
    <cfRule type="cellIs" dxfId="5" priority="5" operator="equal">
      <formula>0</formula>
    </cfRule>
  </conditionalFormatting>
  <conditionalFormatting sqref="F91:K101">
    <cfRule type="cellIs" dxfId="4" priority="2" operator="equal">
      <formula>0</formula>
    </cfRule>
  </conditionalFormatting>
  <conditionalFormatting sqref="F88:K88">
    <cfRule type="cellIs" dxfId="3" priority="1" operator="equal">
      <formula>0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4"/>
  <sheetViews>
    <sheetView showGridLines="0" zoomScaleNormal="100" workbookViewId="0">
      <pane ySplit="6" topLeftCell="A6130" activePane="bottomLeft" state="frozen"/>
      <selection activeCell="C37" sqref="C37"/>
      <selection pane="bottomLeft" activeCell="AW6170" sqref="AW6170"/>
    </sheetView>
  </sheetViews>
  <sheetFormatPr defaultRowHeight="15" x14ac:dyDescent="0.25"/>
  <cols>
    <col min="1" max="1" width="22.7109375" style="127" customWidth="1"/>
    <col min="2" max="2" width="22.7109375" style="24" customWidth="1"/>
    <col min="3" max="3" width="12.7109375" style="28" customWidth="1"/>
    <col min="4" max="7" width="12.7109375" style="145" customWidth="1"/>
    <col min="8" max="9" width="12.7109375" style="84" customWidth="1"/>
    <col min="10" max="10" width="12.7109375" style="110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375" customWidth="1"/>
    <col min="16" max="16" width="12.7109375" style="106" customWidth="1"/>
    <col min="17" max="17" width="12.7109375" style="163" customWidth="1"/>
    <col min="18" max="18" width="12.7109375" style="115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3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5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1" customWidth="1"/>
    <col min="35" max="35" width="12.7109375" style="126" customWidth="1"/>
    <col min="36" max="36" width="12.7109375" style="163" customWidth="1"/>
    <col min="37" max="37" width="12.7109375" style="243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1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1" customWidth="1"/>
    <col min="51" max="51" width="12.7109375" style="126" customWidth="1"/>
    <col min="52" max="52" width="12.7109375" style="115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1" customWidth="1"/>
    <col min="57" max="57" width="12.7109375" style="126" customWidth="1"/>
    <col min="58" max="58" width="12.7109375" style="115" customWidth="1"/>
    <col min="59" max="59" width="12.7109375" style="42" customWidth="1"/>
    <col min="60" max="60" width="12.7109375" style="69" customWidth="1"/>
    <col min="61" max="61" width="12.7109375" style="106" customWidth="1"/>
    <col min="62" max="62" width="12.7109375" style="121" customWidth="1"/>
    <col min="63" max="63" width="12.7109375" style="126" customWidth="1"/>
    <col min="64" max="64" width="12.7109375" style="115" customWidth="1"/>
    <col min="65" max="65" width="12.7109375" style="88" customWidth="1"/>
    <col min="66" max="66" width="12.7109375" style="69" customWidth="1"/>
    <col min="67" max="67" width="12.7109375" style="74" customWidth="1"/>
    <col min="68" max="68" width="12.7109375" style="121" customWidth="1"/>
    <col min="69" max="69" width="12.7109375" style="126" customWidth="1"/>
    <col min="70" max="70" width="12.7109375" style="115" customWidth="1"/>
    <col min="71" max="71" width="12.7109375" style="42" customWidth="1"/>
    <col min="72" max="72" width="12.7109375" style="69" customWidth="1"/>
    <col min="73" max="73" width="12.7109375" style="106" customWidth="1"/>
    <col min="74" max="74" width="12.7109375" style="121" customWidth="1"/>
    <col min="75" max="75" width="12.7109375" style="126" customWidth="1"/>
    <col min="76" max="76" width="12.7109375" style="115" customWidth="1"/>
    <col min="77" max="77" width="12.7109375" style="42" customWidth="1"/>
    <col min="78" max="78" width="12.7109375" style="69" customWidth="1"/>
    <col min="79" max="79" width="12.7109375" style="106" customWidth="1"/>
    <col min="80" max="80" width="12.7109375" style="121" customWidth="1"/>
    <col min="81" max="81" width="12.7109375" style="126" customWidth="1"/>
    <col min="82" max="82" width="12.7109375" style="115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1" customWidth="1"/>
    <col min="87" max="87" width="12.7109375" style="126" customWidth="1"/>
    <col min="88" max="88" width="12.7109375" style="115" customWidth="1"/>
    <col min="89" max="89" width="12.7109375" style="42" customWidth="1"/>
    <col min="90" max="90" width="12.7109375" style="69" customWidth="1"/>
    <col min="91" max="91" width="12.7109375" style="74" customWidth="1"/>
    <col min="92" max="92" width="12.7109375" style="121" customWidth="1"/>
    <col min="93" max="93" width="12.7109375" style="126" customWidth="1"/>
    <col min="94" max="94" width="12.7109375" style="115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1" customWidth="1"/>
    <col min="99" max="99" width="12.7109375" style="126" customWidth="1"/>
    <col min="100" max="100" width="12.7109375" style="115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1" customWidth="1"/>
    <col min="105" max="105" width="12.7109375" style="126" customWidth="1"/>
    <col min="106" max="106" width="12.7109375" style="115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1" customWidth="1"/>
    <col min="111" max="111" width="12.7109375" style="126" customWidth="1"/>
    <col min="112" max="112" width="12.7109375" style="115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1" customWidth="1"/>
    <col min="117" max="117" width="12.7109375" style="150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1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1" customWidth="1"/>
    <col min="127" max="127" width="12.7109375" style="126" customWidth="1"/>
    <col min="128" max="128" width="12.7109375" style="115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1" customWidth="1"/>
    <col min="133" max="133" width="12.7109375" style="126" customWidth="1"/>
    <col min="134" max="134" width="12.7109375" style="115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4" customWidth="1"/>
    <col min="139" max="139" width="12.7109375" style="150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0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6" customWidth="1"/>
    <col min="152" max="152" width="12.7109375" style="170" customWidth="1"/>
    <col min="153" max="153" width="12.7109375" style="88" customWidth="1"/>
    <col min="154" max="154" width="12.7109375" style="251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6" customWidth="1"/>
    <col min="161" max="161" width="12.7109375" style="170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0" customWidth="1"/>
    <col min="171" max="172" width="12.7109375" style="210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5" customWidth="1"/>
    <col min="177" max="177" width="12.7109375" style="88" customWidth="1"/>
    <col min="178" max="178" width="12.7109375" style="106" customWidth="1"/>
    <col min="179" max="179" width="12.7109375" style="150" customWidth="1"/>
    <col min="180" max="180" width="12.7109375" style="34" customWidth="1"/>
    <col min="181" max="181" width="12.7109375" style="126" customWidth="1"/>
    <col min="182" max="182" width="12.7109375" style="115" customWidth="1"/>
    <col min="183" max="183" width="12.7109375" style="88" customWidth="1"/>
    <col min="184" max="184" width="12.7109375" style="106" customWidth="1"/>
    <col min="185" max="185" width="12.7109375" style="157" customWidth="1"/>
    <col min="186" max="186" width="12.7109375" style="115" customWidth="1"/>
    <col min="187" max="187" width="12.7109375" style="88" customWidth="1"/>
    <col min="188" max="188" width="12.7109375" style="150" customWidth="1"/>
    <col min="189" max="189" width="12.7109375" style="210" customWidth="1"/>
    <col min="190" max="190" width="12.7109375" style="106" customWidth="1"/>
    <col min="191" max="191" width="12.7109375" style="251" customWidth="1"/>
    <col min="192" max="192" width="12.7109375" style="202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0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0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5" customWidth="1"/>
    <col min="210" max="210" width="12.7109375" style="277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2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5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3" customWidth="1"/>
    <col min="244" max="244" width="12.7109375" style="268" customWidth="1"/>
    <col min="245" max="246" width="12.7109375" style="262" customWidth="1"/>
    <col min="247" max="247" width="12.7109375" style="50" customWidth="1"/>
    <col min="248" max="248" width="12.7109375" style="42" customWidth="1"/>
    <col min="249" max="249" width="12.7109375" style="182" customWidth="1"/>
    <col min="250" max="257" width="12.7109375" style="262" customWidth="1"/>
    <col min="258" max="16384" width="9.140625" style="26"/>
  </cols>
  <sheetData>
    <row r="1" spans="1:257" s="24" customFormat="1" ht="20.100000000000001" customHeight="1" x14ac:dyDescent="0.25">
      <c r="A1" s="426" t="s">
        <v>86</v>
      </c>
      <c r="B1" s="426"/>
      <c r="C1" s="101" t="s">
        <v>157</v>
      </c>
      <c r="D1" s="141" t="s">
        <v>115</v>
      </c>
      <c r="E1" s="141" t="s">
        <v>115</v>
      </c>
      <c r="F1" s="141" t="s">
        <v>115</v>
      </c>
      <c r="G1" s="141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370" t="s">
        <v>3</v>
      </c>
      <c r="P1" s="102" t="s">
        <v>113</v>
      </c>
      <c r="Q1" s="159" t="s">
        <v>6</v>
      </c>
      <c r="R1" s="111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59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1" t="s">
        <v>115</v>
      </c>
      <c r="AE1" s="39" t="s">
        <v>2</v>
      </c>
      <c r="AF1" s="65" t="s">
        <v>3</v>
      </c>
      <c r="AG1" s="102" t="s">
        <v>113</v>
      </c>
      <c r="AH1" s="117" t="s">
        <v>5</v>
      </c>
      <c r="AI1" s="122" t="s">
        <v>6</v>
      </c>
      <c r="AJ1" s="159" t="s">
        <v>115</v>
      </c>
      <c r="AK1" s="239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70" t="s">
        <v>113</v>
      </c>
      <c r="AS1" s="117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17" t="s">
        <v>5</v>
      </c>
      <c r="AY1" s="122" t="s">
        <v>6</v>
      </c>
      <c r="AZ1" s="111" t="s">
        <v>115</v>
      </c>
      <c r="BA1" s="39" t="s">
        <v>2</v>
      </c>
      <c r="BB1" s="65" t="s">
        <v>3</v>
      </c>
      <c r="BC1" s="70" t="s">
        <v>113</v>
      </c>
      <c r="BD1" s="117" t="s">
        <v>5</v>
      </c>
      <c r="BE1" s="122" t="s">
        <v>6</v>
      </c>
      <c r="BF1" s="111" t="s">
        <v>115</v>
      </c>
      <c r="BG1" s="39" t="s">
        <v>2</v>
      </c>
      <c r="BH1" s="65" t="s">
        <v>3</v>
      </c>
      <c r="BI1" s="102" t="s">
        <v>113</v>
      </c>
      <c r="BJ1" s="117" t="s">
        <v>5</v>
      </c>
      <c r="BK1" s="122" t="s">
        <v>6</v>
      </c>
      <c r="BL1" s="111" t="s">
        <v>115</v>
      </c>
      <c r="BM1" s="85" t="s">
        <v>2</v>
      </c>
      <c r="BN1" s="65" t="s">
        <v>3</v>
      </c>
      <c r="BO1" s="70" t="s">
        <v>113</v>
      </c>
      <c r="BP1" s="117" t="s">
        <v>5</v>
      </c>
      <c r="BQ1" s="122" t="s">
        <v>6</v>
      </c>
      <c r="BR1" s="111" t="s">
        <v>115</v>
      </c>
      <c r="BS1" s="39" t="s">
        <v>2</v>
      </c>
      <c r="BT1" s="65" t="s">
        <v>3</v>
      </c>
      <c r="BU1" s="102" t="s">
        <v>113</v>
      </c>
      <c r="BV1" s="117" t="s">
        <v>5</v>
      </c>
      <c r="BW1" s="122" t="s">
        <v>6</v>
      </c>
      <c r="BX1" s="111" t="s">
        <v>115</v>
      </c>
      <c r="BY1" s="39" t="s">
        <v>2</v>
      </c>
      <c r="BZ1" s="65" t="s">
        <v>3</v>
      </c>
      <c r="CA1" s="102" t="s">
        <v>113</v>
      </c>
      <c r="CB1" s="117" t="s">
        <v>5</v>
      </c>
      <c r="CC1" s="122" t="s">
        <v>6</v>
      </c>
      <c r="CD1" s="111" t="s">
        <v>115</v>
      </c>
      <c r="CE1" s="39" t="s">
        <v>2</v>
      </c>
      <c r="CF1" s="65" t="s">
        <v>3</v>
      </c>
      <c r="CG1" s="102" t="s">
        <v>113</v>
      </c>
      <c r="CH1" s="117" t="s">
        <v>5</v>
      </c>
      <c r="CI1" s="122" t="s">
        <v>6</v>
      </c>
      <c r="CJ1" s="111" t="s">
        <v>115</v>
      </c>
      <c r="CK1" s="39" t="s">
        <v>2</v>
      </c>
      <c r="CL1" s="65" t="s">
        <v>3</v>
      </c>
      <c r="CM1" s="70" t="s">
        <v>113</v>
      </c>
      <c r="CN1" s="117" t="s">
        <v>5</v>
      </c>
      <c r="CO1" s="122" t="s">
        <v>6</v>
      </c>
      <c r="CP1" s="111" t="s">
        <v>115</v>
      </c>
      <c r="CQ1" s="39" t="s">
        <v>2</v>
      </c>
      <c r="CR1" s="65" t="s">
        <v>3</v>
      </c>
      <c r="CS1" s="70" t="s">
        <v>113</v>
      </c>
      <c r="CT1" s="117" t="s">
        <v>5</v>
      </c>
      <c r="CU1" s="122" t="s">
        <v>6</v>
      </c>
      <c r="CV1" s="111" t="s">
        <v>115</v>
      </c>
      <c r="CW1" s="39" t="s">
        <v>2</v>
      </c>
      <c r="CX1" s="65" t="s">
        <v>3</v>
      </c>
      <c r="CY1" s="70" t="s">
        <v>113</v>
      </c>
      <c r="CZ1" s="117" t="s">
        <v>5</v>
      </c>
      <c r="DA1" s="122" t="s">
        <v>6</v>
      </c>
      <c r="DB1" s="111" t="s">
        <v>115</v>
      </c>
      <c r="DC1" s="39" t="s">
        <v>2</v>
      </c>
      <c r="DD1" s="65" t="s">
        <v>3</v>
      </c>
      <c r="DE1" s="70" t="s">
        <v>113</v>
      </c>
      <c r="DF1" s="117" t="s">
        <v>5</v>
      </c>
      <c r="DG1" s="122" t="s">
        <v>6</v>
      </c>
      <c r="DH1" s="111" t="s">
        <v>115</v>
      </c>
      <c r="DI1" s="39" t="s">
        <v>2</v>
      </c>
      <c r="DJ1" s="65" t="s">
        <v>3</v>
      </c>
      <c r="DK1" s="70" t="s">
        <v>113</v>
      </c>
      <c r="DL1" s="117" t="s">
        <v>5</v>
      </c>
      <c r="DM1" s="146" t="s">
        <v>6</v>
      </c>
      <c r="DN1" s="39" t="s">
        <v>2</v>
      </c>
      <c r="DO1" s="65" t="s">
        <v>3</v>
      </c>
      <c r="DP1" s="70" t="s">
        <v>113</v>
      </c>
      <c r="DQ1" s="117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17" t="s">
        <v>5</v>
      </c>
      <c r="DW1" s="122" t="s">
        <v>6</v>
      </c>
      <c r="DX1" s="252" t="s">
        <v>115</v>
      </c>
      <c r="DY1" s="39" t="s">
        <v>2</v>
      </c>
      <c r="DZ1" s="65" t="s">
        <v>3</v>
      </c>
      <c r="EA1" s="70" t="s">
        <v>113</v>
      </c>
      <c r="EB1" s="117" t="s">
        <v>5</v>
      </c>
      <c r="EC1" s="122" t="s">
        <v>6</v>
      </c>
      <c r="ED1" s="252" t="s">
        <v>115</v>
      </c>
      <c r="EE1" s="39" t="s">
        <v>2</v>
      </c>
      <c r="EF1" s="65" t="s">
        <v>3</v>
      </c>
      <c r="EG1" s="70" t="s">
        <v>113</v>
      </c>
      <c r="EH1" s="190" t="s">
        <v>5</v>
      </c>
      <c r="EI1" s="146" t="s">
        <v>6</v>
      </c>
      <c r="EJ1" s="39" t="s">
        <v>2</v>
      </c>
      <c r="EK1" s="65" t="s">
        <v>3</v>
      </c>
      <c r="EL1" s="102" t="s">
        <v>113</v>
      </c>
      <c r="EM1" s="146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2" t="s">
        <v>6</v>
      </c>
      <c r="EV1" s="171" t="s">
        <v>6</v>
      </c>
      <c r="EW1" s="85" t="s">
        <v>3</v>
      </c>
      <c r="EX1" s="246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2" t="s">
        <v>6</v>
      </c>
      <c r="FE1" s="195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6" t="s">
        <v>6</v>
      </c>
      <c r="FO1" s="206" t="s">
        <v>6</v>
      </c>
      <c r="FP1" s="206" t="s">
        <v>6</v>
      </c>
      <c r="FQ1" s="39" t="s">
        <v>2</v>
      </c>
      <c r="FR1" s="65" t="s">
        <v>3</v>
      </c>
      <c r="FS1" s="102" t="s">
        <v>113</v>
      </c>
      <c r="FT1" s="111" t="s">
        <v>115</v>
      </c>
      <c r="FU1" s="85" t="s">
        <v>3</v>
      </c>
      <c r="FV1" s="102" t="s">
        <v>113</v>
      </c>
      <c r="FW1" s="146" t="s">
        <v>6</v>
      </c>
      <c r="FX1" s="238" t="s">
        <v>2</v>
      </c>
      <c r="FY1" s="289" t="s">
        <v>6</v>
      </c>
      <c r="FZ1" s="111" t="s">
        <v>115</v>
      </c>
      <c r="GA1" s="85" t="s">
        <v>3</v>
      </c>
      <c r="GB1" s="102" t="s">
        <v>113</v>
      </c>
      <c r="GC1" s="153" t="s">
        <v>6</v>
      </c>
      <c r="GD1" s="172" t="s">
        <v>115</v>
      </c>
      <c r="GE1" s="85" t="s">
        <v>3</v>
      </c>
      <c r="GF1" s="146" t="s">
        <v>6</v>
      </c>
      <c r="GG1" s="43" t="s">
        <v>6</v>
      </c>
      <c r="GH1" s="102" t="s">
        <v>113</v>
      </c>
      <c r="GI1" s="246" t="s">
        <v>6</v>
      </c>
      <c r="GJ1" s="197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79" t="s">
        <v>113</v>
      </c>
      <c r="GY1" s="39" t="s">
        <v>2</v>
      </c>
      <c r="GZ1" s="102" t="s">
        <v>113</v>
      </c>
      <c r="HA1" s="111" t="s">
        <v>115</v>
      </c>
      <c r="HB1" s="272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1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1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86" t="s">
        <v>113</v>
      </c>
      <c r="IJ1" s="256" t="s">
        <v>232</v>
      </c>
      <c r="IK1" s="257" t="s">
        <v>232</v>
      </c>
      <c r="IL1" s="257" t="s">
        <v>232</v>
      </c>
      <c r="IM1" s="47" t="s">
        <v>2</v>
      </c>
      <c r="IN1" s="39" t="s">
        <v>2</v>
      </c>
      <c r="IO1" s="181" t="s">
        <v>115</v>
      </c>
      <c r="IP1" s="257" t="s">
        <v>232</v>
      </c>
      <c r="IQ1" s="257" t="s">
        <v>232</v>
      </c>
      <c r="IR1" s="257" t="s">
        <v>232</v>
      </c>
      <c r="IS1" s="257" t="s">
        <v>232</v>
      </c>
      <c r="IT1" s="257" t="s">
        <v>232</v>
      </c>
      <c r="IU1" s="257" t="s">
        <v>232</v>
      </c>
      <c r="IV1" s="257" t="s">
        <v>232</v>
      </c>
      <c r="IW1" s="257" t="s">
        <v>232</v>
      </c>
    </row>
    <row r="2" spans="1:257" s="24" customFormat="1" ht="20.100000000000001" customHeight="1" x14ac:dyDescent="0.25">
      <c r="A2" s="426"/>
      <c r="B2" s="426"/>
      <c r="C2" s="101" t="s">
        <v>158</v>
      </c>
      <c r="D2" s="141" t="s">
        <v>7</v>
      </c>
      <c r="E2" s="141" t="s">
        <v>7</v>
      </c>
      <c r="F2" s="141" t="s">
        <v>7</v>
      </c>
      <c r="G2" s="141" t="s">
        <v>7</v>
      </c>
      <c r="H2" s="80" t="s">
        <v>7</v>
      </c>
      <c r="I2" s="98" t="s">
        <v>7</v>
      </c>
      <c r="J2" s="278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370" t="s">
        <v>7</v>
      </c>
      <c r="P2" s="102" t="s">
        <v>7</v>
      </c>
      <c r="Q2" s="159" t="s">
        <v>7</v>
      </c>
      <c r="R2" s="111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59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1" t="s">
        <v>7</v>
      </c>
      <c r="AE2" s="39" t="s">
        <v>7</v>
      </c>
      <c r="AF2" s="65" t="s">
        <v>7</v>
      </c>
      <c r="AG2" s="102" t="s">
        <v>7</v>
      </c>
      <c r="AH2" s="117" t="s">
        <v>7</v>
      </c>
      <c r="AI2" s="122" t="s">
        <v>7</v>
      </c>
      <c r="AJ2" s="159" t="s">
        <v>7</v>
      </c>
      <c r="AK2" s="239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70" t="s">
        <v>7</v>
      </c>
      <c r="AS2" s="117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17" t="s">
        <v>7</v>
      </c>
      <c r="AY2" s="122" t="s">
        <v>7</v>
      </c>
      <c r="AZ2" s="111" t="s">
        <v>7</v>
      </c>
      <c r="BA2" s="39" t="s">
        <v>7</v>
      </c>
      <c r="BB2" s="65" t="s">
        <v>7</v>
      </c>
      <c r="BC2" s="70" t="s">
        <v>7</v>
      </c>
      <c r="BD2" s="117" t="s">
        <v>7</v>
      </c>
      <c r="BE2" s="122" t="s">
        <v>7</v>
      </c>
      <c r="BF2" s="111" t="s">
        <v>7</v>
      </c>
      <c r="BG2" s="39" t="s">
        <v>7</v>
      </c>
      <c r="BH2" s="65" t="s">
        <v>7</v>
      </c>
      <c r="BI2" s="102" t="s">
        <v>7</v>
      </c>
      <c r="BJ2" s="117" t="s">
        <v>7</v>
      </c>
      <c r="BK2" s="122" t="s">
        <v>7</v>
      </c>
      <c r="BL2" s="111" t="s">
        <v>7</v>
      </c>
      <c r="BM2" s="85" t="s">
        <v>7</v>
      </c>
      <c r="BN2" s="65" t="s">
        <v>7</v>
      </c>
      <c r="BO2" s="70" t="s">
        <v>7</v>
      </c>
      <c r="BP2" s="117" t="s">
        <v>7</v>
      </c>
      <c r="BQ2" s="122" t="s">
        <v>7</v>
      </c>
      <c r="BR2" s="111" t="s">
        <v>7</v>
      </c>
      <c r="BS2" s="39" t="s">
        <v>7</v>
      </c>
      <c r="BT2" s="65" t="s">
        <v>7</v>
      </c>
      <c r="BU2" s="102" t="s">
        <v>7</v>
      </c>
      <c r="BV2" s="117" t="s">
        <v>7</v>
      </c>
      <c r="BW2" s="122" t="s">
        <v>7</v>
      </c>
      <c r="BX2" s="111" t="s">
        <v>7</v>
      </c>
      <c r="BY2" s="39" t="s">
        <v>7</v>
      </c>
      <c r="BZ2" s="65" t="s">
        <v>7</v>
      </c>
      <c r="CA2" s="102" t="s">
        <v>7</v>
      </c>
      <c r="CB2" s="117" t="s">
        <v>7</v>
      </c>
      <c r="CC2" s="122" t="s">
        <v>7</v>
      </c>
      <c r="CD2" s="111" t="s">
        <v>7</v>
      </c>
      <c r="CE2" s="39" t="s">
        <v>7</v>
      </c>
      <c r="CF2" s="65" t="s">
        <v>7</v>
      </c>
      <c r="CG2" s="102" t="s">
        <v>7</v>
      </c>
      <c r="CH2" s="117" t="s">
        <v>7</v>
      </c>
      <c r="CI2" s="122" t="s">
        <v>7</v>
      </c>
      <c r="CJ2" s="111" t="s">
        <v>7</v>
      </c>
      <c r="CK2" s="39" t="s">
        <v>7</v>
      </c>
      <c r="CL2" s="65" t="s">
        <v>7</v>
      </c>
      <c r="CM2" s="70" t="s">
        <v>7</v>
      </c>
      <c r="CN2" s="117" t="s">
        <v>7</v>
      </c>
      <c r="CO2" s="122" t="s">
        <v>7</v>
      </c>
      <c r="CP2" s="111" t="s">
        <v>7</v>
      </c>
      <c r="CQ2" s="39" t="s">
        <v>7</v>
      </c>
      <c r="CR2" s="65" t="s">
        <v>7</v>
      </c>
      <c r="CS2" s="70" t="s">
        <v>7</v>
      </c>
      <c r="CT2" s="117" t="s">
        <v>7</v>
      </c>
      <c r="CU2" s="122" t="s">
        <v>7</v>
      </c>
      <c r="CV2" s="111" t="s">
        <v>7</v>
      </c>
      <c r="CW2" s="39" t="s">
        <v>7</v>
      </c>
      <c r="CX2" s="65" t="s">
        <v>7</v>
      </c>
      <c r="CY2" s="70" t="s">
        <v>7</v>
      </c>
      <c r="CZ2" s="117" t="s">
        <v>7</v>
      </c>
      <c r="DA2" s="122" t="s">
        <v>7</v>
      </c>
      <c r="DB2" s="111" t="s">
        <v>7</v>
      </c>
      <c r="DC2" s="39" t="s">
        <v>7</v>
      </c>
      <c r="DD2" s="65" t="s">
        <v>7</v>
      </c>
      <c r="DE2" s="70" t="s">
        <v>7</v>
      </c>
      <c r="DF2" s="117" t="s">
        <v>7</v>
      </c>
      <c r="DG2" s="122" t="s">
        <v>7</v>
      </c>
      <c r="DH2" s="111" t="s">
        <v>7</v>
      </c>
      <c r="DI2" s="39" t="s">
        <v>7</v>
      </c>
      <c r="DJ2" s="65" t="s">
        <v>7</v>
      </c>
      <c r="DK2" s="70" t="s">
        <v>7</v>
      </c>
      <c r="DL2" s="117" t="s">
        <v>7</v>
      </c>
      <c r="DM2" s="146" t="s">
        <v>7</v>
      </c>
      <c r="DN2" s="39" t="s">
        <v>7</v>
      </c>
      <c r="DO2" s="65" t="s">
        <v>7</v>
      </c>
      <c r="DP2" s="70" t="s">
        <v>7</v>
      </c>
      <c r="DQ2" s="117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17" t="s">
        <v>7</v>
      </c>
      <c r="DW2" s="122" t="s">
        <v>7</v>
      </c>
      <c r="DX2" s="253" t="s">
        <v>7</v>
      </c>
      <c r="DY2" s="39" t="s">
        <v>7</v>
      </c>
      <c r="DZ2" s="65" t="s">
        <v>7</v>
      </c>
      <c r="EA2" s="70" t="s">
        <v>7</v>
      </c>
      <c r="EB2" s="117" t="s">
        <v>7</v>
      </c>
      <c r="EC2" s="122" t="s">
        <v>7</v>
      </c>
      <c r="ED2" s="252" t="s">
        <v>7</v>
      </c>
      <c r="EE2" s="39" t="s">
        <v>7</v>
      </c>
      <c r="EF2" s="65" t="s">
        <v>7</v>
      </c>
      <c r="EG2" s="70" t="s">
        <v>7</v>
      </c>
      <c r="EH2" s="190" t="s">
        <v>7</v>
      </c>
      <c r="EI2" s="146" t="s">
        <v>7</v>
      </c>
      <c r="EJ2" s="39" t="s">
        <v>7</v>
      </c>
      <c r="EK2" s="65" t="s">
        <v>7</v>
      </c>
      <c r="EL2" s="102" t="s">
        <v>7</v>
      </c>
      <c r="EM2" s="146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2" t="s">
        <v>7</v>
      </c>
      <c r="EV2" s="171" t="s">
        <v>142</v>
      </c>
      <c r="EW2" s="85" t="s">
        <v>7</v>
      </c>
      <c r="EX2" s="246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2" t="s">
        <v>9</v>
      </c>
      <c r="FE2" s="195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6" t="s">
        <v>9</v>
      </c>
      <c r="FO2" s="206" t="s">
        <v>9</v>
      </c>
      <c r="FP2" s="206" t="s">
        <v>9</v>
      </c>
      <c r="FQ2" s="39" t="s">
        <v>9</v>
      </c>
      <c r="FR2" s="65" t="s">
        <v>9</v>
      </c>
      <c r="FS2" s="102" t="s">
        <v>9</v>
      </c>
      <c r="FT2" s="111" t="s">
        <v>9</v>
      </c>
      <c r="FU2" s="85" t="s">
        <v>9</v>
      </c>
      <c r="FV2" s="102" t="s">
        <v>9</v>
      </c>
      <c r="FW2" s="146" t="s">
        <v>9</v>
      </c>
      <c r="FX2" s="31" t="s">
        <v>9</v>
      </c>
      <c r="FY2" s="289" t="s">
        <v>9</v>
      </c>
      <c r="FZ2" s="111" t="s">
        <v>9</v>
      </c>
      <c r="GA2" s="85" t="s">
        <v>9</v>
      </c>
      <c r="GB2" s="102" t="s">
        <v>9</v>
      </c>
      <c r="GC2" s="153" t="s">
        <v>9</v>
      </c>
      <c r="GD2" s="111" t="s">
        <v>9</v>
      </c>
      <c r="GE2" s="85" t="s">
        <v>9</v>
      </c>
      <c r="GF2" s="146" t="s">
        <v>9</v>
      </c>
      <c r="GG2" s="43" t="s">
        <v>227</v>
      </c>
      <c r="GH2" s="102" t="s">
        <v>9</v>
      </c>
      <c r="GI2" s="246" t="s">
        <v>9</v>
      </c>
      <c r="GJ2" s="198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6" t="s">
        <v>7</v>
      </c>
      <c r="GS2" s="95" t="s">
        <v>7</v>
      </c>
      <c r="GT2" s="107" t="s">
        <v>7</v>
      </c>
      <c r="GU2" s="95" t="s">
        <v>7</v>
      </c>
      <c r="GV2" s="100" t="s">
        <v>7</v>
      </c>
      <c r="GW2" s="89" t="s">
        <v>7</v>
      </c>
      <c r="GX2" s="279" t="s">
        <v>7</v>
      </c>
      <c r="GY2" s="39" t="s">
        <v>7</v>
      </c>
      <c r="GZ2" s="102" t="s">
        <v>7</v>
      </c>
      <c r="HA2" s="111" t="s">
        <v>7</v>
      </c>
      <c r="HB2" s="272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1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1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86" t="s">
        <v>7</v>
      </c>
      <c r="IJ2" s="256" t="s">
        <v>232</v>
      </c>
      <c r="IK2" s="257" t="s">
        <v>232</v>
      </c>
      <c r="IL2" s="257" t="s">
        <v>232</v>
      </c>
      <c r="IM2" s="47" t="s">
        <v>234</v>
      </c>
      <c r="IN2" s="39" t="s">
        <v>234</v>
      </c>
      <c r="IO2" s="181" t="s">
        <v>8</v>
      </c>
      <c r="IP2" s="257" t="s">
        <v>232</v>
      </c>
      <c r="IQ2" s="257" t="s">
        <v>232</v>
      </c>
      <c r="IR2" s="257" t="s">
        <v>232</v>
      </c>
      <c r="IS2" s="257" t="s">
        <v>232</v>
      </c>
      <c r="IT2" s="257" t="s">
        <v>232</v>
      </c>
      <c r="IU2" s="257" t="s">
        <v>232</v>
      </c>
      <c r="IV2" s="257" t="s">
        <v>232</v>
      </c>
      <c r="IW2" s="257" t="s">
        <v>232</v>
      </c>
    </row>
    <row r="3" spans="1:257" s="24" customFormat="1" ht="20.100000000000001" customHeight="1" x14ac:dyDescent="0.25">
      <c r="A3" s="426"/>
      <c r="B3" s="426"/>
      <c r="C3" s="101" t="s">
        <v>159</v>
      </c>
      <c r="D3" s="141" t="s">
        <v>128</v>
      </c>
      <c r="E3" s="141" t="s">
        <v>128</v>
      </c>
      <c r="F3" s="141" t="s">
        <v>128</v>
      </c>
      <c r="G3" s="141" t="s">
        <v>128</v>
      </c>
      <c r="H3" s="80" t="s">
        <v>55</v>
      </c>
      <c r="I3" s="98" t="s">
        <v>55</v>
      </c>
      <c r="J3" s="278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370" t="s">
        <v>55</v>
      </c>
      <c r="P3" s="102" t="s">
        <v>55</v>
      </c>
      <c r="Q3" s="159" t="s">
        <v>55</v>
      </c>
      <c r="R3" s="111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59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1" t="s">
        <v>55</v>
      </c>
      <c r="AE3" s="39" t="s">
        <v>55</v>
      </c>
      <c r="AF3" s="65" t="s">
        <v>55</v>
      </c>
      <c r="AG3" s="102" t="s">
        <v>55</v>
      </c>
      <c r="AH3" s="117" t="s">
        <v>55</v>
      </c>
      <c r="AI3" s="122" t="s">
        <v>55</v>
      </c>
      <c r="AJ3" s="159" t="s">
        <v>55</v>
      </c>
      <c r="AK3" s="239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70" t="s">
        <v>55</v>
      </c>
      <c r="AS3" s="117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17" t="s">
        <v>55</v>
      </c>
      <c r="AY3" s="122" t="s">
        <v>55</v>
      </c>
      <c r="AZ3" s="111" t="s">
        <v>55</v>
      </c>
      <c r="BA3" s="39" t="s">
        <v>55</v>
      </c>
      <c r="BB3" s="65" t="s">
        <v>55</v>
      </c>
      <c r="BC3" s="70" t="s">
        <v>55</v>
      </c>
      <c r="BD3" s="117" t="s">
        <v>55</v>
      </c>
      <c r="BE3" s="122" t="s">
        <v>55</v>
      </c>
      <c r="BF3" s="111" t="s">
        <v>55</v>
      </c>
      <c r="BG3" s="39" t="s">
        <v>55</v>
      </c>
      <c r="BH3" s="65" t="s">
        <v>55</v>
      </c>
      <c r="BI3" s="102" t="s">
        <v>55</v>
      </c>
      <c r="BJ3" s="117" t="s">
        <v>55</v>
      </c>
      <c r="BK3" s="122" t="s">
        <v>55</v>
      </c>
      <c r="BL3" s="111" t="s">
        <v>55</v>
      </c>
      <c r="BM3" s="85" t="s">
        <v>55</v>
      </c>
      <c r="BN3" s="65" t="s">
        <v>55</v>
      </c>
      <c r="BO3" s="70" t="s">
        <v>55</v>
      </c>
      <c r="BP3" s="117" t="s">
        <v>55</v>
      </c>
      <c r="BQ3" s="122" t="s">
        <v>55</v>
      </c>
      <c r="BR3" s="111" t="s">
        <v>55</v>
      </c>
      <c r="BS3" s="39" t="s">
        <v>55</v>
      </c>
      <c r="BT3" s="65" t="s">
        <v>55</v>
      </c>
      <c r="BU3" s="102" t="s">
        <v>55</v>
      </c>
      <c r="BV3" s="117" t="s">
        <v>55</v>
      </c>
      <c r="BW3" s="122" t="s">
        <v>55</v>
      </c>
      <c r="BX3" s="111" t="s">
        <v>55</v>
      </c>
      <c r="BY3" s="39" t="s">
        <v>55</v>
      </c>
      <c r="BZ3" s="65" t="s">
        <v>55</v>
      </c>
      <c r="CA3" s="102" t="s">
        <v>55</v>
      </c>
      <c r="CB3" s="117" t="s">
        <v>55</v>
      </c>
      <c r="CC3" s="122" t="s">
        <v>55</v>
      </c>
      <c r="CD3" s="111" t="s">
        <v>55</v>
      </c>
      <c r="CE3" s="39" t="s">
        <v>55</v>
      </c>
      <c r="CF3" s="65" t="s">
        <v>55</v>
      </c>
      <c r="CG3" s="102" t="s">
        <v>55</v>
      </c>
      <c r="CH3" s="117" t="s">
        <v>55</v>
      </c>
      <c r="CI3" s="122" t="s">
        <v>55</v>
      </c>
      <c r="CJ3" s="111" t="s">
        <v>55</v>
      </c>
      <c r="CK3" s="39" t="s">
        <v>55</v>
      </c>
      <c r="CL3" s="65" t="s">
        <v>55</v>
      </c>
      <c r="CM3" s="70" t="s">
        <v>55</v>
      </c>
      <c r="CN3" s="117" t="s">
        <v>55</v>
      </c>
      <c r="CO3" s="122" t="s">
        <v>55</v>
      </c>
      <c r="CP3" s="111" t="s">
        <v>55</v>
      </c>
      <c r="CQ3" s="39" t="s">
        <v>55</v>
      </c>
      <c r="CR3" s="65" t="s">
        <v>55</v>
      </c>
      <c r="CS3" s="70" t="s">
        <v>55</v>
      </c>
      <c r="CT3" s="117" t="s">
        <v>55</v>
      </c>
      <c r="CU3" s="122" t="s">
        <v>55</v>
      </c>
      <c r="CV3" s="111" t="s">
        <v>55</v>
      </c>
      <c r="CW3" s="39" t="s">
        <v>55</v>
      </c>
      <c r="CX3" s="65" t="s">
        <v>55</v>
      </c>
      <c r="CY3" s="70" t="s">
        <v>55</v>
      </c>
      <c r="CZ3" s="117" t="s">
        <v>55</v>
      </c>
      <c r="DA3" s="122" t="s">
        <v>55</v>
      </c>
      <c r="DB3" s="111" t="s">
        <v>55</v>
      </c>
      <c r="DC3" s="39" t="s">
        <v>55</v>
      </c>
      <c r="DD3" s="65" t="s">
        <v>55</v>
      </c>
      <c r="DE3" s="70" t="s">
        <v>55</v>
      </c>
      <c r="DF3" s="117" t="s">
        <v>55</v>
      </c>
      <c r="DG3" s="122" t="s">
        <v>55</v>
      </c>
      <c r="DH3" s="111" t="s">
        <v>55</v>
      </c>
      <c r="DI3" s="39" t="s">
        <v>55</v>
      </c>
      <c r="DJ3" s="65" t="s">
        <v>55</v>
      </c>
      <c r="DK3" s="70" t="s">
        <v>55</v>
      </c>
      <c r="DL3" s="117" t="s">
        <v>55</v>
      </c>
      <c r="DM3" s="146" t="s">
        <v>55</v>
      </c>
      <c r="DN3" s="39" t="s">
        <v>55</v>
      </c>
      <c r="DO3" s="65" t="s">
        <v>55</v>
      </c>
      <c r="DP3" s="70" t="s">
        <v>55</v>
      </c>
      <c r="DQ3" s="117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17" t="s">
        <v>55</v>
      </c>
      <c r="DW3" s="122" t="s">
        <v>55</v>
      </c>
      <c r="DX3" s="253" t="s">
        <v>55</v>
      </c>
      <c r="DY3" s="39" t="s">
        <v>55</v>
      </c>
      <c r="DZ3" s="65" t="s">
        <v>55</v>
      </c>
      <c r="EA3" s="70" t="s">
        <v>55</v>
      </c>
      <c r="EB3" s="117" t="s">
        <v>55</v>
      </c>
      <c r="EC3" s="122" t="s">
        <v>55</v>
      </c>
      <c r="ED3" s="252" t="s">
        <v>55</v>
      </c>
      <c r="EE3" s="39" t="s">
        <v>55</v>
      </c>
      <c r="EF3" s="65" t="s">
        <v>55</v>
      </c>
      <c r="EG3" s="70" t="s">
        <v>55</v>
      </c>
      <c r="EH3" s="190" t="s">
        <v>55</v>
      </c>
      <c r="EI3" s="146" t="s">
        <v>55</v>
      </c>
      <c r="EJ3" s="39" t="s">
        <v>55</v>
      </c>
      <c r="EK3" s="65" t="s">
        <v>55</v>
      </c>
      <c r="EL3" s="102" t="s">
        <v>55</v>
      </c>
      <c r="EM3" s="146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2" t="s">
        <v>55</v>
      </c>
      <c r="EV3" s="171" t="s">
        <v>55</v>
      </c>
      <c r="EW3" s="85" t="s">
        <v>55</v>
      </c>
      <c r="EX3" s="246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2" t="s">
        <v>55</v>
      </c>
      <c r="FE3" s="195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6" t="s">
        <v>55</v>
      </c>
      <c r="FO3" s="206" t="s">
        <v>55</v>
      </c>
      <c r="FP3" s="206" t="s">
        <v>55</v>
      </c>
      <c r="FQ3" s="39" t="s">
        <v>55</v>
      </c>
      <c r="FR3" s="65" t="s">
        <v>55</v>
      </c>
      <c r="FS3" s="102" t="s">
        <v>55</v>
      </c>
      <c r="FT3" s="111" t="s">
        <v>55</v>
      </c>
      <c r="FU3" s="85" t="s">
        <v>55</v>
      </c>
      <c r="FV3" s="102" t="s">
        <v>55</v>
      </c>
      <c r="FW3" s="146" t="s">
        <v>55</v>
      </c>
      <c r="FX3" s="31" t="s">
        <v>55</v>
      </c>
      <c r="FY3" s="289" t="s">
        <v>55</v>
      </c>
      <c r="FZ3" s="111" t="s">
        <v>55</v>
      </c>
      <c r="GA3" s="85" t="s">
        <v>55</v>
      </c>
      <c r="GB3" s="102" t="s">
        <v>55</v>
      </c>
      <c r="GC3" s="153" t="s">
        <v>55</v>
      </c>
      <c r="GD3" s="111" t="s">
        <v>55</v>
      </c>
      <c r="GE3" s="85" t="s">
        <v>55</v>
      </c>
      <c r="GF3" s="146" t="s">
        <v>55</v>
      </c>
      <c r="GG3" s="43" t="s">
        <v>55</v>
      </c>
      <c r="GH3" s="102" t="s">
        <v>55</v>
      </c>
      <c r="GI3" s="246" t="s">
        <v>55</v>
      </c>
      <c r="GJ3" s="197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79" t="s">
        <v>30</v>
      </c>
      <c r="GY3" s="39" t="s">
        <v>30</v>
      </c>
      <c r="GZ3" s="102" t="s">
        <v>30</v>
      </c>
      <c r="HA3" s="111" t="s">
        <v>30</v>
      </c>
      <c r="HB3" s="272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1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1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86" t="s">
        <v>30</v>
      </c>
      <c r="IJ3" s="256" t="s">
        <v>10</v>
      </c>
      <c r="IK3" s="257" t="s">
        <v>10</v>
      </c>
      <c r="IL3" s="257" t="s">
        <v>10</v>
      </c>
      <c r="IM3" s="47" t="s">
        <v>10</v>
      </c>
      <c r="IN3" s="39" t="s">
        <v>10</v>
      </c>
      <c r="IO3" s="181" t="s">
        <v>10</v>
      </c>
      <c r="IP3" s="257" t="s">
        <v>10</v>
      </c>
      <c r="IQ3" s="257" t="s">
        <v>10</v>
      </c>
      <c r="IR3" s="257" t="s">
        <v>10</v>
      </c>
      <c r="IS3" s="257" t="s">
        <v>10</v>
      </c>
      <c r="IT3" s="257" t="s">
        <v>10</v>
      </c>
      <c r="IU3" s="257" t="s">
        <v>10</v>
      </c>
      <c r="IV3" s="257" t="s">
        <v>10</v>
      </c>
      <c r="IW3" s="257" t="s">
        <v>10</v>
      </c>
    </row>
    <row r="4" spans="1:257" s="25" customFormat="1" ht="30" customHeight="1" x14ac:dyDescent="0.25">
      <c r="A4" s="426"/>
      <c r="B4" s="426"/>
      <c r="C4" s="101" t="s">
        <v>160</v>
      </c>
      <c r="D4" s="142">
        <v>0.4</v>
      </c>
      <c r="E4" s="142">
        <v>0.5</v>
      </c>
      <c r="F4" s="142">
        <v>0.6</v>
      </c>
      <c r="G4" s="142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371">
        <v>0.25</v>
      </c>
      <c r="P4" s="103">
        <v>0.25</v>
      </c>
      <c r="Q4" s="160">
        <v>0.25</v>
      </c>
      <c r="R4" s="112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0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2">
        <v>0.4</v>
      </c>
      <c r="AE4" s="40">
        <v>0.45</v>
      </c>
      <c r="AF4" s="66">
        <v>0.45</v>
      </c>
      <c r="AG4" s="103">
        <v>0.45</v>
      </c>
      <c r="AH4" s="118">
        <v>0.45</v>
      </c>
      <c r="AI4" s="123">
        <v>0.45</v>
      </c>
      <c r="AJ4" s="160">
        <v>0.45</v>
      </c>
      <c r="AK4" s="240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18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18">
        <v>0.6</v>
      </c>
      <c r="AY4" s="123">
        <v>0.6</v>
      </c>
      <c r="AZ4" s="112">
        <v>0.6</v>
      </c>
      <c r="BA4" s="40">
        <v>0.65</v>
      </c>
      <c r="BB4" s="66">
        <v>0.65</v>
      </c>
      <c r="BC4" s="71">
        <v>0.65</v>
      </c>
      <c r="BD4" s="118">
        <v>0.65</v>
      </c>
      <c r="BE4" s="123">
        <v>0.65</v>
      </c>
      <c r="BF4" s="112">
        <v>0.65</v>
      </c>
      <c r="BG4" s="40">
        <v>0.7</v>
      </c>
      <c r="BH4" s="66">
        <v>0.7</v>
      </c>
      <c r="BI4" s="103">
        <v>0.7</v>
      </c>
      <c r="BJ4" s="118">
        <v>0.7</v>
      </c>
      <c r="BK4" s="123">
        <v>0.7</v>
      </c>
      <c r="BL4" s="112">
        <v>0.7</v>
      </c>
      <c r="BM4" s="86">
        <v>0.75</v>
      </c>
      <c r="BN4" s="66">
        <v>0.75</v>
      </c>
      <c r="BO4" s="71">
        <v>0.75</v>
      </c>
      <c r="BP4" s="118">
        <v>0.75</v>
      </c>
      <c r="BQ4" s="123">
        <v>0.75</v>
      </c>
      <c r="BR4" s="112">
        <v>0.75</v>
      </c>
      <c r="BS4" s="40">
        <v>0.8</v>
      </c>
      <c r="BT4" s="66">
        <v>0.8</v>
      </c>
      <c r="BU4" s="103">
        <v>0.8</v>
      </c>
      <c r="BV4" s="118">
        <v>0.8</v>
      </c>
      <c r="BW4" s="123">
        <v>0.8</v>
      </c>
      <c r="BX4" s="112">
        <v>0.8</v>
      </c>
      <c r="BY4" s="40">
        <v>0.85</v>
      </c>
      <c r="BZ4" s="66">
        <v>0.85</v>
      </c>
      <c r="CA4" s="103">
        <v>0.85</v>
      </c>
      <c r="CB4" s="118">
        <v>0.85</v>
      </c>
      <c r="CC4" s="123">
        <v>0.85</v>
      </c>
      <c r="CD4" s="112">
        <v>0.85</v>
      </c>
      <c r="CE4" s="40">
        <v>0.9</v>
      </c>
      <c r="CF4" s="66">
        <v>0.9</v>
      </c>
      <c r="CG4" s="103">
        <v>0.9</v>
      </c>
      <c r="CH4" s="118">
        <v>0.9</v>
      </c>
      <c r="CI4" s="123">
        <v>0.9</v>
      </c>
      <c r="CJ4" s="112">
        <v>0.9</v>
      </c>
      <c r="CK4" s="40">
        <v>0.95</v>
      </c>
      <c r="CL4" s="66">
        <v>0.95</v>
      </c>
      <c r="CM4" s="71">
        <v>0.95</v>
      </c>
      <c r="CN4" s="118">
        <v>0.95</v>
      </c>
      <c r="CO4" s="123">
        <v>0.95</v>
      </c>
      <c r="CP4" s="112">
        <v>0.95</v>
      </c>
      <c r="CQ4" s="40">
        <v>1</v>
      </c>
      <c r="CR4" s="66">
        <v>1</v>
      </c>
      <c r="CS4" s="71">
        <v>1</v>
      </c>
      <c r="CT4" s="118">
        <v>1</v>
      </c>
      <c r="CU4" s="123">
        <v>1</v>
      </c>
      <c r="CV4" s="112">
        <v>1</v>
      </c>
      <c r="CW4" s="40">
        <v>1.05</v>
      </c>
      <c r="CX4" s="66">
        <v>1.05</v>
      </c>
      <c r="CY4" s="71">
        <v>1.05</v>
      </c>
      <c r="CZ4" s="118">
        <v>1.05</v>
      </c>
      <c r="DA4" s="123">
        <v>1.05</v>
      </c>
      <c r="DB4" s="112">
        <v>1.05</v>
      </c>
      <c r="DC4" s="40">
        <v>1.1000000000000001</v>
      </c>
      <c r="DD4" s="66">
        <v>1.1000000000000001</v>
      </c>
      <c r="DE4" s="71">
        <v>1.1000000000000001</v>
      </c>
      <c r="DF4" s="118">
        <v>1.1000000000000001</v>
      </c>
      <c r="DG4" s="123">
        <v>1.1000000000000001</v>
      </c>
      <c r="DH4" s="112">
        <v>1.1000000000000001</v>
      </c>
      <c r="DI4" s="40">
        <v>1.1499999999999999</v>
      </c>
      <c r="DJ4" s="66">
        <v>1.1499999999999999</v>
      </c>
      <c r="DK4" s="71">
        <v>1.1499999999999999</v>
      </c>
      <c r="DL4" s="118">
        <v>1.1499999999999999</v>
      </c>
      <c r="DM4" s="147">
        <v>1.1499999999999999</v>
      </c>
      <c r="DN4" s="40">
        <v>1.2</v>
      </c>
      <c r="DO4" s="66">
        <v>1.2</v>
      </c>
      <c r="DP4" s="71">
        <v>1.2</v>
      </c>
      <c r="DQ4" s="118">
        <v>1.2</v>
      </c>
      <c r="DR4" s="44">
        <v>1.2</v>
      </c>
      <c r="DS4" s="40">
        <v>1.25</v>
      </c>
      <c r="DT4" s="66">
        <v>1.25</v>
      </c>
      <c r="DU4" s="103">
        <v>1.25</v>
      </c>
      <c r="DV4" s="118">
        <v>1.25</v>
      </c>
      <c r="DW4" s="123">
        <v>1.25</v>
      </c>
      <c r="DX4" s="112">
        <v>1.25</v>
      </c>
      <c r="DY4" s="40">
        <v>1.3</v>
      </c>
      <c r="DZ4" s="66">
        <v>1.3</v>
      </c>
      <c r="EA4" s="71">
        <v>1.3</v>
      </c>
      <c r="EB4" s="118">
        <v>1.3</v>
      </c>
      <c r="EC4" s="123">
        <v>1.3</v>
      </c>
      <c r="ED4" s="112">
        <v>1.3</v>
      </c>
      <c r="EE4" s="40">
        <v>1.35</v>
      </c>
      <c r="EF4" s="66">
        <v>1.35</v>
      </c>
      <c r="EG4" s="71">
        <v>1.35</v>
      </c>
      <c r="EH4" s="191">
        <v>1.35</v>
      </c>
      <c r="EI4" s="147">
        <v>1.35</v>
      </c>
      <c r="EJ4" s="40">
        <v>1.4</v>
      </c>
      <c r="EK4" s="66">
        <v>1.4</v>
      </c>
      <c r="EL4" s="103">
        <v>1.4</v>
      </c>
      <c r="EM4" s="147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3">
        <v>1.5</v>
      </c>
      <c r="EV4" s="168">
        <v>1.55</v>
      </c>
      <c r="EW4" s="86">
        <v>1.6</v>
      </c>
      <c r="EX4" s="247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3">
        <v>1.8</v>
      </c>
      <c r="FE4" s="168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47">
        <v>2.2000000000000002</v>
      </c>
      <c r="FO4" s="207">
        <v>2.2999999999999998</v>
      </c>
      <c r="FP4" s="207">
        <v>2.4</v>
      </c>
      <c r="FQ4" s="40">
        <v>2.5</v>
      </c>
      <c r="FR4" s="66">
        <v>2.5</v>
      </c>
      <c r="FS4" s="103">
        <v>2.5</v>
      </c>
      <c r="FT4" s="112">
        <v>2.5</v>
      </c>
      <c r="FU4" s="86">
        <v>2.6</v>
      </c>
      <c r="FV4" s="103">
        <v>2.6</v>
      </c>
      <c r="FW4" s="147">
        <v>2.6</v>
      </c>
      <c r="FX4" s="32">
        <v>2.7</v>
      </c>
      <c r="FY4" s="123">
        <v>2.7</v>
      </c>
      <c r="FZ4" s="112">
        <v>2.7</v>
      </c>
      <c r="GA4" s="86">
        <v>3</v>
      </c>
      <c r="GB4" s="103">
        <v>3</v>
      </c>
      <c r="GC4" s="154">
        <v>3</v>
      </c>
      <c r="GD4" s="112">
        <v>3</v>
      </c>
      <c r="GE4" s="86">
        <v>3.2</v>
      </c>
      <c r="GF4" s="147">
        <v>3.2</v>
      </c>
      <c r="GG4" s="207">
        <v>3.5</v>
      </c>
      <c r="GH4" s="103">
        <v>3.65</v>
      </c>
      <c r="GI4" s="247">
        <v>4</v>
      </c>
      <c r="GJ4" s="199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2">
        <v>0.2</v>
      </c>
      <c r="HB4" s="273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1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2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0">
        <v>0.95</v>
      </c>
      <c r="IJ4" s="258">
        <v>0.3</v>
      </c>
      <c r="IK4" s="259">
        <v>0.5</v>
      </c>
      <c r="IL4" s="259">
        <v>0.55000000000000004</v>
      </c>
      <c r="IM4" s="48">
        <v>0.6</v>
      </c>
      <c r="IN4" s="40">
        <v>0.7</v>
      </c>
      <c r="IO4" s="151">
        <v>0.7</v>
      </c>
      <c r="IP4" s="259">
        <v>1</v>
      </c>
      <c r="IQ4" s="259">
        <v>1.2</v>
      </c>
      <c r="IR4" s="259">
        <v>1.3</v>
      </c>
      <c r="IS4" s="259">
        <v>1.4</v>
      </c>
      <c r="IT4" s="259">
        <v>1.6</v>
      </c>
      <c r="IU4" s="259">
        <v>1.7</v>
      </c>
      <c r="IV4" s="259">
        <v>1.8</v>
      </c>
      <c r="IW4" s="259">
        <v>3.5</v>
      </c>
    </row>
    <row r="5" spans="1:257" ht="6.75" customHeight="1" x14ac:dyDescent="0.65">
      <c r="A5" s="426"/>
      <c r="B5" s="426"/>
      <c r="C5" s="99"/>
      <c r="D5" s="113"/>
      <c r="E5" s="143"/>
      <c r="F5" s="143"/>
      <c r="G5" s="143"/>
      <c r="H5" s="82"/>
      <c r="I5" s="82"/>
      <c r="J5" s="108"/>
      <c r="K5" s="41"/>
      <c r="L5" s="67"/>
      <c r="M5" s="91"/>
      <c r="N5" s="41"/>
      <c r="O5" s="372"/>
      <c r="P5" s="104"/>
      <c r="Q5" s="161"/>
      <c r="R5" s="113"/>
      <c r="S5" s="72"/>
      <c r="T5" s="41"/>
      <c r="U5" s="67"/>
      <c r="V5" s="72"/>
      <c r="W5" s="161"/>
      <c r="X5" s="41"/>
      <c r="Y5" s="67"/>
      <c r="Z5" s="77"/>
      <c r="AA5" s="41"/>
      <c r="AB5" s="67"/>
      <c r="AC5" s="72"/>
      <c r="AD5" s="113"/>
      <c r="AE5" s="41"/>
      <c r="AF5" s="67"/>
      <c r="AG5" s="104"/>
      <c r="AH5" s="119"/>
      <c r="AI5" s="124"/>
      <c r="AJ5" s="161"/>
      <c r="AK5" s="241"/>
      <c r="AL5" s="41"/>
      <c r="AM5" s="67"/>
      <c r="AN5" s="72"/>
      <c r="AO5" s="45"/>
      <c r="AP5" s="41"/>
      <c r="AQ5" s="67"/>
      <c r="AR5" s="72"/>
      <c r="AS5" s="119"/>
      <c r="AT5" s="45"/>
      <c r="AU5" s="41"/>
      <c r="AV5" s="67"/>
      <c r="AW5" s="72"/>
      <c r="AX5" s="119"/>
      <c r="AY5" s="124"/>
      <c r="AZ5" s="113"/>
      <c r="BA5" s="41"/>
      <c r="BB5" s="67"/>
      <c r="BC5" s="72"/>
      <c r="BD5" s="119"/>
      <c r="BE5" s="124"/>
      <c r="BF5" s="113"/>
      <c r="BG5" s="41"/>
      <c r="BH5" s="67"/>
      <c r="BI5" s="104"/>
      <c r="BJ5" s="119"/>
      <c r="BK5" s="124"/>
      <c r="BL5" s="113"/>
      <c r="BM5" s="87"/>
      <c r="BN5" s="67"/>
      <c r="BO5" s="72"/>
      <c r="BP5" s="119"/>
      <c r="BQ5" s="124"/>
      <c r="BR5" s="113"/>
      <c r="BS5" s="41"/>
      <c r="BT5" s="67"/>
      <c r="BU5" s="104"/>
      <c r="BV5" s="119"/>
      <c r="BW5" s="124"/>
      <c r="BX5" s="113"/>
      <c r="BY5" s="41"/>
      <c r="BZ5" s="67"/>
      <c r="CA5" s="104"/>
      <c r="CB5" s="119"/>
      <c r="CC5" s="124"/>
      <c r="CD5" s="113"/>
      <c r="CE5" s="41"/>
      <c r="CF5" s="67"/>
      <c r="CG5" s="104"/>
      <c r="CH5" s="119"/>
      <c r="CI5" s="124"/>
      <c r="CJ5" s="113"/>
      <c r="CK5" s="41"/>
      <c r="CL5" s="67"/>
      <c r="CM5" s="72"/>
      <c r="CN5" s="119"/>
      <c r="CO5" s="124"/>
      <c r="CP5" s="113"/>
      <c r="CQ5" s="41"/>
      <c r="CR5" s="67"/>
      <c r="CS5" s="72"/>
      <c r="CT5" s="119"/>
      <c r="CU5" s="124"/>
      <c r="CV5" s="113"/>
      <c r="CW5" s="41"/>
      <c r="CX5" s="67"/>
      <c r="CY5" s="72"/>
      <c r="CZ5" s="119"/>
      <c r="DA5" s="124"/>
      <c r="DB5" s="113"/>
      <c r="DC5" s="41"/>
      <c r="DD5" s="67"/>
      <c r="DE5" s="72"/>
      <c r="DF5" s="119"/>
      <c r="DG5" s="124"/>
      <c r="DH5" s="113"/>
      <c r="DI5" s="41"/>
      <c r="DJ5" s="67"/>
      <c r="DK5" s="72"/>
      <c r="DL5" s="119"/>
      <c r="DM5" s="148"/>
      <c r="DN5" s="41"/>
      <c r="DO5" s="67"/>
      <c r="DP5" s="72"/>
      <c r="DQ5" s="119"/>
      <c r="DR5" s="45"/>
      <c r="DS5" s="41"/>
      <c r="DT5" s="67"/>
      <c r="DU5" s="104"/>
      <c r="DV5" s="119"/>
      <c r="DW5" s="124"/>
      <c r="DX5" s="113"/>
      <c r="DY5" s="41"/>
      <c r="DZ5" s="67"/>
      <c r="EA5" s="72"/>
      <c r="EB5" s="119"/>
      <c r="EC5" s="124"/>
      <c r="ED5" s="113"/>
      <c r="EE5" s="41"/>
      <c r="EF5" s="67"/>
      <c r="EG5" s="72"/>
      <c r="EH5" s="192"/>
      <c r="EI5" s="148"/>
      <c r="EJ5" s="41"/>
      <c r="EK5" s="67"/>
      <c r="EL5" s="104"/>
      <c r="EM5" s="148"/>
      <c r="EN5" s="41"/>
      <c r="EO5" s="67"/>
      <c r="EP5" s="72"/>
      <c r="EQ5" s="45"/>
      <c r="ER5" s="41"/>
      <c r="ES5" s="67"/>
      <c r="ET5" s="104"/>
      <c r="EU5" s="124"/>
      <c r="EV5" s="169"/>
      <c r="EW5" s="87"/>
      <c r="EX5" s="248"/>
      <c r="EY5" s="87"/>
      <c r="EZ5" s="91"/>
      <c r="FA5" s="41"/>
      <c r="FB5" s="67"/>
      <c r="FC5" s="104"/>
      <c r="FD5" s="124"/>
      <c r="FE5" s="169"/>
      <c r="FF5" s="87"/>
      <c r="FG5" s="72"/>
      <c r="FH5" s="45"/>
      <c r="FI5" s="41"/>
      <c r="FJ5" s="67"/>
      <c r="FK5" s="104"/>
      <c r="FL5" s="45"/>
      <c r="FM5" s="41"/>
      <c r="FN5" s="148"/>
      <c r="FO5" s="208"/>
      <c r="FP5" s="208"/>
      <c r="FQ5" s="41"/>
      <c r="FR5" s="67"/>
      <c r="FS5" s="104"/>
      <c r="FT5" s="113"/>
      <c r="FU5" s="87"/>
      <c r="FV5" s="104"/>
      <c r="FW5" s="148"/>
      <c r="FX5" s="33"/>
      <c r="FY5" s="124"/>
      <c r="FZ5" s="113"/>
      <c r="GA5" s="87"/>
      <c r="GB5" s="104"/>
      <c r="GC5" s="155"/>
      <c r="GD5" s="113"/>
      <c r="GE5" s="87"/>
      <c r="GF5" s="148"/>
      <c r="GG5" s="208"/>
      <c r="GH5" s="104"/>
      <c r="GI5" s="248"/>
      <c r="GJ5" s="200"/>
      <c r="GK5" s="77"/>
      <c r="GL5" s="41"/>
      <c r="GM5" s="91"/>
      <c r="GN5" s="108"/>
      <c r="GO5" s="108"/>
      <c r="GP5" s="41"/>
      <c r="GQ5" s="91"/>
      <c r="GR5" s="49"/>
      <c r="GS5" s="108"/>
      <c r="GT5" s="108"/>
      <c r="GU5" s="108"/>
      <c r="GV5" s="41"/>
      <c r="GW5" s="91"/>
      <c r="GX5" s="104"/>
      <c r="GY5" s="41"/>
      <c r="GZ5" s="104"/>
      <c r="HA5" s="113"/>
      <c r="HB5" s="274"/>
      <c r="HC5" s="41"/>
      <c r="HD5" s="91"/>
      <c r="HE5" s="41"/>
      <c r="HF5" s="77"/>
      <c r="HG5" s="41"/>
      <c r="HH5" s="104"/>
      <c r="HI5" s="152"/>
      <c r="HJ5" s="77"/>
      <c r="HK5" s="49"/>
      <c r="HL5" s="41"/>
      <c r="HM5" s="104"/>
      <c r="HN5" s="113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1"/>
      <c r="IJ5" s="260"/>
      <c r="IK5" s="261"/>
    </row>
    <row r="6" spans="1:257" s="236" customFormat="1" ht="27.95" customHeight="1" thickBot="1" x14ac:dyDescent="0.3">
      <c r="A6" s="211" t="s">
        <v>11</v>
      </c>
      <c r="B6" s="211" t="s">
        <v>208</v>
      </c>
      <c r="C6" s="212">
        <f>SUM(D6:IW6)</f>
        <v>3245.5729999999999</v>
      </c>
      <c r="D6" s="214">
        <f t="shared" ref="D6:BO6" si="0">SUM(D8:D1048576)</f>
        <v>0</v>
      </c>
      <c r="E6" s="214">
        <f t="shared" si="0"/>
        <v>0</v>
      </c>
      <c r="F6" s="214">
        <f t="shared" si="0"/>
        <v>0</v>
      </c>
      <c r="G6" s="214">
        <f t="shared" si="0"/>
        <v>0</v>
      </c>
      <c r="H6" s="215">
        <f t="shared" si="0"/>
        <v>92.75</v>
      </c>
      <c r="I6" s="215">
        <f t="shared" si="0"/>
        <v>38.11</v>
      </c>
      <c r="J6" s="234">
        <f t="shared" si="0"/>
        <v>0</v>
      </c>
      <c r="K6" s="216">
        <f t="shared" si="0"/>
        <v>0</v>
      </c>
      <c r="L6" s="217">
        <f t="shared" si="0"/>
        <v>0</v>
      </c>
      <c r="M6" s="218">
        <f t="shared" si="0"/>
        <v>0</v>
      </c>
      <c r="N6" s="216">
        <f t="shared" si="0"/>
        <v>0</v>
      </c>
      <c r="O6" s="373">
        <f t="shared" si="0"/>
        <v>8.6150000000000002</v>
      </c>
      <c r="P6" s="228">
        <f t="shared" si="0"/>
        <v>0</v>
      </c>
      <c r="Q6" s="221">
        <f t="shared" si="0"/>
        <v>0</v>
      </c>
      <c r="R6" s="214">
        <f t="shared" si="0"/>
        <v>0</v>
      </c>
      <c r="S6" s="220">
        <f t="shared" si="0"/>
        <v>98.29</v>
      </c>
      <c r="T6" s="216">
        <f t="shared" si="0"/>
        <v>0</v>
      </c>
      <c r="U6" s="217">
        <f t="shared" si="0"/>
        <v>0</v>
      </c>
      <c r="V6" s="220">
        <f t="shared" si="0"/>
        <v>54.594999999999999</v>
      </c>
      <c r="W6" s="221">
        <f t="shared" si="0"/>
        <v>0</v>
      </c>
      <c r="X6" s="216">
        <f t="shared" si="0"/>
        <v>0</v>
      </c>
      <c r="Y6" s="217">
        <f t="shared" si="0"/>
        <v>0</v>
      </c>
      <c r="Z6" s="219">
        <f t="shared" si="0"/>
        <v>16.89</v>
      </c>
      <c r="AA6" s="216">
        <f t="shared" si="0"/>
        <v>0</v>
      </c>
      <c r="AB6" s="217">
        <f t="shared" si="0"/>
        <v>0</v>
      </c>
      <c r="AC6" s="220">
        <f t="shared" si="0"/>
        <v>25.8</v>
      </c>
      <c r="AD6" s="214">
        <f t="shared" si="0"/>
        <v>0</v>
      </c>
      <c r="AE6" s="216">
        <f t="shared" si="0"/>
        <v>0</v>
      </c>
      <c r="AF6" s="217">
        <f t="shared" si="0"/>
        <v>0</v>
      </c>
      <c r="AG6" s="228">
        <f t="shared" si="0"/>
        <v>0</v>
      </c>
      <c r="AH6" s="222">
        <f t="shared" si="0"/>
        <v>0</v>
      </c>
      <c r="AI6" s="223">
        <f t="shared" si="0"/>
        <v>0</v>
      </c>
      <c r="AJ6" s="221">
        <f t="shared" si="0"/>
        <v>0</v>
      </c>
      <c r="AK6" s="244">
        <f t="shared" si="0"/>
        <v>24.27</v>
      </c>
      <c r="AL6" s="216">
        <f t="shared" si="0"/>
        <v>0</v>
      </c>
      <c r="AM6" s="217">
        <f t="shared" si="0"/>
        <v>0</v>
      </c>
      <c r="AN6" s="220">
        <f t="shared" si="0"/>
        <v>49.41</v>
      </c>
      <c r="AO6" s="224">
        <f t="shared" si="0"/>
        <v>0</v>
      </c>
      <c r="AP6" s="216">
        <f t="shared" si="0"/>
        <v>0</v>
      </c>
      <c r="AQ6" s="217">
        <f t="shared" si="0"/>
        <v>0</v>
      </c>
      <c r="AR6" s="220">
        <f t="shared" si="0"/>
        <v>7.83</v>
      </c>
      <c r="AS6" s="222">
        <f t="shared" si="0"/>
        <v>0</v>
      </c>
      <c r="AT6" s="224">
        <f t="shared" si="0"/>
        <v>0</v>
      </c>
      <c r="AU6" s="216">
        <f t="shared" si="0"/>
        <v>0</v>
      </c>
      <c r="AV6" s="217">
        <f t="shared" si="0"/>
        <v>0</v>
      </c>
      <c r="AW6" s="220">
        <f t="shared" si="0"/>
        <v>16.170000000000002</v>
      </c>
      <c r="AX6" s="222">
        <f t="shared" si="0"/>
        <v>0</v>
      </c>
      <c r="AY6" s="223">
        <f t="shared" si="0"/>
        <v>0</v>
      </c>
      <c r="AZ6" s="214">
        <f t="shared" si="0"/>
        <v>0</v>
      </c>
      <c r="BA6" s="216">
        <f t="shared" si="0"/>
        <v>0</v>
      </c>
      <c r="BB6" s="217">
        <f t="shared" si="0"/>
        <v>0</v>
      </c>
      <c r="BC6" s="220">
        <f t="shared" si="0"/>
        <v>17.34</v>
      </c>
      <c r="BD6" s="222">
        <f t="shared" si="0"/>
        <v>0</v>
      </c>
      <c r="BE6" s="223">
        <f t="shared" si="0"/>
        <v>0</v>
      </c>
      <c r="BF6" s="214">
        <f t="shared" si="0"/>
        <v>0</v>
      </c>
      <c r="BG6" s="216">
        <f t="shared" si="0"/>
        <v>0</v>
      </c>
      <c r="BH6" s="217">
        <f t="shared" si="0"/>
        <v>0</v>
      </c>
      <c r="BI6" s="228">
        <f t="shared" si="0"/>
        <v>0</v>
      </c>
      <c r="BJ6" s="222">
        <f t="shared" si="0"/>
        <v>0</v>
      </c>
      <c r="BK6" s="223">
        <f t="shared" si="0"/>
        <v>0</v>
      </c>
      <c r="BL6" s="214">
        <f t="shared" si="0"/>
        <v>0</v>
      </c>
      <c r="BM6" s="225">
        <f t="shared" si="0"/>
        <v>0</v>
      </c>
      <c r="BN6" s="217">
        <f t="shared" si="0"/>
        <v>0</v>
      </c>
      <c r="BO6" s="220">
        <f t="shared" si="0"/>
        <v>8.83</v>
      </c>
      <c r="BP6" s="222">
        <f t="shared" ref="BP6:EA6" si="1">SUM(BP8:BP1048576)</f>
        <v>0</v>
      </c>
      <c r="BQ6" s="223">
        <f t="shared" si="1"/>
        <v>0</v>
      </c>
      <c r="BR6" s="214">
        <f t="shared" si="1"/>
        <v>0</v>
      </c>
      <c r="BS6" s="216">
        <f t="shared" si="1"/>
        <v>0</v>
      </c>
      <c r="BT6" s="217">
        <f t="shared" si="1"/>
        <v>0</v>
      </c>
      <c r="BU6" s="228">
        <f t="shared" si="1"/>
        <v>0</v>
      </c>
      <c r="BV6" s="222">
        <f t="shared" si="1"/>
        <v>0</v>
      </c>
      <c r="BW6" s="223">
        <f t="shared" si="1"/>
        <v>0</v>
      </c>
      <c r="BX6" s="214">
        <f t="shared" si="1"/>
        <v>0</v>
      </c>
      <c r="BY6" s="216">
        <f t="shared" si="1"/>
        <v>0</v>
      </c>
      <c r="BZ6" s="217">
        <f t="shared" si="1"/>
        <v>0</v>
      </c>
      <c r="CA6" s="228">
        <f t="shared" si="1"/>
        <v>0</v>
      </c>
      <c r="CB6" s="222">
        <f t="shared" si="1"/>
        <v>0</v>
      </c>
      <c r="CC6" s="223">
        <f t="shared" si="1"/>
        <v>0</v>
      </c>
      <c r="CD6" s="221">
        <f t="shared" si="1"/>
        <v>0</v>
      </c>
      <c r="CE6" s="216">
        <f t="shared" si="1"/>
        <v>0</v>
      </c>
      <c r="CF6" s="217">
        <f t="shared" si="1"/>
        <v>0</v>
      </c>
      <c r="CG6" s="228">
        <f t="shared" si="1"/>
        <v>0</v>
      </c>
      <c r="CH6" s="222">
        <f t="shared" si="1"/>
        <v>0</v>
      </c>
      <c r="CI6" s="223">
        <f t="shared" si="1"/>
        <v>0</v>
      </c>
      <c r="CJ6" s="214">
        <f t="shared" si="1"/>
        <v>0</v>
      </c>
      <c r="CK6" s="216">
        <f t="shared" si="1"/>
        <v>0</v>
      </c>
      <c r="CL6" s="217">
        <f t="shared" si="1"/>
        <v>0</v>
      </c>
      <c r="CM6" s="220">
        <f t="shared" si="1"/>
        <v>8.6750000000000007</v>
      </c>
      <c r="CN6" s="222">
        <f t="shared" si="1"/>
        <v>0</v>
      </c>
      <c r="CO6" s="223">
        <f t="shared" si="1"/>
        <v>0</v>
      </c>
      <c r="CP6" s="214">
        <f t="shared" si="1"/>
        <v>0</v>
      </c>
      <c r="CQ6" s="216">
        <f t="shared" si="1"/>
        <v>0</v>
      </c>
      <c r="CR6" s="217">
        <f t="shared" si="1"/>
        <v>0</v>
      </c>
      <c r="CS6" s="220">
        <f t="shared" si="1"/>
        <v>86.37</v>
      </c>
      <c r="CT6" s="222">
        <f t="shared" si="1"/>
        <v>0</v>
      </c>
      <c r="CU6" s="223">
        <f t="shared" si="1"/>
        <v>0</v>
      </c>
      <c r="CV6" s="214">
        <f t="shared" si="1"/>
        <v>0</v>
      </c>
      <c r="CW6" s="216">
        <f t="shared" si="1"/>
        <v>0</v>
      </c>
      <c r="CX6" s="217">
        <f t="shared" si="1"/>
        <v>0</v>
      </c>
      <c r="CY6" s="220">
        <f t="shared" si="1"/>
        <v>8.7949999999999999</v>
      </c>
      <c r="CZ6" s="222">
        <f t="shared" si="1"/>
        <v>0</v>
      </c>
      <c r="DA6" s="223">
        <f t="shared" si="1"/>
        <v>0</v>
      </c>
      <c r="DB6" s="214">
        <f t="shared" si="1"/>
        <v>0</v>
      </c>
      <c r="DC6" s="216">
        <f t="shared" si="1"/>
        <v>0</v>
      </c>
      <c r="DD6" s="217">
        <f t="shared" si="1"/>
        <v>0</v>
      </c>
      <c r="DE6" s="220">
        <f t="shared" si="1"/>
        <v>51.814999999999998</v>
      </c>
      <c r="DF6" s="222">
        <f t="shared" si="1"/>
        <v>0</v>
      </c>
      <c r="DG6" s="223">
        <f t="shared" si="1"/>
        <v>0</v>
      </c>
      <c r="DH6" s="214">
        <f t="shared" si="1"/>
        <v>0</v>
      </c>
      <c r="DI6" s="216">
        <f t="shared" si="1"/>
        <v>0</v>
      </c>
      <c r="DJ6" s="217">
        <f t="shared" si="1"/>
        <v>0</v>
      </c>
      <c r="DK6" s="220">
        <f t="shared" si="1"/>
        <v>0</v>
      </c>
      <c r="DL6" s="222">
        <f t="shared" si="1"/>
        <v>0</v>
      </c>
      <c r="DM6" s="227">
        <f t="shared" si="1"/>
        <v>24.55</v>
      </c>
      <c r="DN6" s="216">
        <f t="shared" si="1"/>
        <v>0</v>
      </c>
      <c r="DO6" s="217">
        <f t="shared" si="1"/>
        <v>0</v>
      </c>
      <c r="DP6" s="220">
        <f t="shared" si="1"/>
        <v>8.8049999999999997</v>
      </c>
      <c r="DQ6" s="222">
        <f t="shared" si="1"/>
        <v>0</v>
      </c>
      <c r="DR6" s="224">
        <f t="shared" si="1"/>
        <v>0</v>
      </c>
      <c r="DS6" s="216">
        <f t="shared" si="1"/>
        <v>0</v>
      </c>
      <c r="DT6" s="217">
        <f t="shared" si="1"/>
        <v>0</v>
      </c>
      <c r="DU6" s="228">
        <f t="shared" si="1"/>
        <v>0</v>
      </c>
      <c r="DV6" s="222">
        <f t="shared" si="1"/>
        <v>0</v>
      </c>
      <c r="DW6" s="223">
        <f t="shared" si="1"/>
        <v>0</v>
      </c>
      <c r="DX6" s="221">
        <f t="shared" si="1"/>
        <v>0</v>
      </c>
      <c r="DY6" s="216">
        <f t="shared" si="1"/>
        <v>0</v>
      </c>
      <c r="DZ6" s="217">
        <f t="shared" si="1"/>
        <v>0</v>
      </c>
      <c r="EA6" s="220">
        <f t="shared" si="1"/>
        <v>42.075000000000003</v>
      </c>
      <c r="EB6" s="222">
        <f t="shared" ref="EB6:GM6" si="2">SUM(EB8:EB1048576)</f>
        <v>0</v>
      </c>
      <c r="EC6" s="223">
        <f t="shared" si="2"/>
        <v>0</v>
      </c>
      <c r="ED6" s="214">
        <f t="shared" si="2"/>
        <v>0</v>
      </c>
      <c r="EE6" s="216">
        <f t="shared" si="2"/>
        <v>0</v>
      </c>
      <c r="EF6" s="217">
        <f t="shared" si="2"/>
        <v>0</v>
      </c>
      <c r="EG6" s="220">
        <f t="shared" si="2"/>
        <v>661.745</v>
      </c>
      <c r="EH6" s="229">
        <f t="shared" si="2"/>
        <v>1.75</v>
      </c>
      <c r="EI6" s="227">
        <f t="shared" si="2"/>
        <v>8.44</v>
      </c>
      <c r="EJ6" s="216">
        <f t="shared" si="2"/>
        <v>0</v>
      </c>
      <c r="EK6" s="217">
        <f t="shared" si="2"/>
        <v>0</v>
      </c>
      <c r="EL6" s="228">
        <f t="shared" si="2"/>
        <v>0</v>
      </c>
      <c r="EM6" s="226">
        <f t="shared" si="2"/>
        <v>68.8</v>
      </c>
      <c r="EN6" s="216">
        <f t="shared" si="2"/>
        <v>0</v>
      </c>
      <c r="EO6" s="217">
        <f t="shared" si="2"/>
        <v>0</v>
      </c>
      <c r="EP6" s="220">
        <f t="shared" si="2"/>
        <v>16.170000000000002</v>
      </c>
      <c r="EQ6" s="224">
        <f t="shared" si="2"/>
        <v>0</v>
      </c>
      <c r="ER6" s="216">
        <f t="shared" si="2"/>
        <v>0</v>
      </c>
      <c r="ES6" s="217">
        <f t="shared" si="2"/>
        <v>0</v>
      </c>
      <c r="ET6" s="228">
        <f t="shared" si="2"/>
        <v>0</v>
      </c>
      <c r="EU6" s="223">
        <f t="shared" si="2"/>
        <v>0</v>
      </c>
      <c r="EV6" s="231">
        <f t="shared" si="2"/>
        <v>27.65</v>
      </c>
      <c r="EW6" s="225">
        <f t="shared" si="2"/>
        <v>0</v>
      </c>
      <c r="EX6" s="249">
        <f t="shared" si="2"/>
        <v>0</v>
      </c>
      <c r="EY6" s="225">
        <f t="shared" si="2"/>
        <v>0</v>
      </c>
      <c r="EZ6" s="218">
        <f t="shared" si="2"/>
        <v>0</v>
      </c>
      <c r="FA6" s="216">
        <f t="shared" si="2"/>
        <v>0</v>
      </c>
      <c r="FB6" s="217">
        <f t="shared" si="2"/>
        <v>0</v>
      </c>
      <c r="FC6" s="228">
        <f t="shared" si="2"/>
        <v>0</v>
      </c>
      <c r="FD6" s="223">
        <f t="shared" si="2"/>
        <v>0</v>
      </c>
      <c r="FE6" s="231">
        <f t="shared" si="2"/>
        <v>28</v>
      </c>
      <c r="FF6" s="225">
        <f t="shared" si="2"/>
        <v>0</v>
      </c>
      <c r="FG6" s="220">
        <f t="shared" si="2"/>
        <v>103.66500000000001</v>
      </c>
      <c r="FH6" s="224">
        <f t="shared" si="2"/>
        <v>0</v>
      </c>
      <c r="FI6" s="216">
        <f t="shared" si="2"/>
        <v>0</v>
      </c>
      <c r="FJ6" s="217">
        <f t="shared" si="2"/>
        <v>0</v>
      </c>
      <c r="FK6" s="228">
        <f t="shared" si="2"/>
        <v>0</v>
      </c>
      <c r="FL6" s="224">
        <f t="shared" si="2"/>
        <v>0</v>
      </c>
      <c r="FM6" s="216">
        <f t="shared" si="2"/>
        <v>0</v>
      </c>
      <c r="FN6" s="227">
        <f t="shared" si="2"/>
        <v>45.85</v>
      </c>
      <c r="FO6" s="224">
        <f t="shared" si="2"/>
        <v>0</v>
      </c>
      <c r="FP6" s="224">
        <f t="shared" si="2"/>
        <v>0</v>
      </c>
      <c r="FQ6" s="216">
        <f t="shared" si="2"/>
        <v>0</v>
      </c>
      <c r="FR6" s="217">
        <f t="shared" si="2"/>
        <v>0</v>
      </c>
      <c r="FS6" s="228">
        <f t="shared" si="2"/>
        <v>0</v>
      </c>
      <c r="FT6" s="214">
        <f t="shared" si="2"/>
        <v>0</v>
      </c>
      <c r="FU6" s="225">
        <f t="shared" si="2"/>
        <v>0</v>
      </c>
      <c r="FV6" s="228">
        <f t="shared" si="2"/>
        <v>0</v>
      </c>
      <c r="FW6" s="227">
        <f t="shared" si="2"/>
        <v>45.4</v>
      </c>
      <c r="FX6" s="230">
        <f t="shared" si="2"/>
        <v>9.1999999999999993</v>
      </c>
      <c r="FY6" s="223">
        <f t="shared" si="2"/>
        <v>0</v>
      </c>
      <c r="FZ6" s="214">
        <f t="shared" si="2"/>
        <v>0</v>
      </c>
      <c r="GA6" s="225">
        <f t="shared" si="2"/>
        <v>0</v>
      </c>
      <c r="GB6" s="228">
        <f t="shared" si="2"/>
        <v>0</v>
      </c>
      <c r="GC6" s="226">
        <f t="shared" si="2"/>
        <v>89.45</v>
      </c>
      <c r="GD6" s="214">
        <f t="shared" si="2"/>
        <v>0</v>
      </c>
      <c r="GE6" s="225">
        <f t="shared" si="2"/>
        <v>0</v>
      </c>
      <c r="GF6" s="227">
        <f t="shared" si="2"/>
        <v>21.45</v>
      </c>
      <c r="GG6" s="224">
        <f t="shared" si="2"/>
        <v>0</v>
      </c>
      <c r="GH6" s="228">
        <f t="shared" si="2"/>
        <v>0</v>
      </c>
      <c r="GI6" s="356">
        <f t="shared" si="2"/>
        <v>0</v>
      </c>
      <c r="GJ6" s="232">
        <f t="shared" si="2"/>
        <v>0</v>
      </c>
      <c r="GK6" s="219">
        <f t="shared" si="2"/>
        <v>76.703000000000003</v>
      </c>
      <c r="GL6" s="216">
        <f t="shared" si="2"/>
        <v>0</v>
      </c>
      <c r="GM6" s="218">
        <f t="shared" si="2"/>
        <v>0</v>
      </c>
      <c r="GN6" s="218">
        <f t="shared" ref="GN6:IW6" si="3">SUM(GN8:GN1048576)</f>
        <v>0</v>
      </c>
      <c r="GO6" s="234">
        <f t="shared" si="3"/>
        <v>0</v>
      </c>
      <c r="GP6" s="216">
        <f t="shared" si="3"/>
        <v>0</v>
      </c>
      <c r="GQ6" s="218">
        <f t="shared" si="3"/>
        <v>0</v>
      </c>
      <c r="GR6" s="233">
        <f t="shared" si="3"/>
        <v>0</v>
      </c>
      <c r="GS6" s="234">
        <f t="shared" si="3"/>
        <v>0</v>
      </c>
      <c r="GT6" s="234">
        <f t="shared" si="3"/>
        <v>0</v>
      </c>
      <c r="GU6" s="234">
        <f t="shared" si="3"/>
        <v>0</v>
      </c>
      <c r="GV6" s="216">
        <f t="shared" si="3"/>
        <v>0</v>
      </c>
      <c r="GW6" s="218">
        <f t="shared" si="3"/>
        <v>0</v>
      </c>
      <c r="GX6" s="218">
        <f t="shared" si="3"/>
        <v>0</v>
      </c>
      <c r="GY6" s="216">
        <f t="shared" si="3"/>
        <v>0</v>
      </c>
      <c r="GZ6" s="228">
        <f t="shared" si="3"/>
        <v>0</v>
      </c>
      <c r="HA6" s="214">
        <f t="shared" si="3"/>
        <v>0</v>
      </c>
      <c r="HB6" s="275">
        <f t="shared" si="3"/>
        <v>0</v>
      </c>
      <c r="HC6" s="216">
        <f t="shared" si="3"/>
        <v>0</v>
      </c>
      <c r="HD6" s="218">
        <f t="shared" si="3"/>
        <v>0</v>
      </c>
      <c r="HE6" s="216">
        <f t="shared" si="3"/>
        <v>0</v>
      </c>
      <c r="HF6" s="219">
        <f t="shared" si="3"/>
        <v>67.03</v>
      </c>
      <c r="HG6" s="216">
        <f t="shared" si="3"/>
        <v>0</v>
      </c>
      <c r="HH6" s="228">
        <f t="shared" si="3"/>
        <v>0</v>
      </c>
      <c r="HI6" s="213">
        <f t="shared" si="3"/>
        <v>13.32</v>
      </c>
      <c r="HJ6" s="219">
        <f t="shared" si="3"/>
        <v>8.9849999999999994</v>
      </c>
      <c r="HK6" s="233">
        <f t="shared" si="3"/>
        <v>0</v>
      </c>
      <c r="HL6" s="216">
        <f t="shared" si="3"/>
        <v>0</v>
      </c>
      <c r="HM6" s="228">
        <f t="shared" si="3"/>
        <v>0</v>
      </c>
      <c r="HN6" s="214">
        <f t="shared" si="3"/>
        <v>0</v>
      </c>
      <c r="HO6" s="216">
        <f t="shared" si="3"/>
        <v>0</v>
      </c>
      <c r="HP6" s="219">
        <f t="shared" si="3"/>
        <v>51.43</v>
      </c>
      <c r="HQ6" s="216">
        <f t="shared" si="3"/>
        <v>0</v>
      </c>
      <c r="HR6" s="218">
        <f t="shared" si="3"/>
        <v>0</v>
      </c>
      <c r="HS6" s="235">
        <f t="shared" si="3"/>
        <v>93.39</v>
      </c>
      <c r="HT6" s="215">
        <f t="shared" si="3"/>
        <v>31.1</v>
      </c>
      <c r="HU6" s="216">
        <f t="shared" si="3"/>
        <v>0</v>
      </c>
      <c r="HV6" s="218">
        <f t="shared" si="3"/>
        <v>0</v>
      </c>
      <c r="HW6" s="216">
        <f t="shared" si="3"/>
        <v>0</v>
      </c>
      <c r="HX6" s="218">
        <f t="shared" si="3"/>
        <v>0</v>
      </c>
      <c r="HY6" s="235">
        <f t="shared" si="3"/>
        <v>8.94</v>
      </c>
      <c r="HZ6" s="216">
        <f t="shared" si="3"/>
        <v>0</v>
      </c>
      <c r="IA6" s="219">
        <f t="shared" si="3"/>
        <v>83.82</v>
      </c>
      <c r="IB6" s="216">
        <f t="shared" si="3"/>
        <v>0</v>
      </c>
      <c r="IC6" s="218">
        <f t="shared" si="3"/>
        <v>0</v>
      </c>
      <c r="ID6" s="216">
        <f t="shared" si="3"/>
        <v>0</v>
      </c>
      <c r="IE6" s="219">
        <f t="shared" si="3"/>
        <v>2.42</v>
      </c>
      <c r="IF6" s="233">
        <f t="shared" si="3"/>
        <v>0</v>
      </c>
      <c r="IG6" s="235">
        <f t="shared" si="3"/>
        <v>127.11</v>
      </c>
      <c r="IH6" s="230">
        <f t="shared" si="3"/>
        <v>128.26</v>
      </c>
      <c r="II6" s="285">
        <f t="shared" si="3"/>
        <v>29.6</v>
      </c>
      <c r="IJ6" s="284">
        <f t="shared" si="3"/>
        <v>3.28</v>
      </c>
      <c r="IK6" s="263">
        <f t="shared" si="3"/>
        <v>63.54</v>
      </c>
      <c r="IL6" s="263">
        <f t="shared" si="3"/>
        <v>10.45</v>
      </c>
      <c r="IM6" s="233">
        <f t="shared" si="3"/>
        <v>0</v>
      </c>
      <c r="IN6" s="216">
        <f t="shared" si="3"/>
        <v>0</v>
      </c>
      <c r="IO6" s="213">
        <f t="shared" si="3"/>
        <v>457.2</v>
      </c>
      <c r="IP6" s="263">
        <f t="shared" si="3"/>
        <v>2.5</v>
      </c>
      <c r="IQ6" s="263">
        <f t="shared" si="3"/>
        <v>14.7</v>
      </c>
      <c r="IR6" s="263">
        <f t="shared" si="3"/>
        <v>2.85</v>
      </c>
      <c r="IS6" s="263">
        <f t="shared" si="3"/>
        <v>6.83</v>
      </c>
      <c r="IT6" s="263">
        <f t="shared" si="3"/>
        <v>9.2200000000000006</v>
      </c>
      <c r="IU6" s="263">
        <f t="shared" si="3"/>
        <v>18.5</v>
      </c>
      <c r="IV6" s="263">
        <f t="shared" si="3"/>
        <v>64.48</v>
      </c>
      <c r="IW6" s="263">
        <f t="shared" si="3"/>
        <v>52.36</v>
      </c>
    </row>
    <row r="7" spans="1:257" s="63" customFormat="1" ht="6.75" customHeight="1" x14ac:dyDescent="0.25">
      <c r="A7" s="128"/>
      <c r="B7" s="56"/>
      <c r="C7" s="57"/>
      <c r="D7" s="144"/>
      <c r="E7" s="144"/>
      <c r="F7" s="144"/>
      <c r="G7" s="144"/>
      <c r="H7" s="83"/>
      <c r="I7" s="83"/>
      <c r="J7" s="109"/>
      <c r="K7" s="60"/>
      <c r="L7" s="68"/>
      <c r="M7" s="94"/>
      <c r="N7" s="60"/>
      <c r="O7" s="374"/>
      <c r="P7" s="105"/>
      <c r="Q7" s="162"/>
      <c r="R7" s="114"/>
      <c r="S7" s="73"/>
      <c r="T7" s="60"/>
      <c r="U7" s="68"/>
      <c r="V7" s="73"/>
      <c r="W7" s="162"/>
      <c r="X7" s="60"/>
      <c r="Y7" s="68"/>
      <c r="Z7" s="78"/>
      <c r="AA7" s="60"/>
      <c r="AB7" s="68"/>
      <c r="AC7" s="73"/>
      <c r="AD7" s="114"/>
      <c r="AE7" s="60"/>
      <c r="AF7" s="68"/>
      <c r="AG7" s="105"/>
      <c r="AH7" s="120"/>
      <c r="AI7" s="125"/>
      <c r="AJ7" s="162"/>
      <c r="AK7" s="242"/>
      <c r="AL7" s="60"/>
      <c r="AM7" s="68"/>
      <c r="AN7" s="73"/>
      <c r="AO7" s="59"/>
      <c r="AP7" s="60"/>
      <c r="AQ7" s="68"/>
      <c r="AR7" s="73"/>
      <c r="AS7" s="120"/>
      <c r="AT7" s="59"/>
      <c r="AU7" s="60"/>
      <c r="AV7" s="68"/>
      <c r="AW7" s="73"/>
      <c r="AX7" s="120"/>
      <c r="AY7" s="125"/>
      <c r="AZ7" s="114"/>
      <c r="BA7" s="60"/>
      <c r="BB7" s="68"/>
      <c r="BC7" s="73"/>
      <c r="BD7" s="120"/>
      <c r="BE7" s="125"/>
      <c r="BF7" s="114"/>
      <c r="BG7" s="60"/>
      <c r="BH7" s="68"/>
      <c r="BI7" s="105"/>
      <c r="BJ7" s="120"/>
      <c r="BK7" s="125"/>
      <c r="BL7" s="114"/>
      <c r="BM7" s="93"/>
      <c r="BN7" s="68"/>
      <c r="BO7" s="73"/>
      <c r="BP7" s="120"/>
      <c r="BQ7" s="125"/>
      <c r="BR7" s="114"/>
      <c r="BS7" s="60"/>
      <c r="BT7" s="68"/>
      <c r="BU7" s="105"/>
      <c r="BV7" s="120"/>
      <c r="BW7" s="125"/>
      <c r="BX7" s="114"/>
      <c r="BY7" s="60"/>
      <c r="BZ7" s="68"/>
      <c r="CA7" s="105"/>
      <c r="CB7" s="120"/>
      <c r="CC7" s="125"/>
      <c r="CD7" s="114"/>
      <c r="CE7" s="60"/>
      <c r="CF7" s="68"/>
      <c r="CG7" s="105"/>
      <c r="CH7" s="120"/>
      <c r="CI7" s="125"/>
      <c r="CJ7" s="114"/>
      <c r="CK7" s="60"/>
      <c r="CL7" s="68"/>
      <c r="CM7" s="73"/>
      <c r="CN7" s="120"/>
      <c r="CO7" s="125"/>
      <c r="CP7" s="114"/>
      <c r="CQ7" s="60"/>
      <c r="CR7" s="68"/>
      <c r="CS7" s="73"/>
      <c r="CT7" s="120"/>
      <c r="CU7" s="125"/>
      <c r="CV7" s="114"/>
      <c r="CW7" s="60"/>
      <c r="CX7" s="68"/>
      <c r="CY7" s="73"/>
      <c r="CZ7" s="120"/>
      <c r="DA7" s="125"/>
      <c r="DB7" s="114"/>
      <c r="DC7" s="60"/>
      <c r="DD7" s="68"/>
      <c r="DE7" s="73"/>
      <c r="DF7" s="120"/>
      <c r="DG7" s="125"/>
      <c r="DH7" s="114"/>
      <c r="DI7" s="60"/>
      <c r="DJ7" s="68"/>
      <c r="DK7" s="73"/>
      <c r="DL7" s="120"/>
      <c r="DM7" s="149"/>
      <c r="DN7" s="60"/>
      <c r="DO7" s="68"/>
      <c r="DP7" s="73"/>
      <c r="DQ7" s="120"/>
      <c r="DR7" s="59"/>
      <c r="DS7" s="60"/>
      <c r="DT7" s="68"/>
      <c r="DU7" s="105"/>
      <c r="DV7" s="120"/>
      <c r="DW7" s="125"/>
      <c r="DX7" s="114"/>
      <c r="DY7" s="60"/>
      <c r="DZ7" s="68"/>
      <c r="EA7" s="73"/>
      <c r="EB7" s="120"/>
      <c r="EC7" s="125"/>
      <c r="ED7" s="114"/>
      <c r="EE7" s="60"/>
      <c r="EF7" s="68"/>
      <c r="EG7" s="73"/>
      <c r="EH7" s="193"/>
      <c r="EI7" s="149"/>
      <c r="EJ7" s="60"/>
      <c r="EK7" s="68"/>
      <c r="EL7" s="105"/>
      <c r="EM7" s="149"/>
      <c r="EN7" s="60"/>
      <c r="EO7" s="68"/>
      <c r="EP7" s="73"/>
      <c r="EQ7" s="59"/>
      <c r="ER7" s="60"/>
      <c r="ES7" s="68"/>
      <c r="ET7" s="105"/>
      <c r="EU7" s="125"/>
      <c r="EV7" s="196"/>
      <c r="EW7" s="93"/>
      <c r="EX7" s="250"/>
      <c r="EY7" s="93"/>
      <c r="EZ7" s="94"/>
      <c r="FA7" s="60"/>
      <c r="FB7" s="68"/>
      <c r="FC7" s="105"/>
      <c r="FD7" s="125"/>
      <c r="FE7" s="196"/>
      <c r="FF7" s="93"/>
      <c r="FG7" s="73"/>
      <c r="FH7" s="59"/>
      <c r="FI7" s="60"/>
      <c r="FJ7" s="68"/>
      <c r="FK7" s="105"/>
      <c r="FL7" s="59"/>
      <c r="FM7" s="60"/>
      <c r="FN7" s="149"/>
      <c r="FO7" s="209"/>
      <c r="FP7" s="209"/>
      <c r="FQ7" s="60"/>
      <c r="FR7" s="68"/>
      <c r="FS7" s="105"/>
      <c r="FT7" s="114"/>
      <c r="FU7" s="93"/>
      <c r="FV7" s="105"/>
      <c r="FW7" s="149"/>
      <c r="FX7" s="58"/>
      <c r="FY7" s="125"/>
      <c r="FZ7" s="114"/>
      <c r="GA7" s="93"/>
      <c r="GB7" s="105"/>
      <c r="GC7" s="156"/>
      <c r="GD7" s="114"/>
      <c r="GE7" s="93"/>
      <c r="GF7" s="149"/>
      <c r="GG7" s="209"/>
      <c r="GH7" s="105"/>
      <c r="GI7" s="250"/>
      <c r="GJ7" s="201"/>
      <c r="GK7" s="78"/>
      <c r="GL7" s="60"/>
      <c r="GM7" s="94"/>
      <c r="GN7" s="109"/>
      <c r="GO7" s="109"/>
      <c r="GP7" s="60"/>
      <c r="GQ7" s="94"/>
      <c r="GR7" s="62"/>
      <c r="GS7" s="109"/>
      <c r="GT7" s="109"/>
      <c r="GU7" s="109"/>
      <c r="GV7" s="60"/>
      <c r="GW7" s="94"/>
      <c r="GX7" s="105"/>
      <c r="GY7" s="60"/>
      <c r="GZ7" s="105"/>
      <c r="HA7" s="114"/>
      <c r="HB7" s="276"/>
      <c r="HC7" s="60"/>
      <c r="HD7" s="94"/>
      <c r="HE7" s="60"/>
      <c r="HF7" s="78"/>
      <c r="HG7" s="60"/>
      <c r="HH7" s="105"/>
      <c r="HI7" s="290"/>
      <c r="HJ7" s="78"/>
      <c r="HK7" s="62"/>
      <c r="HL7" s="60"/>
      <c r="HM7" s="105"/>
      <c r="HN7" s="114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2"/>
      <c r="IJ7" s="264"/>
      <c r="IK7" s="265"/>
      <c r="IL7" s="266"/>
      <c r="IM7" s="361"/>
      <c r="IN7" s="362"/>
      <c r="IO7" s="287"/>
      <c r="IP7" s="266"/>
      <c r="IQ7" s="266"/>
      <c r="IR7" s="266"/>
      <c r="IS7" s="266"/>
      <c r="IT7" s="266"/>
      <c r="IU7" s="266"/>
      <c r="IV7" s="266"/>
      <c r="IW7" s="266"/>
    </row>
    <row r="8" spans="1:257" x14ac:dyDescent="0.25">
      <c r="A8" s="129">
        <v>44316</v>
      </c>
      <c r="B8" s="19" t="s">
        <v>36</v>
      </c>
      <c r="C8" s="21">
        <f t="shared" ref="C8:C71" si="4">SUM(I8:JT8)</f>
        <v>27884.78</v>
      </c>
      <c r="D8" s="143"/>
      <c r="E8" s="143"/>
      <c r="F8" s="143"/>
      <c r="G8" s="143"/>
      <c r="H8" s="82"/>
      <c r="I8" s="82"/>
      <c r="J8" s="108"/>
      <c r="K8" s="41">
        <v>453.3</v>
      </c>
      <c r="L8" s="67">
        <v>431.98</v>
      </c>
      <c r="M8" s="91"/>
      <c r="N8" s="41"/>
      <c r="O8" s="372">
        <v>254.86</v>
      </c>
      <c r="P8" s="104"/>
      <c r="Q8" s="161">
        <v>21.62</v>
      </c>
      <c r="R8" s="113"/>
      <c r="S8" s="72"/>
      <c r="T8" s="41">
        <v>0</v>
      </c>
      <c r="U8" s="67">
        <v>689.54499999999996</v>
      </c>
      <c r="V8" s="72"/>
      <c r="W8" s="161"/>
      <c r="X8" s="41"/>
      <c r="Y8" s="67">
        <v>775.63499999999999</v>
      </c>
      <c r="Z8" s="77"/>
      <c r="AA8" s="41"/>
      <c r="AB8" s="67">
        <v>33.975000000000001</v>
      </c>
      <c r="AC8" s="72"/>
      <c r="AD8" s="113">
        <v>31.38</v>
      </c>
      <c r="AE8" s="41">
        <v>195.66</v>
      </c>
      <c r="AF8" s="67">
        <v>42.65</v>
      </c>
      <c r="AG8" s="104"/>
      <c r="AH8" s="119">
        <v>7.28</v>
      </c>
      <c r="AI8" s="124">
        <v>7.88</v>
      </c>
      <c r="AJ8" s="161"/>
      <c r="AK8" s="241"/>
      <c r="AL8" s="41">
        <v>8.5</v>
      </c>
      <c r="AM8" s="67">
        <v>309.17</v>
      </c>
      <c r="AN8" s="72"/>
      <c r="AO8" s="45">
        <v>44.15</v>
      </c>
      <c r="AP8" s="41">
        <v>352.52</v>
      </c>
      <c r="AQ8" s="67">
        <v>0</v>
      </c>
      <c r="AR8" s="72"/>
      <c r="AS8" s="119">
        <v>25.25</v>
      </c>
      <c r="AT8" s="45">
        <v>22.73</v>
      </c>
      <c r="AU8" s="41">
        <v>0</v>
      </c>
      <c r="AV8" s="67">
        <v>555.73500000000001</v>
      </c>
      <c r="AW8" s="72"/>
      <c r="AX8" s="119"/>
      <c r="AY8" s="124"/>
      <c r="AZ8" s="113">
        <v>17.079999999999998</v>
      </c>
      <c r="BA8" s="41">
        <v>121.93</v>
      </c>
      <c r="BB8" s="67">
        <v>0</v>
      </c>
      <c r="BC8" s="72"/>
      <c r="BD8" s="119"/>
      <c r="BE8" s="124"/>
      <c r="BF8" s="113">
        <v>22.81</v>
      </c>
      <c r="BG8" s="41">
        <v>8.43</v>
      </c>
      <c r="BH8" s="67"/>
      <c r="BI8" s="104"/>
      <c r="BJ8" s="119"/>
      <c r="BK8" s="124"/>
      <c r="BL8" s="113">
        <v>42.34</v>
      </c>
      <c r="BM8" s="87">
        <v>76.819999999999993</v>
      </c>
      <c r="BN8" s="67">
        <v>34.104999999999997</v>
      </c>
      <c r="BO8" s="72"/>
      <c r="BP8" s="119"/>
      <c r="BQ8" s="124"/>
      <c r="BR8" s="113">
        <v>49.48</v>
      </c>
      <c r="BS8" s="41">
        <v>375.55</v>
      </c>
      <c r="BT8" s="67">
        <v>8.51</v>
      </c>
      <c r="BU8" s="104"/>
      <c r="BV8" s="119"/>
      <c r="BW8" s="124"/>
      <c r="BX8" s="113">
        <v>0</v>
      </c>
      <c r="BY8" s="41">
        <v>662.91</v>
      </c>
      <c r="BZ8" s="67">
        <v>0</v>
      </c>
      <c r="CA8" s="104"/>
      <c r="CB8" s="119"/>
      <c r="CC8" s="124">
        <f>16.27-8.73</f>
        <v>7.54</v>
      </c>
      <c r="CD8" s="113"/>
      <c r="CE8" s="41">
        <v>365.38</v>
      </c>
      <c r="CF8" s="67">
        <v>0</v>
      </c>
      <c r="CG8" s="104"/>
      <c r="CH8" s="119"/>
      <c r="CI8" s="124"/>
      <c r="CJ8" s="113">
        <v>0</v>
      </c>
      <c r="CK8" s="41">
        <v>325.45999999999998</v>
      </c>
      <c r="CL8" s="67">
        <v>0</v>
      </c>
      <c r="CM8" s="72">
        <v>0</v>
      </c>
      <c r="CN8" s="119"/>
      <c r="CO8" s="124"/>
      <c r="CP8" s="113">
        <v>25.14</v>
      </c>
      <c r="CQ8" s="41">
        <v>494.4</v>
      </c>
      <c r="CR8" s="67">
        <v>34.085000000000001</v>
      </c>
      <c r="CS8" s="72"/>
      <c r="CT8" s="119">
        <v>7.85</v>
      </c>
      <c r="CU8" s="124"/>
      <c r="CV8" s="113">
        <v>16.54</v>
      </c>
      <c r="CW8" s="41">
        <f>446.93-8.67</f>
        <v>438.26</v>
      </c>
      <c r="CX8" s="67">
        <v>0</v>
      </c>
      <c r="CY8" s="72"/>
      <c r="CZ8" s="119">
        <v>9</v>
      </c>
      <c r="DA8" s="124"/>
      <c r="DB8" s="113">
        <v>30.71</v>
      </c>
      <c r="DC8" s="41">
        <v>467.51</v>
      </c>
      <c r="DD8" s="67">
        <v>0</v>
      </c>
      <c r="DE8" s="72"/>
      <c r="DF8" s="119">
        <v>7.58</v>
      </c>
      <c r="DG8" s="124">
        <v>75.260000000000005</v>
      </c>
      <c r="DH8" s="113"/>
      <c r="DI8" s="41">
        <v>42.84</v>
      </c>
      <c r="DJ8" s="67">
        <v>76.11</v>
      </c>
      <c r="DK8" s="72"/>
      <c r="DL8" s="119"/>
      <c r="DM8" s="148">
        <v>67.69</v>
      </c>
      <c r="DN8" s="41">
        <v>387.94</v>
      </c>
      <c r="DO8" s="67">
        <v>208.34</v>
      </c>
      <c r="DP8" s="72"/>
      <c r="DQ8" s="119">
        <v>25.23</v>
      </c>
      <c r="DR8" s="45">
        <v>31.1</v>
      </c>
      <c r="DS8" s="41">
        <v>98.03</v>
      </c>
      <c r="DT8" s="67">
        <v>408.02</v>
      </c>
      <c r="DU8" s="104"/>
      <c r="DV8" s="119">
        <v>32.380000000000003</v>
      </c>
      <c r="DW8" s="124">
        <v>57.84</v>
      </c>
      <c r="DX8" s="113"/>
      <c r="DY8" s="41">
        <v>32.49</v>
      </c>
      <c r="DZ8" s="67">
        <v>570.01499999999999</v>
      </c>
      <c r="EA8" s="72"/>
      <c r="EB8" s="119">
        <v>8.32</v>
      </c>
      <c r="EC8" s="124"/>
      <c r="ED8" s="113"/>
      <c r="EE8" s="41">
        <v>117.4</v>
      </c>
      <c r="EF8" s="67">
        <v>274.245</v>
      </c>
      <c r="EG8" s="72"/>
      <c r="EH8" s="192"/>
      <c r="EI8" s="148"/>
      <c r="EJ8" s="41">
        <v>509.01</v>
      </c>
      <c r="EK8" s="67">
        <v>17.035</v>
      </c>
      <c r="EL8" s="104"/>
      <c r="EM8" s="148"/>
      <c r="EN8" s="41">
        <v>479.62</v>
      </c>
      <c r="EO8" s="67">
        <v>446.36</v>
      </c>
      <c r="EP8" s="72"/>
      <c r="EQ8" s="45"/>
      <c r="ER8" s="41"/>
      <c r="ES8" s="67">
        <v>574.55499999999995</v>
      </c>
      <c r="ET8" s="104"/>
      <c r="EU8" s="124"/>
      <c r="EV8" s="169"/>
      <c r="EW8" s="87">
        <v>973.29499999999996</v>
      </c>
      <c r="EX8" s="248"/>
      <c r="EY8" s="87">
        <v>628.27499999999998</v>
      </c>
      <c r="EZ8" s="91"/>
      <c r="FA8" s="41"/>
      <c r="FB8" s="67">
        <v>129.72</v>
      </c>
      <c r="FC8" s="104"/>
      <c r="FD8" s="124"/>
      <c r="FE8" s="169"/>
      <c r="FF8" s="87">
        <v>902.88499999999999</v>
      </c>
      <c r="FG8" s="72"/>
      <c r="FH8" s="45"/>
      <c r="FI8" s="41"/>
      <c r="FJ8" s="67">
        <v>1112.6199999999999</v>
      </c>
      <c r="FK8" s="104"/>
      <c r="FL8" s="45"/>
      <c r="FM8" s="41"/>
      <c r="FN8" s="148"/>
      <c r="FO8" s="208"/>
      <c r="FP8" s="208"/>
      <c r="FQ8" s="41">
        <v>82.4</v>
      </c>
      <c r="FR8" s="67">
        <v>363.65499999999997</v>
      </c>
      <c r="FS8" s="104"/>
      <c r="FT8" s="113"/>
      <c r="FU8" s="87">
        <v>415.39</v>
      </c>
      <c r="FV8" s="104"/>
      <c r="FW8" s="148"/>
      <c r="FX8" s="33">
        <v>511.76</v>
      </c>
      <c r="FY8" s="124"/>
      <c r="FZ8" s="113"/>
      <c r="GA8" s="87">
        <v>626.41499999999996</v>
      </c>
      <c r="GB8" s="104"/>
      <c r="GC8" s="155"/>
      <c r="GD8" s="113"/>
      <c r="GE8" s="87">
        <v>379.57499999999999</v>
      </c>
      <c r="GF8" s="148"/>
      <c r="GG8" s="208"/>
      <c r="GH8" s="104"/>
      <c r="GI8" s="248"/>
      <c r="GJ8" s="200"/>
      <c r="GK8" s="77"/>
      <c r="GL8" s="41"/>
      <c r="GM8" s="91"/>
      <c r="GN8" s="108"/>
      <c r="GO8" s="108"/>
      <c r="GP8" s="41">
        <v>282.95</v>
      </c>
      <c r="GQ8" s="91"/>
      <c r="GR8" s="49"/>
      <c r="GS8" s="108"/>
      <c r="GT8" s="108"/>
      <c r="GU8" s="108"/>
      <c r="GV8" s="41">
        <v>502.85</v>
      </c>
      <c r="GW8" s="91"/>
      <c r="GX8" s="104"/>
      <c r="GY8" s="41">
        <v>738.9</v>
      </c>
      <c r="GZ8" s="104"/>
      <c r="HA8" s="113"/>
      <c r="HB8" s="274"/>
      <c r="HC8" s="41">
        <v>572.62</v>
      </c>
      <c r="HD8" s="91"/>
      <c r="HE8" s="41">
        <v>55.7</v>
      </c>
      <c r="HF8" s="77"/>
      <c r="HG8" s="41">
        <v>477.75</v>
      </c>
      <c r="HH8" s="104"/>
      <c r="HI8" s="152"/>
      <c r="HJ8" s="77"/>
      <c r="HK8" s="49">
        <v>1270.42</v>
      </c>
      <c r="HL8" s="41">
        <v>675.14</v>
      </c>
      <c r="HM8" s="104"/>
      <c r="HN8" s="113"/>
      <c r="HO8" s="41">
        <v>472.64</v>
      </c>
      <c r="HP8" s="77">
        <v>77.680000000000007</v>
      </c>
      <c r="HQ8" s="41">
        <v>343.73</v>
      </c>
      <c r="HR8" s="91">
        <v>-1</v>
      </c>
      <c r="HS8" s="37">
        <v>480.17</v>
      </c>
      <c r="HT8" s="82"/>
      <c r="HU8" s="41">
        <v>781.34</v>
      </c>
      <c r="HV8" s="91"/>
      <c r="HW8" s="41">
        <v>661.06</v>
      </c>
      <c r="HX8" s="91"/>
      <c r="HY8" s="37">
        <v>343</v>
      </c>
      <c r="HZ8" s="41">
        <v>555.38</v>
      </c>
      <c r="IA8" s="77"/>
      <c r="IB8" s="41">
        <v>155.1</v>
      </c>
      <c r="IC8" s="91"/>
      <c r="ID8" s="41">
        <v>333.43</v>
      </c>
      <c r="IE8" s="77"/>
      <c r="IF8" s="49">
        <v>414.78</v>
      </c>
      <c r="IG8" s="37">
        <v>112.08</v>
      </c>
      <c r="IH8" s="33"/>
      <c r="II8" s="281"/>
      <c r="IJ8" s="260"/>
      <c r="IK8" s="261"/>
    </row>
    <row r="9" spans="1:257" x14ac:dyDescent="0.25">
      <c r="A9" s="129">
        <v>44320</v>
      </c>
      <c r="B9" s="19" t="s">
        <v>23</v>
      </c>
      <c r="C9" s="21">
        <f t="shared" si="4"/>
        <v>0</v>
      </c>
      <c r="D9" s="143"/>
      <c r="E9" s="143"/>
      <c r="F9" s="143"/>
      <c r="G9" s="143"/>
      <c r="H9" s="82"/>
      <c r="I9" s="82"/>
      <c r="J9" s="108"/>
      <c r="K9" s="41"/>
      <c r="L9" s="67"/>
      <c r="M9" s="91"/>
      <c r="N9" s="41"/>
      <c r="O9" s="372"/>
      <c r="P9" s="104"/>
      <c r="Q9" s="161"/>
      <c r="R9" s="113"/>
      <c r="S9" s="72"/>
      <c r="T9" s="41"/>
      <c r="U9" s="67"/>
      <c r="V9" s="72"/>
      <c r="W9" s="161"/>
      <c r="X9" s="41"/>
      <c r="Y9" s="67"/>
      <c r="Z9" s="77"/>
      <c r="AA9" s="41"/>
      <c r="AB9" s="67"/>
      <c r="AC9" s="72"/>
      <c r="AD9" s="113"/>
      <c r="AE9" s="41"/>
      <c r="AF9" s="67"/>
      <c r="AG9" s="104"/>
      <c r="AH9" s="119"/>
      <c r="AI9" s="124"/>
      <c r="AJ9" s="161"/>
      <c r="AK9" s="241"/>
      <c r="AL9" s="41"/>
      <c r="AM9" s="67"/>
      <c r="AN9" s="72"/>
      <c r="AO9" s="45"/>
      <c r="AP9" s="41"/>
      <c r="AQ9" s="67"/>
      <c r="AR9" s="72"/>
      <c r="AS9" s="119"/>
      <c r="AT9" s="45"/>
      <c r="AU9" s="41"/>
      <c r="AV9" s="67"/>
      <c r="AW9" s="72"/>
      <c r="AX9" s="119"/>
      <c r="AY9" s="124"/>
      <c r="AZ9" s="113"/>
      <c r="BA9" s="41"/>
      <c r="BB9" s="67"/>
      <c r="BC9" s="72"/>
      <c r="BD9" s="119"/>
      <c r="BE9" s="124"/>
      <c r="BF9" s="113"/>
      <c r="BG9" s="41"/>
      <c r="BH9" s="67"/>
      <c r="BI9" s="104"/>
      <c r="BJ9" s="119"/>
      <c r="BK9" s="124"/>
      <c r="BL9" s="113"/>
      <c r="BM9" s="87"/>
      <c r="BN9" s="67"/>
      <c r="BO9" s="72"/>
      <c r="BP9" s="119"/>
      <c r="BQ9" s="124"/>
      <c r="BR9" s="113"/>
      <c r="BS9" s="41"/>
      <c r="BT9" s="67"/>
      <c r="BU9" s="104"/>
      <c r="BV9" s="119"/>
      <c r="BW9" s="124"/>
      <c r="BX9" s="113"/>
      <c r="BY9" s="41"/>
      <c r="BZ9" s="67"/>
      <c r="CA9" s="104"/>
      <c r="CB9" s="119"/>
      <c r="CC9" s="124"/>
      <c r="CD9" s="113"/>
      <c r="CE9" s="41"/>
      <c r="CF9" s="67"/>
      <c r="CG9" s="104"/>
      <c r="CH9" s="119"/>
      <c r="CI9" s="124"/>
      <c r="CJ9" s="113"/>
      <c r="CK9" s="41"/>
      <c r="CL9" s="67"/>
      <c r="CM9" s="72"/>
      <c r="CN9" s="119"/>
      <c r="CO9" s="124"/>
      <c r="CP9" s="113"/>
      <c r="CQ9" s="41"/>
      <c r="CR9" s="67"/>
      <c r="CS9" s="72"/>
      <c r="CT9" s="119"/>
      <c r="CU9" s="124"/>
      <c r="CV9" s="113"/>
      <c r="CW9" s="41"/>
      <c r="CX9" s="67"/>
      <c r="CY9" s="72"/>
      <c r="CZ9" s="119"/>
      <c r="DA9" s="124"/>
      <c r="DB9" s="113"/>
      <c r="DC9" s="41"/>
      <c r="DD9" s="67"/>
      <c r="DE9" s="72"/>
      <c r="DF9" s="119"/>
      <c r="DG9" s="124"/>
      <c r="DH9" s="113"/>
      <c r="DI9" s="41"/>
      <c r="DJ9" s="67"/>
      <c r="DK9" s="72"/>
      <c r="DL9" s="119"/>
      <c r="DM9" s="148"/>
      <c r="DN9" s="41"/>
      <c r="DO9" s="67"/>
      <c r="DP9" s="72"/>
      <c r="DQ9" s="119"/>
      <c r="DR9" s="45"/>
      <c r="DS9" s="41"/>
      <c r="DT9" s="67"/>
      <c r="DU9" s="104"/>
      <c r="DV9" s="119"/>
      <c r="DW9" s="124"/>
      <c r="DX9" s="113"/>
      <c r="DY9" s="41"/>
      <c r="DZ9" s="67"/>
      <c r="EA9" s="72"/>
      <c r="EB9" s="119"/>
      <c r="EC9" s="124"/>
      <c r="ED9" s="113"/>
      <c r="EE9" s="41"/>
      <c r="EF9" s="67"/>
      <c r="EG9" s="72"/>
      <c r="EH9" s="192"/>
      <c r="EI9" s="148"/>
      <c r="EJ9" s="41"/>
      <c r="EK9" s="67"/>
      <c r="EL9" s="104"/>
      <c r="EM9" s="148"/>
      <c r="EN9" s="41"/>
      <c r="EO9" s="67"/>
      <c r="EP9" s="72"/>
      <c r="EQ9" s="45"/>
      <c r="ER9" s="41"/>
      <c r="ES9" s="67"/>
      <c r="ET9" s="104"/>
      <c r="EU9" s="124"/>
      <c r="EV9" s="169"/>
      <c r="EW9" s="87"/>
      <c r="EX9" s="248"/>
      <c r="EY9" s="87"/>
      <c r="EZ9" s="91"/>
      <c r="FA9" s="41"/>
      <c r="FB9" s="67"/>
      <c r="FC9" s="104"/>
      <c r="FD9" s="124"/>
      <c r="FE9" s="169"/>
      <c r="FF9" s="87"/>
      <c r="FG9" s="72"/>
      <c r="FH9" s="45"/>
      <c r="FI9" s="41"/>
      <c r="FJ9" s="67"/>
      <c r="FK9" s="104"/>
      <c r="FL9" s="45"/>
      <c r="FM9" s="41"/>
      <c r="FN9" s="148"/>
      <c r="FO9" s="208"/>
      <c r="FP9" s="208"/>
      <c r="FQ9" s="41"/>
      <c r="FR9" s="67"/>
      <c r="FS9" s="104"/>
      <c r="FT9" s="113"/>
      <c r="FU9" s="87"/>
      <c r="FV9" s="104"/>
      <c r="FW9" s="148"/>
      <c r="FX9" s="33"/>
      <c r="FY9" s="124"/>
      <c r="FZ9" s="113"/>
      <c r="GA9" s="87"/>
      <c r="GB9" s="104"/>
      <c r="GC9" s="155"/>
      <c r="GD9" s="113"/>
      <c r="GE9" s="87"/>
      <c r="GF9" s="148"/>
      <c r="GG9" s="208"/>
      <c r="GH9" s="104"/>
      <c r="GI9" s="248"/>
      <c r="GJ9" s="200"/>
      <c r="GK9" s="77"/>
      <c r="GL9" s="41"/>
      <c r="GM9" s="91"/>
      <c r="GN9" s="108"/>
      <c r="GO9" s="108"/>
      <c r="GP9" s="41"/>
      <c r="GQ9" s="91"/>
      <c r="GR9" s="49"/>
      <c r="GS9" s="108"/>
      <c r="GT9" s="108"/>
      <c r="GU9" s="108"/>
      <c r="GV9" s="41"/>
      <c r="GW9" s="91"/>
      <c r="GX9" s="104"/>
      <c r="GY9" s="41"/>
      <c r="GZ9" s="104"/>
      <c r="HA9" s="113"/>
      <c r="HB9" s="274"/>
      <c r="HC9" s="41"/>
      <c r="HD9" s="91"/>
      <c r="HE9" s="41"/>
      <c r="HF9" s="77"/>
      <c r="HG9" s="41"/>
      <c r="HH9" s="104"/>
      <c r="HI9" s="152"/>
      <c r="HJ9" s="77"/>
      <c r="HK9" s="49"/>
      <c r="HL9" s="41"/>
      <c r="HM9" s="104"/>
      <c r="HN9" s="113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1"/>
      <c r="IJ9" s="260"/>
      <c r="IK9" s="261"/>
    </row>
    <row r="10" spans="1:257" x14ac:dyDescent="0.25">
      <c r="A10" s="129">
        <v>44320</v>
      </c>
      <c r="B10" s="19" t="s">
        <v>34</v>
      </c>
      <c r="C10" s="21">
        <f t="shared" si="4"/>
        <v>-8.31</v>
      </c>
      <c r="D10" s="143"/>
      <c r="E10" s="143"/>
      <c r="F10" s="143"/>
      <c r="G10" s="143"/>
      <c r="H10" s="82"/>
      <c r="I10" s="82"/>
      <c r="J10" s="108"/>
      <c r="K10" s="41"/>
      <c r="L10" s="67"/>
      <c r="M10" s="91"/>
      <c r="N10" s="41"/>
      <c r="O10" s="372"/>
      <c r="P10" s="104"/>
      <c r="Q10" s="161"/>
      <c r="R10" s="113"/>
      <c r="S10" s="72"/>
      <c r="T10" s="41"/>
      <c r="U10" s="67"/>
      <c r="V10" s="72"/>
      <c r="W10" s="161"/>
      <c r="X10" s="41"/>
      <c r="Y10" s="67"/>
      <c r="Z10" s="77"/>
      <c r="AA10" s="41"/>
      <c r="AB10" s="67"/>
      <c r="AC10" s="72"/>
      <c r="AD10" s="113"/>
      <c r="AE10" s="41"/>
      <c r="AF10" s="67"/>
      <c r="AG10" s="104"/>
      <c r="AH10" s="119"/>
      <c r="AI10" s="124"/>
      <c r="AJ10" s="161"/>
      <c r="AK10" s="241"/>
      <c r="AL10" s="41"/>
      <c r="AM10" s="67"/>
      <c r="AN10" s="72"/>
      <c r="AO10" s="45"/>
      <c r="AP10" s="41"/>
      <c r="AQ10" s="67"/>
      <c r="AR10" s="72"/>
      <c r="AS10" s="119"/>
      <c r="AT10" s="45"/>
      <c r="AU10" s="41"/>
      <c r="AV10" s="67"/>
      <c r="AW10" s="72"/>
      <c r="AX10" s="119"/>
      <c r="AY10" s="124"/>
      <c r="AZ10" s="113"/>
      <c r="BA10" s="41"/>
      <c r="BB10" s="67"/>
      <c r="BC10" s="72"/>
      <c r="BD10" s="119"/>
      <c r="BE10" s="124"/>
      <c r="BF10" s="113"/>
      <c r="BG10" s="41"/>
      <c r="BH10" s="67"/>
      <c r="BI10" s="104"/>
      <c r="BJ10" s="119"/>
      <c r="BK10" s="124"/>
      <c r="BL10" s="113"/>
      <c r="BM10" s="87"/>
      <c r="BN10" s="67"/>
      <c r="BO10" s="72"/>
      <c r="BP10" s="119"/>
      <c r="BQ10" s="124"/>
      <c r="BR10" s="113"/>
      <c r="BS10" s="41"/>
      <c r="BT10" s="67"/>
      <c r="BU10" s="104"/>
      <c r="BV10" s="119"/>
      <c r="BW10" s="124"/>
      <c r="BX10" s="113"/>
      <c r="BY10" s="41"/>
      <c r="BZ10" s="67"/>
      <c r="CA10" s="104"/>
      <c r="CB10" s="119"/>
      <c r="CC10" s="124"/>
      <c r="CD10" s="113"/>
      <c r="CE10" s="41"/>
      <c r="CF10" s="67"/>
      <c r="CG10" s="104"/>
      <c r="CH10" s="119"/>
      <c r="CI10" s="124"/>
      <c r="CJ10" s="113"/>
      <c r="CK10" s="41"/>
      <c r="CL10" s="67"/>
      <c r="CM10" s="72"/>
      <c r="CN10" s="119"/>
      <c r="CO10" s="124"/>
      <c r="CP10" s="113">
        <v>-8.31</v>
      </c>
      <c r="CQ10" s="41"/>
      <c r="CR10" s="67"/>
      <c r="CS10" s="72"/>
      <c r="CT10" s="119"/>
      <c r="CU10" s="124"/>
      <c r="CV10" s="113"/>
      <c r="CW10" s="41"/>
      <c r="CX10" s="67"/>
      <c r="CY10" s="72"/>
      <c r="CZ10" s="119"/>
      <c r="DA10" s="124"/>
      <c r="DB10" s="113"/>
      <c r="DC10" s="41"/>
      <c r="DD10" s="67"/>
      <c r="DE10" s="72"/>
      <c r="DF10" s="119"/>
      <c r="DG10" s="124"/>
      <c r="DH10" s="113"/>
      <c r="DI10" s="41"/>
      <c r="DJ10" s="67"/>
      <c r="DK10" s="72"/>
      <c r="DL10" s="119"/>
      <c r="DM10" s="148"/>
      <c r="DN10" s="41"/>
      <c r="DO10" s="67"/>
      <c r="DP10" s="72"/>
      <c r="DQ10" s="119"/>
      <c r="DR10" s="45"/>
      <c r="DS10" s="41"/>
      <c r="DT10" s="67"/>
      <c r="DU10" s="104"/>
      <c r="DV10" s="119"/>
      <c r="DW10" s="124"/>
      <c r="DX10" s="113"/>
      <c r="DY10" s="41"/>
      <c r="DZ10" s="67"/>
      <c r="EA10" s="72"/>
      <c r="EB10" s="119"/>
      <c r="EC10" s="124"/>
      <c r="ED10" s="113"/>
      <c r="EE10" s="41"/>
      <c r="EF10" s="67"/>
      <c r="EG10" s="72"/>
      <c r="EH10" s="192"/>
      <c r="EI10" s="148"/>
      <c r="EJ10" s="41"/>
      <c r="EK10" s="67"/>
      <c r="EL10" s="104"/>
      <c r="EM10" s="148"/>
      <c r="EN10" s="41"/>
      <c r="EO10" s="67"/>
      <c r="EP10" s="72"/>
      <c r="EQ10" s="45"/>
      <c r="ER10" s="41"/>
      <c r="ES10" s="67"/>
      <c r="ET10" s="104"/>
      <c r="EU10" s="124"/>
      <c r="EV10" s="169"/>
      <c r="EW10" s="87"/>
      <c r="EX10" s="248"/>
      <c r="EY10" s="87"/>
      <c r="EZ10" s="91"/>
      <c r="FA10" s="41"/>
      <c r="FB10" s="67"/>
      <c r="FC10" s="104"/>
      <c r="FD10" s="124"/>
      <c r="FE10" s="169"/>
      <c r="FF10" s="87"/>
      <c r="FG10" s="72"/>
      <c r="FH10" s="45"/>
      <c r="FI10" s="41"/>
      <c r="FJ10" s="67"/>
      <c r="FK10" s="104"/>
      <c r="FL10" s="45"/>
      <c r="FM10" s="41"/>
      <c r="FN10" s="148"/>
      <c r="FO10" s="208"/>
      <c r="FP10" s="208"/>
      <c r="FQ10" s="41"/>
      <c r="FR10" s="67"/>
      <c r="FS10" s="104"/>
      <c r="FT10" s="113"/>
      <c r="FU10" s="87"/>
      <c r="FV10" s="104"/>
      <c r="FW10" s="148"/>
      <c r="FX10" s="33"/>
      <c r="FY10" s="124"/>
      <c r="FZ10" s="113"/>
      <c r="GA10" s="87"/>
      <c r="GB10" s="104"/>
      <c r="GC10" s="155"/>
      <c r="GD10" s="113"/>
      <c r="GE10" s="87"/>
      <c r="GF10" s="148"/>
      <c r="GG10" s="208"/>
      <c r="GH10" s="104"/>
      <c r="GI10" s="248"/>
      <c r="GJ10" s="200"/>
      <c r="GK10" s="77"/>
      <c r="GL10" s="41"/>
      <c r="GM10" s="91"/>
      <c r="GN10" s="108"/>
      <c r="GO10" s="108"/>
      <c r="GP10" s="41"/>
      <c r="GQ10" s="91"/>
      <c r="GR10" s="49"/>
      <c r="GS10" s="108"/>
      <c r="GT10" s="108"/>
      <c r="GU10" s="108"/>
      <c r="GV10" s="41"/>
      <c r="GW10" s="91"/>
      <c r="GX10" s="104"/>
      <c r="GY10" s="41"/>
      <c r="GZ10" s="104"/>
      <c r="HA10" s="113"/>
      <c r="HB10" s="274"/>
      <c r="HC10" s="41"/>
      <c r="HD10" s="91"/>
      <c r="HE10" s="41"/>
      <c r="HF10" s="77"/>
      <c r="HG10" s="41"/>
      <c r="HH10" s="104"/>
      <c r="HI10" s="152"/>
      <c r="HJ10" s="77"/>
      <c r="HK10" s="49"/>
      <c r="HL10" s="41"/>
      <c r="HM10" s="104"/>
      <c r="HN10" s="113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1"/>
      <c r="IJ10" s="260"/>
      <c r="IK10" s="261"/>
    </row>
    <row r="11" spans="1:257" x14ac:dyDescent="0.25">
      <c r="A11" s="129">
        <v>44320</v>
      </c>
      <c r="B11" s="18" t="s">
        <v>20</v>
      </c>
      <c r="C11" s="21">
        <f t="shared" si="4"/>
        <v>-35.799999999999997</v>
      </c>
      <c r="D11" s="143"/>
      <c r="E11" s="143"/>
      <c r="F11" s="143"/>
      <c r="G11" s="143"/>
      <c r="H11" s="82"/>
      <c r="I11" s="82"/>
      <c r="J11" s="108"/>
      <c r="K11" s="41"/>
      <c r="L11" s="67"/>
      <c r="M11" s="91"/>
      <c r="N11" s="41"/>
      <c r="O11" s="372"/>
      <c r="P11" s="104"/>
      <c r="Q11" s="161"/>
      <c r="R11" s="113"/>
      <c r="S11" s="72"/>
      <c r="T11" s="41"/>
      <c r="U11" s="67"/>
      <c r="V11" s="72"/>
      <c r="W11" s="161"/>
      <c r="X11" s="41"/>
      <c r="Y11" s="67"/>
      <c r="Z11" s="77"/>
      <c r="AA11" s="41"/>
      <c r="AB11" s="67"/>
      <c r="AC11" s="72"/>
      <c r="AD11" s="113"/>
      <c r="AE11" s="41"/>
      <c r="AF11" s="67"/>
      <c r="AG11" s="104"/>
      <c r="AH11" s="119"/>
      <c r="AI11" s="124"/>
      <c r="AJ11" s="161"/>
      <c r="AK11" s="241"/>
      <c r="AL11" s="41"/>
      <c r="AM11" s="67"/>
      <c r="AN11" s="72"/>
      <c r="AO11" s="45"/>
      <c r="AP11" s="41"/>
      <c r="AQ11" s="67"/>
      <c r="AR11" s="72"/>
      <c r="AS11" s="119"/>
      <c r="AT11" s="45"/>
      <c r="AU11" s="41"/>
      <c r="AV11" s="67"/>
      <c r="AW11" s="72"/>
      <c r="AX11" s="119"/>
      <c r="AY11" s="124"/>
      <c r="AZ11" s="113"/>
      <c r="BA11" s="41"/>
      <c r="BB11" s="67"/>
      <c r="BC11" s="72"/>
      <c r="BD11" s="119"/>
      <c r="BE11" s="124"/>
      <c r="BF11" s="113"/>
      <c r="BG11" s="41"/>
      <c r="BH11" s="67"/>
      <c r="BI11" s="104"/>
      <c r="BJ11" s="119"/>
      <c r="BK11" s="124"/>
      <c r="BL11" s="113"/>
      <c r="BM11" s="87"/>
      <c r="BN11" s="67"/>
      <c r="BO11" s="72"/>
      <c r="BP11" s="119"/>
      <c r="BQ11" s="124"/>
      <c r="BR11" s="113"/>
      <c r="BS11" s="41"/>
      <c r="BT11" s="67"/>
      <c r="BU11" s="104"/>
      <c r="BV11" s="119"/>
      <c r="BW11" s="124"/>
      <c r="BX11" s="113"/>
      <c r="BY11" s="41"/>
      <c r="BZ11" s="67"/>
      <c r="CA11" s="104"/>
      <c r="CB11" s="119"/>
      <c r="CC11" s="124"/>
      <c r="CD11" s="113"/>
      <c r="CE11" s="41"/>
      <c r="CF11" s="67"/>
      <c r="CG11" s="104"/>
      <c r="CH11" s="119"/>
      <c r="CI11" s="124"/>
      <c r="CJ11" s="113"/>
      <c r="CK11" s="41"/>
      <c r="CL11" s="67"/>
      <c r="CM11" s="72"/>
      <c r="CN11" s="119"/>
      <c r="CO11" s="124"/>
      <c r="CP11" s="113"/>
      <c r="CQ11" s="41"/>
      <c r="CR11" s="67"/>
      <c r="CS11" s="72"/>
      <c r="CT11" s="119"/>
      <c r="CU11" s="124"/>
      <c r="CV11" s="113"/>
      <c r="CW11" s="41"/>
      <c r="CX11" s="67"/>
      <c r="CY11" s="72"/>
      <c r="CZ11" s="119"/>
      <c r="DA11" s="124"/>
      <c r="DB11" s="113"/>
      <c r="DC11" s="41"/>
      <c r="DD11" s="67"/>
      <c r="DE11" s="72"/>
      <c r="DF11" s="119"/>
      <c r="DG11" s="124"/>
      <c r="DH11" s="113"/>
      <c r="DI11" s="41"/>
      <c r="DJ11" s="67"/>
      <c r="DK11" s="72"/>
      <c r="DL11" s="119"/>
      <c r="DM11" s="148"/>
      <c r="DN11" s="41"/>
      <c r="DO11" s="67"/>
      <c r="DP11" s="72"/>
      <c r="DQ11" s="119"/>
      <c r="DR11" s="45"/>
      <c r="DS11" s="41"/>
      <c r="DT11" s="67"/>
      <c r="DU11" s="104"/>
      <c r="DV11" s="119"/>
      <c r="DW11" s="124"/>
      <c r="DX11" s="113"/>
      <c r="DY11" s="41"/>
      <c r="DZ11" s="67"/>
      <c r="EA11" s="72"/>
      <c r="EB11" s="119"/>
      <c r="EC11" s="124"/>
      <c r="ED11" s="113"/>
      <c r="EE11" s="41"/>
      <c r="EF11" s="67"/>
      <c r="EG11" s="72"/>
      <c r="EH11" s="192"/>
      <c r="EI11" s="148"/>
      <c r="EJ11" s="41"/>
      <c r="EK11" s="67"/>
      <c r="EL11" s="104"/>
      <c r="EM11" s="148"/>
      <c r="EN11" s="41"/>
      <c r="EO11" s="67"/>
      <c r="EP11" s="72"/>
      <c r="EQ11" s="45"/>
      <c r="ER11" s="41"/>
      <c r="ES11" s="67"/>
      <c r="ET11" s="104"/>
      <c r="EU11" s="124"/>
      <c r="EV11" s="169"/>
      <c r="EW11" s="87"/>
      <c r="EX11" s="248"/>
      <c r="EY11" s="87"/>
      <c r="EZ11" s="91"/>
      <c r="FA11" s="41"/>
      <c r="FB11" s="67"/>
      <c r="FC11" s="104"/>
      <c r="FD11" s="124"/>
      <c r="FE11" s="169"/>
      <c r="FF11" s="87"/>
      <c r="FG11" s="72"/>
      <c r="FH11" s="45"/>
      <c r="FI11" s="41"/>
      <c r="FJ11" s="67"/>
      <c r="FK11" s="104"/>
      <c r="FL11" s="45"/>
      <c r="FM11" s="41"/>
      <c r="FN11" s="148"/>
      <c r="FO11" s="208"/>
      <c r="FP11" s="208"/>
      <c r="FQ11" s="41"/>
      <c r="FR11" s="67"/>
      <c r="FS11" s="104"/>
      <c r="FT11" s="113"/>
      <c r="FU11" s="87"/>
      <c r="FV11" s="104"/>
      <c r="FW11" s="148"/>
      <c r="FX11" s="33"/>
      <c r="FY11" s="124"/>
      <c r="FZ11" s="113"/>
      <c r="GA11" s="87"/>
      <c r="GB11" s="104"/>
      <c r="GC11" s="155"/>
      <c r="GD11" s="113"/>
      <c r="GE11" s="87"/>
      <c r="GF11" s="148"/>
      <c r="GG11" s="208"/>
      <c r="GH11" s="104"/>
      <c r="GI11" s="248"/>
      <c r="GJ11" s="200"/>
      <c r="GK11" s="77"/>
      <c r="GL11" s="41"/>
      <c r="GM11" s="91"/>
      <c r="GN11" s="108"/>
      <c r="GO11" s="108"/>
      <c r="GP11" s="41"/>
      <c r="GQ11" s="91"/>
      <c r="GR11" s="49"/>
      <c r="GS11" s="108"/>
      <c r="GT11" s="108"/>
      <c r="GU11" s="108"/>
      <c r="GV11" s="41"/>
      <c r="GW11" s="91"/>
      <c r="GX11" s="104"/>
      <c r="GY11" s="41">
        <v>-35.799999999999997</v>
      </c>
      <c r="GZ11" s="104"/>
      <c r="HA11" s="113"/>
      <c r="HB11" s="274"/>
      <c r="HC11" s="41"/>
      <c r="HD11" s="91"/>
      <c r="HE11" s="41"/>
      <c r="HF11" s="77"/>
      <c r="HG11" s="41"/>
      <c r="HH11" s="104"/>
      <c r="HI11" s="152"/>
      <c r="HJ11" s="77"/>
      <c r="HK11" s="49"/>
      <c r="HL11" s="41"/>
      <c r="HM11" s="104"/>
      <c r="HN11" s="113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1"/>
      <c r="IJ11" s="260"/>
      <c r="IK11" s="261"/>
    </row>
    <row r="12" spans="1:257" x14ac:dyDescent="0.25">
      <c r="A12" s="129">
        <v>44320</v>
      </c>
      <c r="B12" s="18" t="s">
        <v>24</v>
      </c>
      <c r="C12" s="21">
        <f t="shared" si="4"/>
        <v>-33.814999999999998</v>
      </c>
      <c r="D12" s="143"/>
      <c r="E12" s="143"/>
      <c r="F12" s="143"/>
      <c r="G12" s="143"/>
      <c r="H12" s="82"/>
      <c r="I12" s="82"/>
      <c r="J12" s="108"/>
      <c r="K12" s="41"/>
      <c r="L12" s="67"/>
      <c r="M12" s="91"/>
      <c r="N12" s="41"/>
      <c r="O12" s="372">
        <v>-8.49</v>
      </c>
      <c r="P12" s="104"/>
      <c r="Q12" s="161"/>
      <c r="R12" s="113"/>
      <c r="S12" s="72"/>
      <c r="T12" s="41"/>
      <c r="U12" s="67"/>
      <c r="V12" s="72"/>
      <c r="W12" s="161"/>
      <c r="X12" s="41"/>
      <c r="Y12" s="67"/>
      <c r="Z12" s="77"/>
      <c r="AA12" s="41"/>
      <c r="AB12" s="67"/>
      <c r="AC12" s="72"/>
      <c r="AD12" s="113"/>
      <c r="AE12" s="41"/>
      <c r="AF12" s="67"/>
      <c r="AG12" s="104"/>
      <c r="AH12" s="119"/>
      <c r="AI12" s="124"/>
      <c r="AJ12" s="161"/>
      <c r="AK12" s="241"/>
      <c r="AL12" s="41"/>
      <c r="AM12" s="67">
        <v>-8.25</v>
      </c>
      <c r="AN12" s="72"/>
      <c r="AO12" s="45"/>
      <c r="AP12" s="41"/>
      <c r="AQ12" s="67"/>
      <c r="AR12" s="72"/>
      <c r="AS12" s="119"/>
      <c r="AT12" s="45"/>
      <c r="AU12" s="41"/>
      <c r="AV12" s="67">
        <v>-17.074999999999999</v>
      </c>
      <c r="AW12" s="72"/>
      <c r="AX12" s="119"/>
      <c r="AY12" s="124"/>
      <c r="AZ12" s="113"/>
      <c r="BA12" s="41"/>
      <c r="BB12" s="67"/>
      <c r="BC12" s="72"/>
      <c r="BD12" s="119"/>
      <c r="BE12" s="124"/>
      <c r="BF12" s="113"/>
      <c r="BG12" s="41"/>
      <c r="BH12" s="67"/>
      <c r="BI12" s="104"/>
      <c r="BJ12" s="119"/>
      <c r="BK12" s="124"/>
      <c r="BL12" s="113"/>
      <c r="BM12" s="87"/>
      <c r="BN12" s="67"/>
      <c r="BO12" s="72"/>
      <c r="BP12" s="119"/>
      <c r="BQ12" s="124"/>
      <c r="BR12" s="113"/>
      <c r="BS12" s="41"/>
      <c r="BT12" s="67"/>
      <c r="BU12" s="104"/>
      <c r="BV12" s="119"/>
      <c r="BW12" s="124"/>
      <c r="BX12" s="113"/>
      <c r="BY12" s="41"/>
      <c r="BZ12" s="67"/>
      <c r="CA12" s="104"/>
      <c r="CB12" s="119"/>
      <c r="CC12" s="124"/>
      <c r="CD12" s="113"/>
      <c r="CE12" s="41"/>
      <c r="CF12" s="67"/>
      <c r="CG12" s="104"/>
      <c r="CH12" s="119"/>
      <c r="CI12" s="124"/>
      <c r="CJ12" s="113"/>
      <c r="CK12" s="41"/>
      <c r="CL12" s="67"/>
      <c r="CM12" s="72"/>
      <c r="CN12" s="119"/>
      <c r="CO12" s="124"/>
      <c r="CP12" s="113"/>
      <c r="CQ12" s="41"/>
      <c r="CR12" s="67"/>
      <c r="CS12" s="72"/>
      <c r="CT12" s="119"/>
      <c r="CU12" s="124"/>
      <c r="CV12" s="113"/>
      <c r="CW12" s="41"/>
      <c r="CX12" s="67"/>
      <c r="CY12" s="72"/>
      <c r="CZ12" s="119"/>
      <c r="DA12" s="124"/>
      <c r="DB12" s="113"/>
      <c r="DC12" s="41"/>
      <c r="DD12" s="67"/>
      <c r="DE12" s="72"/>
      <c r="DF12" s="119"/>
      <c r="DG12" s="124"/>
      <c r="DH12" s="113"/>
      <c r="DI12" s="41"/>
      <c r="DJ12" s="67"/>
      <c r="DK12" s="72"/>
      <c r="DL12" s="119"/>
      <c r="DM12" s="148"/>
      <c r="DN12" s="41"/>
      <c r="DO12" s="67"/>
      <c r="DP12" s="72"/>
      <c r="DQ12" s="119"/>
      <c r="DR12" s="45"/>
      <c r="DS12" s="41"/>
      <c r="DT12" s="67"/>
      <c r="DU12" s="104"/>
      <c r="DV12" s="119"/>
      <c r="DW12" s="124"/>
      <c r="DX12" s="113"/>
      <c r="DY12" s="41"/>
      <c r="DZ12" s="67"/>
      <c r="EA12" s="72"/>
      <c r="EB12" s="119"/>
      <c r="EC12" s="124"/>
      <c r="ED12" s="113"/>
      <c r="EE12" s="41"/>
      <c r="EF12" s="67"/>
      <c r="EG12" s="72"/>
      <c r="EH12" s="192"/>
      <c r="EI12" s="148"/>
      <c r="EJ12" s="41"/>
      <c r="EK12" s="67"/>
      <c r="EL12" s="104"/>
      <c r="EM12" s="148"/>
      <c r="EN12" s="41"/>
      <c r="EO12" s="67"/>
      <c r="EP12" s="72"/>
      <c r="EQ12" s="45"/>
      <c r="ER12" s="41"/>
      <c r="ES12" s="67"/>
      <c r="ET12" s="104"/>
      <c r="EU12" s="124"/>
      <c r="EV12" s="169"/>
      <c r="EW12" s="87"/>
      <c r="EX12" s="248"/>
      <c r="EY12" s="87"/>
      <c r="EZ12" s="91"/>
      <c r="FA12" s="41"/>
      <c r="FB12" s="67"/>
      <c r="FC12" s="104"/>
      <c r="FD12" s="124"/>
      <c r="FE12" s="169"/>
      <c r="FF12" s="87"/>
      <c r="FG12" s="72"/>
      <c r="FH12" s="45"/>
      <c r="FI12" s="41"/>
      <c r="FJ12" s="67"/>
      <c r="FK12" s="104"/>
      <c r="FL12" s="45"/>
      <c r="FM12" s="41"/>
      <c r="FN12" s="148"/>
      <c r="FO12" s="208"/>
      <c r="FP12" s="208"/>
      <c r="FQ12" s="41"/>
      <c r="FR12" s="67"/>
      <c r="FS12" s="104"/>
      <c r="FT12" s="113"/>
      <c r="FU12" s="87"/>
      <c r="FV12" s="104"/>
      <c r="FW12" s="148"/>
      <c r="FX12" s="33"/>
      <c r="FY12" s="124"/>
      <c r="FZ12" s="113"/>
      <c r="GA12" s="87"/>
      <c r="GB12" s="104"/>
      <c r="GC12" s="155"/>
      <c r="GD12" s="113"/>
      <c r="GE12" s="87"/>
      <c r="GF12" s="148"/>
      <c r="GG12" s="208"/>
      <c r="GH12" s="104"/>
      <c r="GI12" s="248"/>
      <c r="GJ12" s="200"/>
      <c r="GK12" s="77"/>
      <c r="GL12" s="41"/>
      <c r="GM12" s="91"/>
      <c r="GN12" s="108"/>
      <c r="GO12" s="108"/>
      <c r="GP12" s="41"/>
      <c r="GQ12" s="91"/>
      <c r="GR12" s="49"/>
      <c r="GS12" s="108"/>
      <c r="GT12" s="108"/>
      <c r="GU12" s="108"/>
      <c r="GV12" s="41"/>
      <c r="GW12" s="91"/>
      <c r="GX12" s="104"/>
      <c r="GY12" s="41"/>
      <c r="GZ12" s="104"/>
      <c r="HA12" s="113"/>
      <c r="HB12" s="274"/>
      <c r="HC12" s="41"/>
      <c r="HD12" s="91"/>
      <c r="HE12" s="41"/>
      <c r="HF12" s="77"/>
      <c r="HG12" s="41"/>
      <c r="HH12" s="104"/>
      <c r="HI12" s="152"/>
      <c r="HJ12" s="77"/>
      <c r="HK12" s="49"/>
      <c r="HL12" s="41"/>
      <c r="HM12" s="104"/>
      <c r="HN12" s="113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1"/>
      <c r="IJ12" s="260"/>
      <c r="IK12" s="261"/>
    </row>
    <row r="13" spans="1:257" x14ac:dyDescent="0.25">
      <c r="A13" s="129">
        <v>44321</v>
      </c>
      <c r="B13" s="18" t="s">
        <v>29</v>
      </c>
      <c r="C13" s="21">
        <f t="shared" si="4"/>
        <v>-34.299999999999997</v>
      </c>
      <c r="D13" s="143"/>
      <c r="E13" s="143"/>
      <c r="F13" s="143"/>
      <c r="G13" s="143"/>
      <c r="H13" s="82"/>
      <c r="I13" s="82"/>
      <c r="J13" s="108"/>
      <c r="K13" s="41"/>
      <c r="L13" s="67"/>
      <c r="M13" s="91"/>
      <c r="N13" s="41"/>
      <c r="O13" s="372"/>
      <c r="P13" s="104"/>
      <c r="Q13" s="161"/>
      <c r="R13" s="113"/>
      <c r="S13" s="72"/>
      <c r="T13" s="41"/>
      <c r="U13" s="67"/>
      <c r="V13" s="72"/>
      <c r="W13" s="161"/>
      <c r="X13" s="41"/>
      <c r="Y13" s="67"/>
      <c r="Z13" s="77"/>
      <c r="AA13" s="41"/>
      <c r="AB13" s="67"/>
      <c r="AC13" s="72"/>
      <c r="AD13" s="113"/>
      <c r="AE13" s="41"/>
      <c r="AF13" s="67"/>
      <c r="AG13" s="104"/>
      <c r="AH13" s="119"/>
      <c r="AI13" s="124"/>
      <c r="AJ13" s="161"/>
      <c r="AK13" s="241"/>
      <c r="AL13" s="41"/>
      <c r="AM13" s="67"/>
      <c r="AN13" s="72"/>
      <c r="AO13" s="45"/>
      <c r="AP13" s="41"/>
      <c r="AQ13" s="67"/>
      <c r="AR13" s="72"/>
      <c r="AS13" s="119"/>
      <c r="AT13" s="45"/>
      <c r="AU13" s="41"/>
      <c r="AV13" s="67"/>
      <c r="AW13" s="72"/>
      <c r="AX13" s="119"/>
      <c r="AY13" s="124"/>
      <c r="AZ13" s="113"/>
      <c r="BA13" s="41"/>
      <c r="BB13" s="67"/>
      <c r="BC13" s="72"/>
      <c r="BD13" s="119"/>
      <c r="BE13" s="124"/>
      <c r="BF13" s="113"/>
      <c r="BG13" s="41"/>
      <c r="BH13" s="67"/>
      <c r="BI13" s="104"/>
      <c r="BJ13" s="119"/>
      <c r="BK13" s="124"/>
      <c r="BL13" s="113"/>
      <c r="BM13" s="87"/>
      <c r="BN13" s="67"/>
      <c r="BO13" s="72"/>
      <c r="BP13" s="119"/>
      <c r="BQ13" s="124"/>
      <c r="BR13" s="113"/>
      <c r="BS13" s="41"/>
      <c r="BT13" s="67"/>
      <c r="BU13" s="104"/>
      <c r="BV13" s="119"/>
      <c r="BW13" s="124"/>
      <c r="BX13" s="113"/>
      <c r="BY13" s="41"/>
      <c r="BZ13" s="67"/>
      <c r="CA13" s="104"/>
      <c r="CB13" s="119"/>
      <c r="CC13" s="124"/>
      <c r="CD13" s="113"/>
      <c r="CE13" s="41"/>
      <c r="CF13" s="67"/>
      <c r="CG13" s="104"/>
      <c r="CH13" s="119"/>
      <c r="CI13" s="124"/>
      <c r="CJ13" s="113"/>
      <c r="CK13" s="41"/>
      <c r="CL13" s="67"/>
      <c r="CM13" s="72"/>
      <c r="CN13" s="119"/>
      <c r="CO13" s="124"/>
      <c r="CP13" s="113"/>
      <c r="CQ13" s="41"/>
      <c r="CR13" s="67"/>
      <c r="CS13" s="72"/>
      <c r="CT13" s="119"/>
      <c r="CU13" s="124"/>
      <c r="CV13" s="113"/>
      <c r="CW13" s="41"/>
      <c r="CX13" s="67"/>
      <c r="CY13" s="72"/>
      <c r="CZ13" s="119"/>
      <c r="DA13" s="124"/>
      <c r="DB13" s="113"/>
      <c r="DC13" s="41"/>
      <c r="DD13" s="67"/>
      <c r="DE13" s="72"/>
      <c r="DF13" s="119"/>
      <c r="DG13" s="124"/>
      <c r="DH13" s="113"/>
      <c r="DI13" s="41"/>
      <c r="DJ13" s="67"/>
      <c r="DK13" s="72"/>
      <c r="DL13" s="119"/>
      <c r="DM13" s="148"/>
      <c r="DN13" s="41">
        <v>-34.299999999999997</v>
      </c>
      <c r="DO13" s="67"/>
      <c r="DP13" s="72"/>
      <c r="DQ13" s="119"/>
      <c r="DR13" s="45"/>
      <c r="DS13" s="41"/>
      <c r="DT13" s="67"/>
      <c r="DU13" s="104"/>
      <c r="DV13" s="119"/>
      <c r="DW13" s="124"/>
      <c r="DX13" s="113"/>
      <c r="DY13" s="41"/>
      <c r="DZ13" s="67"/>
      <c r="EA13" s="72"/>
      <c r="EB13" s="119"/>
      <c r="EC13" s="124"/>
      <c r="ED13" s="113"/>
      <c r="EE13" s="41"/>
      <c r="EF13" s="67"/>
      <c r="EG13" s="72"/>
      <c r="EH13" s="192"/>
      <c r="EI13" s="148"/>
      <c r="EJ13" s="41"/>
      <c r="EK13" s="67"/>
      <c r="EL13" s="104"/>
      <c r="EM13" s="148"/>
      <c r="EN13" s="41"/>
      <c r="EO13" s="67"/>
      <c r="EP13" s="72"/>
      <c r="EQ13" s="45"/>
      <c r="ER13" s="41"/>
      <c r="ES13" s="67"/>
      <c r="ET13" s="104"/>
      <c r="EU13" s="124"/>
      <c r="EV13" s="169"/>
      <c r="EW13" s="87"/>
      <c r="EX13" s="248"/>
      <c r="EY13" s="87"/>
      <c r="EZ13" s="91"/>
      <c r="FA13" s="41"/>
      <c r="FB13" s="67"/>
      <c r="FC13" s="104"/>
      <c r="FD13" s="124"/>
      <c r="FE13" s="169"/>
      <c r="FF13" s="87"/>
      <c r="FG13" s="72"/>
      <c r="FH13" s="45"/>
      <c r="FI13" s="41"/>
      <c r="FJ13" s="67"/>
      <c r="FK13" s="104"/>
      <c r="FL13" s="45"/>
      <c r="FM13" s="41"/>
      <c r="FN13" s="148"/>
      <c r="FO13" s="208"/>
      <c r="FP13" s="208"/>
      <c r="FQ13" s="41"/>
      <c r="FR13" s="67"/>
      <c r="FS13" s="104"/>
      <c r="FT13" s="113"/>
      <c r="FU13" s="87"/>
      <c r="FV13" s="104"/>
      <c r="FW13" s="148"/>
      <c r="FX13" s="33"/>
      <c r="FY13" s="124"/>
      <c r="FZ13" s="113"/>
      <c r="GA13" s="87"/>
      <c r="GB13" s="104"/>
      <c r="GC13" s="155"/>
      <c r="GD13" s="113"/>
      <c r="GE13" s="87"/>
      <c r="GF13" s="148"/>
      <c r="GG13" s="208"/>
      <c r="GH13" s="104"/>
      <c r="GI13" s="248"/>
      <c r="GJ13" s="200"/>
      <c r="GK13" s="77"/>
      <c r="GL13" s="41"/>
      <c r="GM13" s="91"/>
      <c r="GN13" s="108"/>
      <c r="GO13" s="108"/>
      <c r="GP13" s="41"/>
      <c r="GQ13" s="91"/>
      <c r="GR13" s="49"/>
      <c r="GS13" s="108"/>
      <c r="GT13" s="108"/>
      <c r="GU13" s="108"/>
      <c r="GV13" s="41"/>
      <c r="GW13" s="91"/>
      <c r="GX13" s="104"/>
      <c r="GY13" s="41"/>
      <c r="GZ13" s="104"/>
      <c r="HA13" s="113"/>
      <c r="HB13" s="274"/>
      <c r="HC13" s="41"/>
      <c r="HD13" s="91"/>
      <c r="HE13" s="41"/>
      <c r="HF13" s="77"/>
      <c r="HG13" s="41"/>
      <c r="HH13" s="104"/>
      <c r="HI13" s="152"/>
      <c r="HJ13" s="77"/>
      <c r="HK13" s="49"/>
      <c r="HL13" s="41"/>
      <c r="HM13" s="104"/>
      <c r="HN13" s="113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1"/>
      <c r="IJ13" s="260"/>
      <c r="IK13" s="261"/>
    </row>
    <row r="14" spans="1:257" x14ac:dyDescent="0.25">
      <c r="A14" s="129">
        <v>44321</v>
      </c>
      <c r="B14" s="18" t="s">
        <v>20</v>
      </c>
      <c r="C14" s="21">
        <f t="shared" si="4"/>
        <v>-52.06</v>
      </c>
      <c r="D14" s="143"/>
      <c r="E14" s="143"/>
      <c r="F14" s="143"/>
      <c r="G14" s="143"/>
      <c r="H14" s="82"/>
      <c r="I14" s="82"/>
      <c r="J14" s="108"/>
      <c r="K14" s="41"/>
      <c r="L14" s="67"/>
      <c r="M14" s="91"/>
      <c r="N14" s="41"/>
      <c r="O14" s="372"/>
      <c r="P14" s="104"/>
      <c r="Q14" s="161"/>
      <c r="R14" s="113"/>
      <c r="S14" s="72"/>
      <c r="T14" s="41"/>
      <c r="U14" s="67"/>
      <c r="V14" s="72"/>
      <c r="W14" s="161"/>
      <c r="X14" s="41"/>
      <c r="Y14" s="67"/>
      <c r="Z14" s="77"/>
      <c r="AA14" s="41"/>
      <c r="AB14" s="67"/>
      <c r="AC14" s="72"/>
      <c r="AD14" s="113"/>
      <c r="AE14" s="41"/>
      <c r="AF14" s="67"/>
      <c r="AG14" s="104"/>
      <c r="AH14" s="119"/>
      <c r="AI14" s="124"/>
      <c r="AJ14" s="161"/>
      <c r="AK14" s="241"/>
      <c r="AL14" s="41"/>
      <c r="AM14" s="67"/>
      <c r="AN14" s="72"/>
      <c r="AO14" s="45"/>
      <c r="AP14" s="41"/>
      <c r="AQ14" s="67"/>
      <c r="AR14" s="72"/>
      <c r="AS14" s="119"/>
      <c r="AT14" s="45"/>
      <c r="AU14" s="41"/>
      <c r="AV14" s="67"/>
      <c r="AW14" s="72"/>
      <c r="AX14" s="119"/>
      <c r="AY14" s="124"/>
      <c r="AZ14" s="113"/>
      <c r="BA14" s="41">
        <v>-8.7899999999999991</v>
      </c>
      <c r="BB14" s="67"/>
      <c r="BC14" s="72"/>
      <c r="BD14" s="119"/>
      <c r="BE14" s="124"/>
      <c r="BF14" s="113"/>
      <c r="BG14" s="41">
        <v>-8.43</v>
      </c>
      <c r="BH14" s="67"/>
      <c r="BI14" s="104"/>
      <c r="BJ14" s="119"/>
      <c r="BK14" s="124"/>
      <c r="BL14" s="113"/>
      <c r="BM14" s="87">
        <v>-8.77</v>
      </c>
      <c r="BN14" s="67"/>
      <c r="BO14" s="72"/>
      <c r="BP14" s="119"/>
      <c r="BQ14" s="124"/>
      <c r="BR14" s="113"/>
      <c r="BS14" s="41"/>
      <c r="BT14" s="67">
        <v>-8.27</v>
      </c>
      <c r="BU14" s="104"/>
      <c r="BV14" s="119"/>
      <c r="BW14" s="124"/>
      <c r="BX14" s="113"/>
      <c r="BY14" s="41"/>
      <c r="BZ14" s="67"/>
      <c r="CA14" s="104"/>
      <c r="CB14" s="119"/>
      <c r="CC14" s="124"/>
      <c r="CD14" s="113"/>
      <c r="CE14" s="41"/>
      <c r="CF14" s="67"/>
      <c r="CG14" s="104"/>
      <c r="CH14" s="119"/>
      <c r="CI14" s="124"/>
      <c r="CJ14" s="113"/>
      <c r="CK14" s="41"/>
      <c r="CL14" s="67"/>
      <c r="CM14" s="72"/>
      <c r="CN14" s="119"/>
      <c r="CO14" s="124"/>
      <c r="CP14" s="113"/>
      <c r="CQ14" s="41">
        <v>-9.09</v>
      </c>
      <c r="CR14" s="67"/>
      <c r="CS14" s="72"/>
      <c r="CT14" s="119"/>
      <c r="CU14" s="124"/>
      <c r="CV14" s="113"/>
      <c r="CW14" s="41">
        <v>-8.7100000000000009</v>
      </c>
      <c r="CX14" s="67"/>
      <c r="CY14" s="72"/>
      <c r="CZ14" s="119"/>
      <c r="DA14" s="124"/>
      <c r="DB14" s="113"/>
      <c r="DC14" s="41"/>
      <c r="DD14" s="67"/>
      <c r="DE14" s="72"/>
      <c r="DF14" s="119"/>
      <c r="DG14" s="124"/>
      <c r="DH14" s="113"/>
      <c r="DI14" s="41"/>
      <c r="DJ14" s="67"/>
      <c r="DK14" s="72"/>
      <c r="DL14" s="119"/>
      <c r="DM14" s="148"/>
      <c r="DN14" s="41"/>
      <c r="DO14" s="67"/>
      <c r="DP14" s="72"/>
      <c r="DQ14" s="119"/>
      <c r="DR14" s="45"/>
      <c r="DS14" s="41"/>
      <c r="DT14" s="67"/>
      <c r="DU14" s="104"/>
      <c r="DV14" s="119"/>
      <c r="DW14" s="124"/>
      <c r="DX14" s="113"/>
      <c r="DY14" s="41"/>
      <c r="DZ14" s="67"/>
      <c r="EA14" s="72"/>
      <c r="EB14" s="119"/>
      <c r="EC14" s="124"/>
      <c r="ED14" s="113"/>
      <c r="EE14" s="41"/>
      <c r="EF14" s="67"/>
      <c r="EG14" s="72"/>
      <c r="EH14" s="192"/>
      <c r="EI14" s="148"/>
      <c r="EJ14" s="41"/>
      <c r="EK14" s="67"/>
      <c r="EL14" s="104"/>
      <c r="EM14" s="148"/>
      <c r="EN14" s="41"/>
      <c r="EO14" s="67"/>
      <c r="EP14" s="72"/>
      <c r="EQ14" s="45"/>
      <c r="ER14" s="41"/>
      <c r="ES14" s="67"/>
      <c r="ET14" s="104"/>
      <c r="EU14" s="124"/>
      <c r="EV14" s="169"/>
      <c r="EW14" s="87"/>
      <c r="EX14" s="248"/>
      <c r="EY14" s="87"/>
      <c r="EZ14" s="91"/>
      <c r="FA14" s="41"/>
      <c r="FB14" s="67"/>
      <c r="FC14" s="104"/>
      <c r="FD14" s="124"/>
      <c r="FE14" s="169"/>
      <c r="FF14" s="87"/>
      <c r="FG14" s="72"/>
      <c r="FH14" s="45"/>
      <c r="FI14" s="41"/>
      <c r="FJ14" s="67"/>
      <c r="FK14" s="104"/>
      <c r="FL14" s="45"/>
      <c r="FM14" s="41"/>
      <c r="FN14" s="148"/>
      <c r="FO14" s="208"/>
      <c r="FP14" s="208"/>
      <c r="FQ14" s="41"/>
      <c r="FR14" s="67"/>
      <c r="FS14" s="104"/>
      <c r="FT14" s="113"/>
      <c r="FU14" s="87"/>
      <c r="FV14" s="104"/>
      <c r="FW14" s="148"/>
      <c r="FX14" s="33"/>
      <c r="FY14" s="124"/>
      <c r="FZ14" s="113"/>
      <c r="GA14" s="87"/>
      <c r="GB14" s="104"/>
      <c r="GC14" s="155"/>
      <c r="GD14" s="113"/>
      <c r="GE14" s="87"/>
      <c r="GF14" s="148"/>
      <c r="GG14" s="208"/>
      <c r="GH14" s="104"/>
      <c r="GI14" s="248"/>
      <c r="GJ14" s="200"/>
      <c r="GK14" s="77"/>
      <c r="GL14" s="41"/>
      <c r="GM14" s="91"/>
      <c r="GN14" s="108"/>
      <c r="GO14" s="108"/>
      <c r="GP14" s="41"/>
      <c r="GQ14" s="91"/>
      <c r="GR14" s="49"/>
      <c r="GS14" s="108"/>
      <c r="GT14" s="108"/>
      <c r="GU14" s="108"/>
      <c r="GV14" s="41"/>
      <c r="GW14" s="91"/>
      <c r="GX14" s="104"/>
      <c r="GY14" s="41"/>
      <c r="GZ14" s="104"/>
      <c r="HA14" s="113"/>
      <c r="HB14" s="274"/>
      <c r="HC14" s="41"/>
      <c r="HD14" s="91"/>
      <c r="HE14" s="41"/>
      <c r="HF14" s="77"/>
      <c r="HG14" s="41"/>
      <c r="HH14" s="104"/>
      <c r="HI14" s="152"/>
      <c r="HJ14" s="77"/>
      <c r="HK14" s="49"/>
      <c r="HL14" s="41"/>
      <c r="HM14" s="104"/>
      <c r="HN14" s="113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1"/>
      <c r="IJ14" s="260"/>
      <c r="IK14" s="261"/>
    </row>
    <row r="15" spans="1:257" x14ac:dyDescent="0.25">
      <c r="A15" s="129">
        <v>44321</v>
      </c>
      <c r="B15" s="18" t="s">
        <v>3</v>
      </c>
      <c r="C15" s="21">
        <f t="shared" si="4"/>
        <v>6039.39</v>
      </c>
      <c r="D15" s="143"/>
      <c r="E15" s="143"/>
      <c r="F15" s="143"/>
      <c r="G15" s="143"/>
      <c r="H15" s="82"/>
      <c r="I15" s="82"/>
      <c r="J15" s="108"/>
      <c r="K15" s="41"/>
      <c r="L15" s="67"/>
      <c r="M15" s="91"/>
      <c r="N15" s="41"/>
      <c r="O15" s="372"/>
      <c r="P15" s="104"/>
      <c r="Q15" s="161"/>
      <c r="R15" s="113"/>
      <c r="S15" s="72"/>
      <c r="T15" s="41"/>
      <c r="U15" s="67"/>
      <c r="V15" s="72"/>
      <c r="W15" s="161"/>
      <c r="X15" s="41"/>
      <c r="Y15" s="67"/>
      <c r="Z15" s="77"/>
      <c r="AA15" s="41"/>
      <c r="AB15" s="67">
        <v>505.34</v>
      </c>
      <c r="AC15" s="72"/>
      <c r="AD15" s="113"/>
      <c r="AE15" s="41"/>
      <c r="AF15" s="67">
        <v>500.26</v>
      </c>
      <c r="AG15" s="104"/>
      <c r="AH15" s="119"/>
      <c r="AI15" s="124"/>
      <c r="AJ15" s="161"/>
      <c r="AK15" s="241"/>
      <c r="AL15" s="41"/>
      <c r="AM15" s="67">
        <v>501.77</v>
      </c>
      <c r="AN15" s="72"/>
      <c r="AO15" s="45"/>
      <c r="AP15" s="41"/>
      <c r="AQ15" s="67"/>
      <c r="AR15" s="72"/>
      <c r="AS15" s="119"/>
      <c r="AT15" s="45"/>
      <c r="AU15" s="41"/>
      <c r="AV15" s="67"/>
      <c r="AW15" s="72"/>
      <c r="AX15" s="119"/>
      <c r="AY15" s="124"/>
      <c r="AZ15" s="113"/>
      <c r="BA15" s="41"/>
      <c r="BB15" s="67"/>
      <c r="BC15" s="72"/>
      <c r="BD15" s="119"/>
      <c r="BE15" s="124"/>
      <c r="BF15" s="113"/>
      <c r="BG15" s="41"/>
      <c r="BH15" s="67">
        <v>1010.05</v>
      </c>
      <c r="BI15" s="104"/>
      <c r="BJ15" s="119"/>
      <c r="BK15" s="124"/>
      <c r="BL15" s="113"/>
      <c r="BM15" s="87"/>
      <c r="BN15" s="67">
        <v>1004.44</v>
      </c>
      <c r="BO15" s="72"/>
      <c r="BP15" s="119"/>
      <c r="BQ15" s="124"/>
      <c r="BR15" s="113"/>
      <c r="BS15" s="41"/>
      <c r="BT15" s="67">
        <v>499.99</v>
      </c>
      <c r="BU15" s="104"/>
      <c r="BV15" s="119"/>
      <c r="BW15" s="124"/>
      <c r="BX15" s="113"/>
      <c r="BY15" s="41"/>
      <c r="BZ15" s="67">
        <v>503.08</v>
      </c>
      <c r="CA15" s="104"/>
      <c r="CB15" s="119"/>
      <c r="CC15" s="124"/>
      <c r="CD15" s="113"/>
      <c r="CE15" s="41"/>
      <c r="CF15" s="67">
        <v>509.55</v>
      </c>
      <c r="CG15" s="104"/>
      <c r="CH15" s="119"/>
      <c r="CI15" s="124"/>
      <c r="CJ15" s="113"/>
      <c r="CK15" s="41"/>
      <c r="CL15" s="67">
        <v>504.61</v>
      </c>
      <c r="CM15" s="72"/>
      <c r="CN15" s="119"/>
      <c r="CO15" s="124"/>
      <c r="CP15" s="113"/>
      <c r="CQ15" s="41"/>
      <c r="CR15" s="67">
        <v>500.3</v>
      </c>
      <c r="CS15" s="72"/>
      <c r="CT15" s="119"/>
      <c r="CU15" s="124"/>
      <c r="CV15" s="113"/>
      <c r="CW15" s="41"/>
      <c r="CX15" s="67"/>
      <c r="CY15" s="72"/>
      <c r="CZ15" s="119"/>
      <c r="DA15" s="124"/>
      <c r="DB15" s="113"/>
      <c r="DC15" s="41"/>
      <c r="DD15" s="67"/>
      <c r="DE15" s="72"/>
      <c r="DF15" s="119"/>
      <c r="DG15" s="124"/>
      <c r="DH15" s="113"/>
      <c r="DI15" s="41"/>
      <c r="DJ15" s="67"/>
      <c r="DK15" s="72"/>
      <c r="DL15" s="119"/>
      <c r="DM15" s="148"/>
      <c r="DN15" s="41"/>
      <c r="DO15" s="67"/>
      <c r="DP15" s="72"/>
      <c r="DQ15" s="119"/>
      <c r="DR15" s="45"/>
      <c r="DS15" s="41"/>
      <c r="DT15" s="67"/>
      <c r="DU15" s="104"/>
      <c r="DV15" s="119"/>
      <c r="DW15" s="124"/>
      <c r="DX15" s="113"/>
      <c r="DY15" s="41"/>
      <c r="DZ15" s="67"/>
      <c r="EA15" s="72"/>
      <c r="EB15" s="119"/>
      <c r="EC15" s="124"/>
      <c r="ED15" s="113"/>
      <c r="EE15" s="41"/>
      <c r="EF15" s="67"/>
      <c r="EG15" s="72"/>
      <c r="EH15" s="192"/>
      <c r="EI15" s="148"/>
      <c r="EJ15" s="41"/>
      <c r="EK15" s="67"/>
      <c r="EL15" s="104"/>
      <c r="EM15" s="148"/>
      <c r="EN15" s="41"/>
      <c r="EO15" s="67"/>
      <c r="EP15" s="72"/>
      <c r="EQ15" s="45"/>
      <c r="ER15" s="41"/>
      <c r="ES15" s="67"/>
      <c r="ET15" s="104"/>
      <c r="EU15" s="124"/>
      <c r="EV15" s="169"/>
      <c r="EW15" s="87"/>
      <c r="EX15" s="248"/>
      <c r="EY15" s="87"/>
      <c r="EZ15" s="91"/>
      <c r="FA15" s="41"/>
      <c r="FB15" s="67"/>
      <c r="FC15" s="104"/>
      <c r="FD15" s="124"/>
      <c r="FE15" s="169"/>
      <c r="FF15" s="87"/>
      <c r="FG15" s="72"/>
      <c r="FH15" s="45"/>
      <c r="FI15" s="41"/>
      <c r="FJ15" s="67"/>
      <c r="FK15" s="104"/>
      <c r="FL15" s="45"/>
      <c r="FM15" s="41"/>
      <c r="FN15" s="148"/>
      <c r="FO15" s="208"/>
      <c r="FP15" s="208"/>
      <c r="FQ15" s="41"/>
      <c r="FR15" s="67"/>
      <c r="FS15" s="104"/>
      <c r="FT15" s="113"/>
      <c r="FU15" s="87"/>
      <c r="FV15" s="104"/>
      <c r="FW15" s="148"/>
      <c r="FX15" s="33"/>
      <c r="FY15" s="124"/>
      <c r="FZ15" s="113"/>
      <c r="GA15" s="87"/>
      <c r="GB15" s="104"/>
      <c r="GC15" s="155"/>
      <c r="GD15" s="113"/>
      <c r="GE15" s="87"/>
      <c r="GF15" s="148"/>
      <c r="GG15" s="208"/>
      <c r="GH15" s="104"/>
      <c r="GI15" s="248"/>
      <c r="GJ15" s="200"/>
      <c r="GK15" s="77"/>
      <c r="GL15" s="41"/>
      <c r="GM15" s="91"/>
      <c r="GN15" s="108"/>
      <c r="GO15" s="108"/>
      <c r="GP15" s="41"/>
      <c r="GQ15" s="91"/>
      <c r="GR15" s="49"/>
      <c r="GS15" s="108"/>
      <c r="GT15" s="108"/>
      <c r="GU15" s="108"/>
      <c r="GV15" s="41"/>
      <c r="GW15" s="91"/>
      <c r="GX15" s="104"/>
      <c r="GY15" s="41"/>
      <c r="GZ15" s="104"/>
      <c r="HA15" s="113"/>
      <c r="HB15" s="274"/>
      <c r="HC15" s="41"/>
      <c r="HD15" s="91"/>
      <c r="HE15" s="41"/>
      <c r="HF15" s="77"/>
      <c r="HG15" s="41"/>
      <c r="HH15" s="104"/>
      <c r="HI15" s="152"/>
      <c r="HJ15" s="77"/>
      <c r="HK15" s="49"/>
      <c r="HL15" s="41"/>
      <c r="HM15" s="104"/>
      <c r="HN15" s="113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1"/>
      <c r="IJ15" s="260"/>
      <c r="IK15" s="261"/>
    </row>
    <row r="16" spans="1:257" x14ac:dyDescent="0.25">
      <c r="A16" s="129">
        <v>44322</v>
      </c>
      <c r="B16" s="18" t="s">
        <v>15</v>
      </c>
      <c r="C16" s="21">
        <f t="shared" si="4"/>
        <v>-397.34</v>
      </c>
      <c r="D16" s="143"/>
      <c r="E16" s="143"/>
      <c r="F16" s="143"/>
      <c r="G16" s="143"/>
      <c r="H16" s="82"/>
      <c r="I16" s="82"/>
      <c r="J16" s="108"/>
      <c r="K16" s="41"/>
      <c r="L16" s="67"/>
      <c r="M16" s="91"/>
      <c r="N16" s="41"/>
      <c r="O16" s="372"/>
      <c r="P16" s="104"/>
      <c r="Q16" s="161"/>
      <c r="R16" s="113"/>
      <c r="S16" s="72"/>
      <c r="T16" s="41"/>
      <c r="U16" s="67"/>
      <c r="V16" s="72"/>
      <c r="W16" s="161"/>
      <c r="X16" s="41"/>
      <c r="Y16" s="67"/>
      <c r="Z16" s="77"/>
      <c r="AA16" s="41"/>
      <c r="AB16" s="67">
        <v>-33.770000000000003</v>
      </c>
      <c r="AC16" s="72"/>
      <c r="AD16" s="113"/>
      <c r="AE16" s="41"/>
      <c r="AF16" s="67"/>
      <c r="AG16" s="104"/>
      <c r="AH16" s="119"/>
      <c r="AI16" s="124"/>
      <c r="AJ16" s="161"/>
      <c r="AK16" s="241"/>
      <c r="AL16" s="41"/>
      <c r="AM16" s="67"/>
      <c r="AN16" s="72"/>
      <c r="AO16" s="45"/>
      <c r="AP16" s="41"/>
      <c r="AQ16" s="67"/>
      <c r="AR16" s="72"/>
      <c r="AS16" s="119"/>
      <c r="AT16" s="45"/>
      <c r="AU16" s="41"/>
      <c r="AV16" s="67">
        <v>-68.215000000000003</v>
      </c>
      <c r="AW16" s="72"/>
      <c r="AX16" s="119"/>
      <c r="AY16" s="124"/>
      <c r="AZ16" s="113"/>
      <c r="BA16" s="41"/>
      <c r="BB16" s="67"/>
      <c r="BC16" s="72"/>
      <c r="BD16" s="119"/>
      <c r="BE16" s="124"/>
      <c r="BF16" s="113"/>
      <c r="BG16" s="41"/>
      <c r="BH16" s="67">
        <v>-102.30500000000001</v>
      </c>
      <c r="BI16" s="104"/>
      <c r="BJ16" s="119"/>
      <c r="BK16" s="124"/>
      <c r="BL16" s="113"/>
      <c r="BM16" s="87">
        <v>-58.45</v>
      </c>
      <c r="BN16" s="67">
        <v>-34</v>
      </c>
      <c r="BO16" s="72"/>
      <c r="BP16" s="119"/>
      <c r="BQ16" s="124"/>
      <c r="BR16" s="113"/>
      <c r="BS16" s="41"/>
      <c r="BT16" s="67"/>
      <c r="BU16" s="104"/>
      <c r="BV16" s="119"/>
      <c r="BW16" s="124"/>
      <c r="BX16" s="113"/>
      <c r="BY16" s="41"/>
      <c r="BZ16" s="67"/>
      <c r="CA16" s="104"/>
      <c r="CB16" s="119"/>
      <c r="CC16" s="124"/>
      <c r="CD16" s="113"/>
      <c r="CE16" s="41"/>
      <c r="CF16" s="67"/>
      <c r="CG16" s="104"/>
      <c r="CH16" s="119"/>
      <c r="CI16" s="124"/>
      <c r="CJ16" s="113"/>
      <c r="CK16" s="41"/>
      <c r="CL16" s="67"/>
      <c r="CM16" s="72"/>
      <c r="CN16" s="119"/>
      <c r="CO16" s="124"/>
      <c r="CP16" s="113"/>
      <c r="CQ16" s="41"/>
      <c r="CR16" s="67"/>
      <c r="CS16" s="72"/>
      <c r="CT16" s="119"/>
      <c r="CU16" s="124"/>
      <c r="CV16" s="113"/>
      <c r="CW16" s="41"/>
      <c r="CX16" s="67"/>
      <c r="CY16" s="72"/>
      <c r="CZ16" s="119"/>
      <c r="DA16" s="124"/>
      <c r="DB16" s="113"/>
      <c r="DC16" s="41"/>
      <c r="DD16" s="67"/>
      <c r="DE16" s="72"/>
      <c r="DF16" s="119"/>
      <c r="DG16" s="124"/>
      <c r="DH16" s="113"/>
      <c r="DI16" s="41"/>
      <c r="DJ16" s="67"/>
      <c r="DK16" s="72"/>
      <c r="DL16" s="119"/>
      <c r="DM16" s="148"/>
      <c r="DN16" s="41"/>
      <c r="DO16" s="67"/>
      <c r="DP16" s="72"/>
      <c r="DQ16" s="119"/>
      <c r="DR16" s="45"/>
      <c r="DS16" s="41"/>
      <c r="DT16" s="67"/>
      <c r="DU16" s="104"/>
      <c r="DV16" s="119"/>
      <c r="DW16" s="124"/>
      <c r="DX16" s="113"/>
      <c r="DY16" s="41"/>
      <c r="DZ16" s="67">
        <v>-100.6</v>
      </c>
      <c r="EA16" s="72"/>
      <c r="EB16" s="119"/>
      <c r="EC16" s="124"/>
      <c r="ED16" s="113"/>
      <c r="EE16" s="41"/>
      <c r="EF16" s="67"/>
      <c r="EG16" s="72"/>
      <c r="EH16" s="192"/>
      <c r="EI16" s="148"/>
      <c r="EJ16" s="41"/>
      <c r="EK16" s="67"/>
      <c r="EL16" s="104"/>
      <c r="EM16" s="148"/>
      <c r="EN16" s="41"/>
      <c r="EO16" s="67"/>
      <c r="EP16" s="72"/>
      <c r="EQ16" s="45"/>
      <c r="ER16" s="41"/>
      <c r="ES16" s="67"/>
      <c r="ET16" s="104"/>
      <c r="EU16" s="124"/>
      <c r="EV16" s="169"/>
      <c r="EW16" s="87"/>
      <c r="EX16" s="248"/>
      <c r="EY16" s="87"/>
      <c r="EZ16" s="91"/>
      <c r="FA16" s="41"/>
      <c r="FB16" s="67"/>
      <c r="FC16" s="104"/>
      <c r="FD16" s="124"/>
      <c r="FE16" s="169"/>
      <c r="FF16" s="87"/>
      <c r="FG16" s="72"/>
      <c r="FH16" s="45"/>
      <c r="FI16" s="41"/>
      <c r="FJ16" s="67"/>
      <c r="FK16" s="104"/>
      <c r="FL16" s="45"/>
      <c r="FM16" s="41"/>
      <c r="FN16" s="148"/>
      <c r="FO16" s="208"/>
      <c r="FP16" s="208"/>
      <c r="FQ16" s="41"/>
      <c r="FR16" s="67"/>
      <c r="FS16" s="104"/>
      <c r="FT16" s="113"/>
      <c r="FU16" s="87"/>
      <c r="FV16" s="104"/>
      <c r="FW16" s="148"/>
      <c r="FX16" s="33"/>
      <c r="FY16" s="124"/>
      <c r="FZ16" s="113"/>
      <c r="GA16" s="87"/>
      <c r="GB16" s="104"/>
      <c r="GC16" s="155"/>
      <c r="GD16" s="113"/>
      <c r="GE16" s="87"/>
      <c r="GF16" s="148"/>
      <c r="GG16" s="208"/>
      <c r="GH16" s="104"/>
      <c r="GI16" s="248"/>
      <c r="GJ16" s="200"/>
      <c r="GK16" s="77"/>
      <c r="GL16" s="41"/>
      <c r="GM16" s="91"/>
      <c r="GN16" s="108"/>
      <c r="GO16" s="108"/>
      <c r="GP16" s="41"/>
      <c r="GQ16" s="91"/>
      <c r="GR16" s="49"/>
      <c r="GS16" s="108"/>
      <c r="GT16" s="108"/>
      <c r="GU16" s="108"/>
      <c r="GV16" s="41"/>
      <c r="GW16" s="91"/>
      <c r="GX16" s="104"/>
      <c r="GY16" s="41"/>
      <c r="GZ16" s="104"/>
      <c r="HA16" s="113"/>
      <c r="HB16" s="274"/>
      <c r="HC16" s="41"/>
      <c r="HD16" s="91"/>
      <c r="HE16" s="41"/>
      <c r="HF16" s="77"/>
      <c r="HG16" s="41"/>
      <c r="HH16" s="104"/>
      <c r="HI16" s="152"/>
      <c r="HJ16" s="77"/>
      <c r="HK16" s="49"/>
      <c r="HL16" s="41"/>
      <c r="HM16" s="104"/>
      <c r="HN16" s="113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1"/>
      <c r="IJ16" s="260"/>
      <c r="IK16" s="261"/>
    </row>
    <row r="17" spans="1:245" x14ac:dyDescent="0.25">
      <c r="A17" s="129">
        <v>44322</v>
      </c>
      <c r="B17" s="18" t="s">
        <v>31</v>
      </c>
      <c r="C17" s="21">
        <f t="shared" si="4"/>
        <v>-26.02</v>
      </c>
      <c r="D17" s="143"/>
      <c r="E17" s="143"/>
      <c r="F17" s="143"/>
      <c r="G17" s="143"/>
      <c r="H17" s="82"/>
      <c r="I17" s="82"/>
      <c r="J17" s="108"/>
      <c r="K17" s="41"/>
      <c r="L17" s="67"/>
      <c r="M17" s="91"/>
      <c r="N17" s="41"/>
      <c r="O17" s="372"/>
      <c r="P17" s="104"/>
      <c r="Q17" s="161"/>
      <c r="R17" s="113"/>
      <c r="S17" s="72"/>
      <c r="T17" s="41"/>
      <c r="U17" s="67"/>
      <c r="V17" s="72"/>
      <c r="W17" s="161"/>
      <c r="X17" s="41"/>
      <c r="Y17" s="67"/>
      <c r="Z17" s="77"/>
      <c r="AA17" s="41"/>
      <c r="AB17" s="67"/>
      <c r="AC17" s="72"/>
      <c r="AD17" s="113"/>
      <c r="AE17" s="41"/>
      <c r="AF17" s="67"/>
      <c r="AG17" s="104"/>
      <c r="AH17" s="119"/>
      <c r="AI17" s="124"/>
      <c r="AJ17" s="161"/>
      <c r="AK17" s="241"/>
      <c r="AL17" s="41"/>
      <c r="AM17" s="67"/>
      <c r="AN17" s="72"/>
      <c r="AO17" s="45"/>
      <c r="AP17" s="41"/>
      <c r="AQ17" s="67"/>
      <c r="AR17" s="72"/>
      <c r="AS17" s="119"/>
      <c r="AT17" s="45"/>
      <c r="AU17" s="41"/>
      <c r="AV17" s="67"/>
      <c r="AW17" s="72"/>
      <c r="AX17" s="119"/>
      <c r="AY17" s="124"/>
      <c r="AZ17" s="113"/>
      <c r="BA17" s="41"/>
      <c r="BB17" s="67"/>
      <c r="BC17" s="72"/>
      <c r="BD17" s="119"/>
      <c r="BE17" s="124"/>
      <c r="BF17" s="113"/>
      <c r="BG17" s="41"/>
      <c r="BH17" s="67"/>
      <c r="BI17" s="104"/>
      <c r="BJ17" s="119"/>
      <c r="BK17" s="124"/>
      <c r="BL17" s="113"/>
      <c r="BM17" s="87"/>
      <c r="BN17" s="67"/>
      <c r="BO17" s="72"/>
      <c r="BP17" s="119"/>
      <c r="BQ17" s="124"/>
      <c r="BR17" s="113"/>
      <c r="BS17" s="41"/>
      <c r="BT17" s="67"/>
      <c r="BU17" s="104"/>
      <c r="BV17" s="119"/>
      <c r="BW17" s="124"/>
      <c r="BX17" s="113"/>
      <c r="BY17" s="41"/>
      <c r="BZ17" s="67"/>
      <c r="CA17" s="104"/>
      <c r="CB17" s="119"/>
      <c r="CC17" s="124"/>
      <c r="CD17" s="113"/>
      <c r="CE17" s="41"/>
      <c r="CF17" s="67"/>
      <c r="CG17" s="104"/>
      <c r="CH17" s="119"/>
      <c r="CI17" s="124"/>
      <c r="CJ17" s="113"/>
      <c r="CK17" s="41"/>
      <c r="CL17" s="67"/>
      <c r="CM17" s="72"/>
      <c r="CN17" s="119"/>
      <c r="CO17" s="124"/>
      <c r="CP17" s="113"/>
      <c r="CQ17" s="41"/>
      <c r="CR17" s="67"/>
      <c r="CS17" s="72"/>
      <c r="CT17" s="119"/>
      <c r="CU17" s="124"/>
      <c r="CV17" s="113"/>
      <c r="CW17" s="41"/>
      <c r="CX17" s="67"/>
      <c r="CY17" s="72"/>
      <c r="CZ17" s="119"/>
      <c r="DA17" s="124"/>
      <c r="DB17" s="113"/>
      <c r="DC17" s="41"/>
      <c r="DD17" s="67"/>
      <c r="DE17" s="72"/>
      <c r="DF17" s="119"/>
      <c r="DG17" s="124"/>
      <c r="DH17" s="113"/>
      <c r="DI17" s="41"/>
      <c r="DJ17" s="67"/>
      <c r="DK17" s="72"/>
      <c r="DL17" s="119"/>
      <c r="DM17" s="148"/>
      <c r="DN17" s="41"/>
      <c r="DO17" s="67"/>
      <c r="DP17" s="72"/>
      <c r="DQ17" s="119"/>
      <c r="DR17" s="45"/>
      <c r="DS17" s="41"/>
      <c r="DT17" s="67"/>
      <c r="DU17" s="104"/>
      <c r="DV17" s="119"/>
      <c r="DW17" s="124"/>
      <c r="DX17" s="113"/>
      <c r="DY17" s="41"/>
      <c r="DZ17" s="67"/>
      <c r="EA17" s="72"/>
      <c r="EB17" s="119"/>
      <c r="EC17" s="124"/>
      <c r="ED17" s="113"/>
      <c r="EE17" s="41"/>
      <c r="EF17" s="67"/>
      <c r="EG17" s="72"/>
      <c r="EH17" s="192"/>
      <c r="EI17" s="148"/>
      <c r="EJ17" s="41"/>
      <c r="EK17" s="67"/>
      <c r="EL17" s="104"/>
      <c r="EM17" s="148"/>
      <c r="EN17" s="41"/>
      <c r="EO17" s="67"/>
      <c r="EP17" s="72"/>
      <c r="EQ17" s="45"/>
      <c r="ER17" s="41"/>
      <c r="ES17" s="67"/>
      <c r="ET17" s="104"/>
      <c r="EU17" s="124"/>
      <c r="EV17" s="169"/>
      <c r="EW17" s="87"/>
      <c r="EX17" s="248"/>
      <c r="EY17" s="87"/>
      <c r="EZ17" s="91"/>
      <c r="FA17" s="41"/>
      <c r="FB17" s="67"/>
      <c r="FC17" s="104"/>
      <c r="FD17" s="124"/>
      <c r="FE17" s="169"/>
      <c r="FF17" s="87"/>
      <c r="FG17" s="72"/>
      <c r="FH17" s="45"/>
      <c r="FI17" s="41"/>
      <c r="FJ17" s="67"/>
      <c r="FK17" s="104"/>
      <c r="FL17" s="45"/>
      <c r="FM17" s="41"/>
      <c r="FN17" s="148"/>
      <c r="FO17" s="208"/>
      <c r="FP17" s="208"/>
      <c r="FQ17" s="41"/>
      <c r="FR17" s="67"/>
      <c r="FS17" s="104"/>
      <c r="FT17" s="113"/>
      <c r="FU17" s="87"/>
      <c r="FV17" s="104"/>
      <c r="FW17" s="148"/>
      <c r="FX17" s="33"/>
      <c r="FY17" s="124"/>
      <c r="FZ17" s="113"/>
      <c r="GA17" s="87"/>
      <c r="GB17" s="104"/>
      <c r="GC17" s="155"/>
      <c r="GD17" s="113"/>
      <c r="GE17" s="87"/>
      <c r="GF17" s="148"/>
      <c r="GG17" s="208"/>
      <c r="GH17" s="104"/>
      <c r="GI17" s="248"/>
      <c r="GJ17" s="200"/>
      <c r="GK17" s="77"/>
      <c r="GL17" s="41"/>
      <c r="GM17" s="91"/>
      <c r="GN17" s="108"/>
      <c r="GO17" s="108"/>
      <c r="GP17" s="41"/>
      <c r="GQ17" s="91"/>
      <c r="GR17" s="49"/>
      <c r="GS17" s="108"/>
      <c r="GT17" s="108"/>
      <c r="GU17" s="108"/>
      <c r="GV17" s="41"/>
      <c r="GW17" s="91"/>
      <c r="GX17" s="104"/>
      <c r="GY17" s="41"/>
      <c r="GZ17" s="104"/>
      <c r="HA17" s="113"/>
      <c r="HB17" s="274"/>
      <c r="HC17" s="41"/>
      <c r="HD17" s="91"/>
      <c r="HE17" s="41"/>
      <c r="HF17" s="77"/>
      <c r="HG17" s="41"/>
      <c r="HH17" s="104"/>
      <c r="HI17" s="152"/>
      <c r="HJ17" s="77"/>
      <c r="HK17" s="49"/>
      <c r="HL17" s="41"/>
      <c r="HM17" s="104"/>
      <c r="HN17" s="113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1"/>
      <c r="IJ17" s="260"/>
      <c r="IK17" s="261"/>
    </row>
    <row r="18" spans="1:245" x14ac:dyDescent="0.25">
      <c r="A18" s="129">
        <v>44322</v>
      </c>
      <c r="B18" s="18" t="s">
        <v>27</v>
      </c>
      <c r="C18" s="21">
        <f t="shared" si="4"/>
        <v>-24.05</v>
      </c>
      <c r="D18" s="143"/>
      <c r="E18" s="143"/>
      <c r="F18" s="143"/>
      <c r="G18" s="143"/>
      <c r="H18" s="82"/>
      <c r="I18" s="82"/>
      <c r="J18" s="108"/>
      <c r="K18" s="41"/>
      <c r="L18" s="67"/>
      <c r="M18" s="91"/>
      <c r="N18" s="41"/>
      <c r="O18" s="372"/>
      <c r="P18" s="104"/>
      <c r="Q18" s="161"/>
      <c r="R18" s="113"/>
      <c r="S18" s="72"/>
      <c r="T18" s="41"/>
      <c r="U18" s="67"/>
      <c r="V18" s="72"/>
      <c r="W18" s="161"/>
      <c r="X18" s="41"/>
      <c r="Y18" s="67"/>
      <c r="Z18" s="77"/>
      <c r="AA18" s="41"/>
      <c r="AB18" s="67"/>
      <c r="AC18" s="72"/>
      <c r="AD18" s="113"/>
      <c r="AE18" s="41"/>
      <c r="AF18" s="67"/>
      <c r="AG18" s="104"/>
      <c r="AH18" s="119"/>
      <c r="AI18" s="124"/>
      <c r="AJ18" s="161"/>
      <c r="AK18" s="241"/>
      <c r="AL18" s="41"/>
      <c r="AM18" s="67"/>
      <c r="AN18" s="72"/>
      <c r="AO18" s="45"/>
      <c r="AP18" s="41"/>
      <c r="AQ18" s="67"/>
      <c r="AR18" s="72"/>
      <c r="AS18" s="119"/>
      <c r="AT18" s="45"/>
      <c r="AU18" s="41"/>
      <c r="AV18" s="67"/>
      <c r="AW18" s="72"/>
      <c r="AX18" s="119"/>
      <c r="AY18" s="124"/>
      <c r="AZ18" s="113"/>
      <c r="BA18" s="41"/>
      <c r="BB18" s="67"/>
      <c r="BC18" s="72"/>
      <c r="BD18" s="119"/>
      <c r="BE18" s="124"/>
      <c r="BF18" s="113"/>
      <c r="BG18" s="41"/>
      <c r="BH18" s="67"/>
      <c r="BI18" s="104"/>
      <c r="BJ18" s="119"/>
      <c r="BK18" s="124"/>
      <c r="BL18" s="113"/>
      <c r="BM18" s="87"/>
      <c r="BN18" s="67"/>
      <c r="BO18" s="72"/>
      <c r="BP18" s="119"/>
      <c r="BQ18" s="124"/>
      <c r="BR18" s="113">
        <v>-8.1999999999999993</v>
      </c>
      <c r="BS18" s="41"/>
      <c r="BT18" s="67"/>
      <c r="BU18" s="104"/>
      <c r="BV18" s="119"/>
      <c r="BW18" s="124"/>
      <c r="BX18" s="113"/>
      <c r="BY18" s="41"/>
      <c r="BZ18" s="67"/>
      <c r="CA18" s="104"/>
      <c r="CB18" s="119"/>
      <c r="CC18" s="124"/>
      <c r="CD18" s="113"/>
      <c r="CE18" s="41"/>
      <c r="CF18" s="67"/>
      <c r="CG18" s="104"/>
      <c r="CH18" s="119"/>
      <c r="CI18" s="124"/>
      <c r="CJ18" s="113"/>
      <c r="CK18" s="41"/>
      <c r="CL18" s="67"/>
      <c r="CM18" s="72"/>
      <c r="CN18" s="119"/>
      <c r="CO18" s="124"/>
      <c r="CP18" s="113"/>
      <c r="CQ18" s="41"/>
      <c r="CR18" s="67"/>
      <c r="CS18" s="72"/>
      <c r="CT18" s="119"/>
      <c r="CU18" s="124"/>
      <c r="CV18" s="113"/>
      <c r="CW18" s="41"/>
      <c r="CX18" s="67"/>
      <c r="CY18" s="72"/>
      <c r="CZ18" s="119"/>
      <c r="DA18" s="124"/>
      <c r="DB18" s="113">
        <v>-7.25</v>
      </c>
      <c r="DC18" s="41"/>
      <c r="DD18" s="67"/>
      <c r="DE18" s="72"/>
      <c r="DF18" s="119"/>
      <c r="DG18" s="124">
        <v>-8.6</v>
      </c>
      <c r="DH18" s="113"/>
      <c r="DI18" s="41"/>
      <c r="DJ18" s="67"/>
      <c r="DK18" s="72"/>
      <c r="DL18" s="119"/>
      <c r="DM18" s="148"/>
      <c r="DN18" s="41"/>
      <c r="DO18" s="67"/>
      <c r="DP18" s="72"/>
      <c r="DQ18" s="119"/>
      <c r="DR18" s="45"/>
      <c r="DS18" s="41"/>
      <c r="DT18" s="67"/>
      <c r="DU18" s="104"/>
      <c r="DV18" s="119"/>
      <c r="DW18" s="124"/>
      <c r="DX18" s="113"/>
      <c r="DY18" s="41"/>
      <c r="DZ18" s="67"/>
      <c r="EA18" s="72"/>
      <c r="EB18" s="119"/>
      <c r="EC18" s="124"/>
      <c r="ED18" s="113"/>
      <c r="EE18" s="41"/>
      <c r="EF18" s="67"/>
      <c r="EG18" s="72"/>
      <c r="EH18" s="192"/>
      <c r="EI18" s="148"/>
      <c r="EJ18" s="41"/>
      <c r="EK18" s="67"/>
      <c r="EL18" s="104"/>
      <c r="EM18" s="148"/>
      <c r="EN18" s="41"/>
      <c r="EO18" s="67"/>
      <c r="EP18" s="72"/>
      <c r="EQ18" s="45"/>
      <c r="ER18" s="41"/>
      <c r="ES18" s="67"/>
      <c r="ET18" s="104"/>
      <c r="EU18" s="124"/>
      <c r="EV18" s="169"/>
      <c r="EW18" s="87"/>
      <c r="EX18" s="248"/>
      <c r="EY18" s="87"/>
      <c r="EZ18" s="91"/>
      <c r="FA18" s="41"/>
      <c r="FB18" s="67"/>
      <c r="FC18" s="104"/>
      <c r="FD18" s="124"/>
      <c r="FE18" s="169"/>
      <c r="FF18" s="87"/>
      <c r="FG18" s="72"/>
      <c r="FH18" s="45"/>
      <c r="FI18" s="41"/>
      <c r="FJ18" s="67"/>
      <c r="FK18" s="104"/>
      <c r="FL18" s="45"/>
      <c r="FM18" s="41"/>
      <c r="FN18" s="148"/>
      <c r="FO18" s="208"/>
      <c r="FP18" s="208"/>
      <c r="FQ18" s="41"/>
      <c r="FR18" s="67"/>
      <c r="FS18" s="104"/>
      <c r="FT18" s="113"/>
      <c r="FU18" s="87"/>
      <c r="FV18" s="104"/>
      <c r="FW18" s="148"/>
      <c r="FX18" s="33"/>
      <c r="FY18" s="124"/>
      <c r="FZ18" s="113"/>
      <c r="GA18" s="87"/>
      <c r="GB18" s="104"/>
      <c r="GC18" s="155"/>
      <c r="GD18" s="113"/>
      <c r="GE18" s="87"/>
      <c r="GF18" s="148"/>
      <c r="GG18" s="208"/>
      <c r="GH18" s="104"/>
      <c r="GI18" s="248"/>
      <c r="GJ18" s="200"/>
      <c r="GK18" s="77"/>
      <c r="GL18" s="41"/>
      <c r="GM18" s="91"/>
      <c r="GN18" s="108"/>
      <c r="GO18" s="108"/>
      <c r="GP18" s="41"/>
      <c r="GQ18" s="91"/>
      <c r="GR18" s="49"/>
      <c r="GS18" s="108"/>
      <c r="GT18" s="108"/>
      <c r="GU18" s="108"/>
      <c r="GV18" s="41"/>
      <c r="GW18" s="91"/>
      <c r="GX18" s="104"/>
      <c r="GY18" s="41"/>
      <c r="GZ18" s="104"/>
      <c r="HA18" s="113"/>
      <c r="HB18" s="274"/>
      <c r="HC18" s="41"/>
      <c r="HD18" s="91"/>
      <c r="HE18" s="41"/>
      <c r="HF18" s="77"/>
      <c r="HG18" s="41"/>
      <c r="HH18" s="104"/>
      <c r="HI18" s="152"/>
      <c r="HJ18" s="77"/>
      <c r="HK18" s="49"/>
      <c r="HL18" s="41"/>
      <c r="HM18" s="104"/>
      <c r="HN18" s="113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1"/>
      <c r="IJ18" s="260"/>
      <c r="IK18" s="261"/>
    </row>
    <row r="19" spans="1:245" x14ac:dyDescent="0.25">
      <c r="A19" s="129">
        <v>44322</v>
      </c>
      <c r="B19" s="18" t="s">
        <v>26</v>
      </c>
      <c r="C19" s="21">
        <f t="shared" si="4"/>
        <v>-25.73</v>
      </c>
      <c r="D19" s="143"/>
      <c r="E19" s="143"/>
      <c r="F19" s="143"/>
      <c r="G19" s="143"/>
      <c r="H19" s="82"/>
      <c r="I19" s="82"/>
      <c r="J19" s="108"/>
      <c r="K19" s="41"/>
      <c r="L19" s="67"/>
      <c r="M19" s="91"/>
      <c r="N19" s="41"/>
      <c r="O19" s="372"/>
      <c r="P19" s="104"/>
      <c r="Q19" s="161"/>
      <c r="R19" s="113"/>
      <c r="S19" s="72"/>
      <c r="T19" s="41"/>
      <c r="U19" s="67"/>
      <c r="V19" s="72"/>
      <c r="W19" s="161"/>
      <c r="X19" s="41"/>
      <c r="Y19" s="67"/>
      <c r="Z19" s="77"/>
      <c r="AA19" s="41"/>
      <c r="AB19" s="67"/>
      <c r="AC19" s="72"/>
      <c r="AD19" s="113"/>
      <c r="AE19" s="41"/>
      <c r="AF19" s="67"/>
      <c r="AG19" s="104"/>
      <c r="AH19" s="119"/>
      <c r="AI19" s="124"/>
      <c r="AJ19" s="161"/>
      <c r="AK19" s="241"/>
      <c r="AL19" s="41"/>
      <c r="AM19" s="67"/>
      <c r="AN19" s="72"/>
      <c r="AO19" s="45"/>
      <c r="AP19" s="41"/>
      <c r="AQ19" s="67"/>
      <c r="AR19" s="72"/>
      <c r="AS19" s="119"/>
      <c r="AT19" s="45"/>
      <c r="AU19" s="41"/>
      <c r="AV19" s="67"/>
      <c r="AW19" s="72"/>
      <c r="AX19" s="119"/>
      <c r="AY19" s="124"/>
      <c r="AZ19" s="113"/>
      <c r="BA19" s="41">
        <v>-8.7899999999999991</v>
      </c>
      <c r="BB19" s="67"/>
      <c r="BC19" s="72"/>
      <c r="BD19" s="119"/>
      <c r="BE19" s="124"/>
      <c r="BF19" s="113"/>
      <c r="BG19" s="41"/>
      <c r="BH19" s="67">
        <v>-8.5950000000000006</v>
      </c>
      <c r="BI19" s="104"/>
      <c r="BJ19" s="119"/>
      <c r="BK19" s="124"/>
      <c r="BL19" s="113"/>
      <c r="BM19" s="87"/>
      <c r="BN19" s="67"/>
      <c r="BO19" s="72"/>
      <c r="BP19" s="119"/>
      <c r="BQ19" s="124"/>
      <c r="BR19" s="113"/>
      <c r="BS19" s="41"/>
      <c r="BT19" s="67">
        <v>-8.3450000000000006</v>
      </c>
      <c r="BU19" s="104"/>
      <c r="BV19" s="119"/>
      <c r="BW19" s="124"/>
      <c r="BX19" s="113"/>
      <c r="BY19" s="41"/>
      <c r="BZ19" s="67"/>
      <c r="CA19" s="104"/>
      <c r="CB19" s="119"/>
      <c r="CC19" s="124"/>
      <c r="CD19" s="113"/>
      <c r="CE19" s="41"/>
      <c r="CF19" s="67"/>
      <c r="CG19" s="104"/>
      <c r="CH19" s="119"/>
      <c r="CI19" s="124"/>
      <c r="CJ19" s="113"/>
      <c r="CK19" s="41"/>
      <c r="CL19" s="67"/>
      <c r="CM19" s="72"/>
      <c r="CN19" s="119"/>
      <c r="CO19" s="124"/>
      <c r="CP19" s="113"/>
      <c r="CQ19" s="41"/>
      <c r="CR19" s="67"/>
      <c r="CS19" s="72"/>
      <c r="CT19" s="119"/>
      <c r="CU19" s="124"/>
      <c r="CV19" s="113"/>
      <c r="CW19" s="41"/>
      <c r="CX19" s="67"/>
      <c r="CY19" s="72"/>
      <c r="CZ19" s="119"/>
      <c r="DA19" s="124"/>
      <c r="DB19" s="113"/>
      <c r="DC19" s="41"/>
      <c r="DD19" s="67"/>
      <c r="DE19" s="72"/>
      <c r="DF19" s="119"/>
      <c r="DG19" s="124"/>
      <c r="DH19" s="113"/>
      <c r="DI19" s="41"/>
      <c r="DJ19" s="67"/>
      <c r="DK19" s="72"/>
      <c r="DL19" s="119"/>
      <c r="DM19" s="148"/>
      <c r="DN19" s="41"/>
      <c r="DO19" s="67"/>
      <c r="DP19" s="72"/>
      <c r="DQ19" s="119"/>
      <c r="DR19" s="45"/>
      <c r="DS19" s="41"/>
      <c r="DT19" s="67"/>
      <c r="DU19" s="104"/>
      <c r="DV19" s="119"/>
      <c r="DW19" s="124"/>
      <c r="DX19" s="113"/>
      <c r="DY19" s="41"/>
      <c r="DZ19" s="67"/>
      <c r="EA19" s="72"/>
      <c r="EB19" s="119"/>
      <c r="EC19" s="124"/>
      <c r="ED19" s="113"/>
      <c r="EE19" s="41"/>
      <c r="EF19" s="67"/>
      <c r="EG19" s="72"/>
      <c r="EH19" s="192"/>
      <c r="EI19" s="148"/>
      <c r="EJ19" s="41"/>
      <c r="EK19" s="67"/>
      <c r="EL19" s="104"/>
      <c r="EM19" s="148"/>
      <c r="EN19" s="41"/>
      <c r="EO19" s="67"/>
      <c r="EP19" s="72"/>
      <c r="EQ19" s="45"/>
      <c r="ER19" s="41"/>
      <c r="ES19" s="67"/>
      <c r="ET19" s="104"/>
      <c r="EU19" s="124"/>
      <c r="EV19" s="169"/>
      <c r="EW19" s="87"/>
      <c r="EX19" s="248"/>
      <c r="EY19" s="87"/>
      <c r="EZ19" s="91"/>
      <c r="FA19" s="41"/>
      <c r="FB19" s="67"/>
      <c r="FC19" s="104"/>
      <c r="FD19" s="124"/>
      <c r="FE19" s="169"/>
      <c r="FF19" s="87"/>
      <c r="FG19" s="72"/>
      <c r="FH19" s="45"/>
      <c r="FI19" s="41"/>
      <c r="FJ19" s="67"/>
      <c r="FK19" s="104"/>
      <c r="FL19" s="45"/>
      <c r="FM19" s="41"/>
      <c r="FN19" s="148"/>
      <c r="FO19" s="208"/>
      <c r="FP19" s="208"/>
      <c r="FQ19" s="41"/>
      <c r="FR19" s="67"/>
      <c r="FS19" s="104"/>
      <c r="FT19" s="113"/>
      <c r="FU19" s="87"/>
      <c r="FV19" s="104"/>
      <c r="FW19" s="148"/>
      <c r="FX19" s="33"/>
      <c r="FY19" s="124"/>
      <c r="FZ19" s="113"/>
      <c r="GA19" s="87"/>
      <c r="GB19" s="104"/>
      <c r="GC19" s="155"/>
      <c r="GD19" s="113"/>
      <c r="GE19" s="87"/>
      <c r="GF19" s="148"/>
      <c r="GG19" s="208"/>
      <c r="GH19" s="104"/>
      <c r="GI19" s="248"/>
      <c r="GJ19" s="200"/>
      <c r="GK19" s="77"/>
      <c r="GL19" s="41"/>
      <c r="GM19" s="91"/>
      <c r="GN19" s="108"/>
      <c r="GO19" s="108"/>
      <c r="GP19" s="41"/>
      <c r="GQ19" s="91"/>
      <c r="GR19" s="49"/>
      <c r="GS19" s="108"/>
      <c r="GT19" s="108"/>
      <c r="GU19" s="108"/>
      <c r="GV19" s="41"/>
      <c r="GW19" s="91"/>
      <c r="GX19" s="104"/>
      <c r="GY19" s="41"/>
      <c r="GZ19" s="104"/>
      <c r="HA19" s="113"/>
      <c r="HB19" s="274"/>
      <c r="HC19" s="41"/>
      <c r="HD19" s="91"/>
      <c r="HE19" s="41"/>
      <c r="HF19" s="77"/>
      <c r="HG19" s="41"/>
      <c r="HH19" s="104"/>
      <c r="HI19" s="152"/>
      <c r="HJ19" s="77"/>
      <c r="HK19" s="49"/>
      <c r="HL19" s="41"/>
      <c r="HM19" s="104"/>
      <c r="HN19" s="113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1"/>
      <c r="IJ19" s="260"/>
      <c r="IK19" s="261"/>
    </row>
    <row r="20" spans="1:245" x14ac:dyDescent="0.25">
      <c r="A20" s="129">
        <v>44322</v>
      </c>
      <c r="B20" s="18" t="s">
        <v>24</v>
      </c>
      <c r="C20" s="21">
        <f t="shared" si="4"/>
        <v>-8.75</v>
      </c>
      <c r="D20" s="143"/>
      <c r="E20" s="143"/>
      <c r="F20" s="143"/>
      <c r="G20" s="143"/>
      <c r="H20" s="82"/>
      <c r="I20" s="82"/>
      <c r="J20" s="108"/>
      <c r="K20" s="41"/>
      <c r="L20" s="67"/>
      <c r="M20" s="91"/>
      <c r="N20" s="41"/>
      <c r="O20" s="372"/>
      <c r="P20" s="104"/>
      <c r="Q20" s="161"/>
      <c r="R20" s="113"/>
      <c r="S20" s="72"/>
      <c r="T20" s="41"/>
      <c r="U20" s="67"/>
      <c r="V20" s="72"/>
      <c r="W20" s="161"/>
      <c r="X20" s="41"/>
      <c r="Y20" s="67"/>
      <c r="Z20" s="77"/>
      <c r="AA20" s="41"/>
      <c r="AB20" s="67"/>
      <c r="AC20" s="72"/>
      <c r="AD20" s="113"/>
      <c r="AE20" s="41"/>
      <c r="AF20" s="67"/>
      <c r="AG20" s="104"/>
      <c r="AH20" s="119"/>
      <c r="AI20" s="124"/>
      <c r="AJ20" s="161"/>
      <c r="AK20" s="241"/>
      <c r="AL20" s="41"/>
      <c r="AM20" s="67"/>
      <c r="AN20" s="72"/>
      <c r="AO20" s="45"/>
      <c r="AP20" s="41"/>
      <c r="AQ20" s="67"/>
      <c r="AR20" s="72"/>
      <c r="AS20" s="119"/>
      <c r="AT20" s="45"/>
      <c r="AU20" s="41"/>
      <c r="AV20" s="67"/>
      <c r="AW20" s="72"/>
      <c r="AX20" s="119"/>
      <c r="AY20" s="124"/>
      <c r="AZ20" s="113"/>
      <c r="BA20" s="41">
        <v>-8.75</v>
      </c>
      <c r="BB20" s="67"/>
      <c r="BC20" s="72"/>
      <c r="BD20" s="119"/>
      <c r="BE20" s="124"/>
      <c r="BF20" s="113"/>
      <c r="BG20" s="41"/>
      <c r="BH20" s="67"/>
      <c r="BI20" s="104"/>
      <c r="BJ20" s="119"/>
      <c r="BK20" s="124"/>
      <c r="BL20" s="113"/>
      <c r="BM20" s="87"/>
      <c r="BN20" s="67"/>
      <c r="BO20" s="72"/>
      <c r="BP20" s="119"/>
      <c r="BQ20" s="124"/>
      <c r="BR20" s="113"/>
      <c r="BS20" s="41"/>
      <c r="BT20" s="67"/>
      <c r="BU20" s="104"/>
      <c r="BV20" s="119"/>
      <c r="BW20" s="124"/>
      <c r="BX20" s="113"/>
      <c r="BY20" s="41"/>
      <c r="BZ20" s="67"/>
      <c r="CA20" s="104"/>
      <c r="CB20" s="119"/>
      <c r="CC20" s="124"/>
      <c r="CD20" s="113"/>
      <c r="CE20" s="41"/>
      <c r="CF20" s="67"/>
      <c r="CG20" s="104"/>
      <c r="CH20" s="119"/>
      <c r="CI20" s="124"/>
      <c r="CJ20" s="113"/>
      <c r="CK20" s="41"/>
      <c r="CL20" s="67"/>
      <c r="CM20" s="72"/>
      <c r="CN20" s="119"/>
      <c r="CO20" s="124"/>
      <c r="CP20" s="113"/>
      <c r="CQ20" s="41"/>
      <c r="CR20" s="67"/>
      <c r="CS20" s="72"/>
      <c r="CT20" s="119"/>
      <c r="CU20" s="124"/>
      <c r="CV20" s="113"/>
      <c r="CW20" s="41"/>
      <c r="CX20" s="67"/>
      <c r="CY20" s="72"/>
      <c r="CZ20" s="119"/>
      <c r="DA20" s="124"/>
      <c r="DB20" s="113"/>
      <c r="DC20" s="41"/>
      <c r="DD20" s="67"/>
      <c r="DE20" s="72"/>
      <c r="DF20" s="119"/>
      <c r="DG20" s="124"/>
      <c r="DH20" s="113"/>
      <c r="DI20" s="41"/>
      <c r="DJ20" s="67"/>
      <c r="DK20" s="72"/>
      <c r="DL20" s="119"/>
      <c r="DM20" s="148"/>
      <c r="DN20" s="41"/>
      <c r="DO20" s="67"/>
      <c r="DP20" s="72"/>
      <c r="DQ20" s="119"/>
      <c r="DR20" s="45"/>
      <c r="DS20" s="41"/>
      <c r="DT20" s="67"/>
      <c r="DU20" s="104"/>
      <c r="DV20" s="119"/>
      <c r="DW20" s="124"/>
      <c r="DX20" s="113"/>
      <c r="DY20" s="41"/>
      <c r="DZ20" s="67"/>
      <c r="EA20" s="72"/>
      <c r="EB20" s="119"/>
      <c r="EC20" s="124"/>
      <c r="ED20" s="113"/>
      <c r="EE20" s="41"/>
      <c r="EF20" s="67"/>
      <c r="EG20" s="72"/>
      <c r="EH20" s="192"/>
      <c r="EI20" s="148"/>
      <c r="EJ20" s="41"/>
      <c r="EK20" s="67"/>
      <c r="EL20" s="104"/>
      <c r="EM20" s="148"/>
      <c r="EN20" s="41"/>
      <c r="EO20" s="67"/>
      <c r="EP20" s="72"/>
      <c r="EQ20" s="45"/>
      <c r="ER20" s="41"/>
      <c r="ES20" s="67"/>
      <c r="ET20" s="104"/>
      <c r="EU20" s="124"/>
      <c r="EV20" s="169"/>
      <c r="EW20" s="87"/>
      <c r="EX20" s="248"/>
      <c r="EY20" s="87"/>
      <c r="EZ20" s="91"/>
      <c r="FA20" s="41"/>
      <c r="FB20" s="67"/>
      <c r="FC20" s="104"/>
      <c r="FD20" s="124"/>
      <c r="FE20" s="169"/>
      <c r="FF20" s="87"/>
      <c r="FG20" s="72"/>
      <c r="FH20" s="45"/>
      <c r="FI20" s="41"/>
      <c r="FJ20" s="67"/>
      <c r="FK20" s="104"/>
      <c r="FL20" s="45"/>
      <c r="FM20" s="41"/>
      <c r="FN20" s="148"/>
      <c r="FO20" s="208"/>
      <c r="FP20" s="208"/>
      <c r="FQ20" s="41"/>
      <c r="FR20" s="67"/>
      <c r="FS20" s="104"/>
      <c r="FT20" s="113"/>
      <c r="FU20" s="87"/>
      <c r="FV20" s="104"/>
      <c r="FW20" s="148"/>
      <c r="FX20" s="33"/>
      <c r="FY20" s="124"/>
      <c r="FZ20" s="113"/>
      <c r="GA20" s="87"/>
      <c r="GB20" s="104"/>
      <c r="GC20" s="155"/>
      <c r="GD20" s="113"/>
      <c r="GE20" s="87"/>
      <c r="GF20" s="148"/>
      <c r="GG20" s="208"/>
      <c r="GH20" s="104"/>
      <c r="GI20" s="248"/>
      <c r="GJ20" s="200"/>
      <c r="GK20" s="77"/>
      <c r="GL20" s="41"/>
      <c r="GM20" s="91"/>
      <c r="GN20" s="108"/>
      <c r="GO20" s="108"/>
      <c r="GP20" s="41"/>
      <c r="GQ20" s="91"/>
      <c r="GR20" s="49"/>
      <c r="GS20" s="108"/>
      <c r="GT20" s="108"/>
      <c r="GU20" s="108"/>
      <c r="GV20" s="41"/>
      <c r="GW20" s="91"/>
      <c r="GX20" s="104"/>
      <c r="GY20" s="41"/>
      <c r="GZ20" s="104"/>
      <c r="HA20" s="113"/>
      <c r="HB20" s="274"/>
      <c r="HC20" s="41"/>
      <c r="HD20" s="91"/>
      <c r="HE20" s="41"/>
      <c r="HF20" s="77"/>
      <c r="HG20" s="41"/>
      <c r="HH20" s="104"/>
      <c r="HI20" s="152"/>
      <c r="HJ20" s="77"/>
      <c r="HK20" s="49"/>
      <c r="HL20" s="41"/>
      <c r="HM20" s="104"/>
      <c r="HN20" s="113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1"/>
      <c r="IJ20" s="260"/>
      <c r="IK20" s="261"/>
    </row>
    <row r="21" spans="1:245" x14ac:dyDescent="0.25">
      <c r="A21" s="129">
        <v>44323</v>
      </c>
      <c r="B21" s="18" t="s">
        <v>31</v>
      </c>
      <c r="C21" s="21">
        <f t="shared" si="4"/>
        <v>18.5</v>
      </c>
      <c r="D21" s="143"/>
      <c r="E21" s="143"/>
      <c r="F21" s="143"/>
      <c r="G21" s="143"/>
      <c r="H21" s="82"/>
      <c r="I21" s="82"/>
      <c r="J21" s="108"/>
      <c r="K21" s="41"/>
      <c r="L21" s="67"/>
      <c r="M21" s="91"/>
      <c r="N21" s="41"/>
      <c r="O21" s="372"/>
      <c r="P21" s="104"/>
      <c r="Q21" s="161"/>
      <c r="R21" s="113"/>
      <c r="S21" s="72"/>
      <c r="T21" s="41"/>
      <c r="U21" s="67"/>
      <c r="V21" s="72"/>
      <c r="W21" s="161"/>
      <c r="X21" s="41"/>
      <c r="Y21" s="67"/>
      <c r="Z21" s="77"/>
      <c r="AA21" s="41"/>
      <c r="AB21" s="67"/>
      <c r="AC21" s="72"/>
      <c r="AD21" s="113"/>
      <c r="AE21" s="41"/>
      <c r="AF21" s="67"/>
      <c r="AG21" s="104"/>
      <c r="AH21" s="119"/>
      <c r="AI21" s="124"/>
      <c r="AJ21" s="161"/>
      <c r="AK21" s="241"/>
      <c r="AL21" s="41"/>
      <c r="AM21" s="67"/>
      <c r="AN21" s="72"/>
      <c r="AO21" s="45"/>
      <c r="AP21" s="41"/>
      <c r="AQ21" s="67"/>
      <c r="AR21" s="72"/>
      <c r="AS21" s="119"/>
      <c r="AT21" s="45"/>
      <c r="AU21" s="41"/>
      <c r="AV21" s="67"/>
      <c r="AW21" s="72"/>
      <c r="AX21" s="119"/>
      <c r="AY21" s="124"/>
      <c r="AZ21" s="113"/>
      <c r="BA21" s="41"/>
      <c r="BB21" s="67"/>
      <c r="BC21" s="72"/>
      <c r="BD21" s="119"/>
      <c r="BE21" s="124"/>
      <c r="BF21" s="113"/>
      <c r="BG21" s="41"/>
      <c r="BH21" s="67"/>
      <c r="BI21" s="104"/>
      <c r="BJ21" s="119"/>
      <c r="BK21" s="124"/>
      <c r="BL21" s="113"/>
      <c r="BM21" s="87"/>
      <c r="BN21" s="67"/>
      <c r="BO21" s="72"/>
      <c r="BP21" s="119"/>
      <c r="BQ21" s="124"/>
      <c r="BR21" s="113"/>
      <c r="BS21" s="41"/>
      <c r="BT21" s="67"/>
      <c r="BU21" s="104"/>
      <c r="BV21" s="119"/>
      <c r="BW21" s="124"/>
      <c r="BX21" s="113"/>
      <c r="BY21" s="41"/>
      <c r="BZ21" s="67"/>
      <c r="CA21" s="104"/>
      <c r="CB21" s="119"/>
      <c r="CC21" s="124"/>
      <c r="CD21" s="113"/>
      <c r="CE21" s="41"/>
      <c r="CF21" s="67"/>
      <c r="CG21" s="104"/>
      <c r="CH21" s="119"/>
      <c r="CI21" s="124"/>
      <c r="CJ21" s="113"/>
      <c r="CK21" s="41"/>
      <c r="CL21" s="67"/>
      <c r="CM21" s="72"/>
      <c r="CN21" s="119"/>
      <c r="CO21" s="124"/>
      <c r="CP21" s="113"/>
      <c r="CQ21" s="41"/>
      <c r="CR21" s="67"/>
      <c r="CS21" s="72"/>
      <c r="CT21" s="119"/>
      <c r="CU21" s="124"/>
      <c r="CV21" s="113"/>
      <c r="CW21" s="41"/>
      <c r="CX21" s="67"/>
      <c r="CY21" s="72"/>
      <c r="CZ21" s="119"/>
      <c r="DA21" s="124"/>
      <c r="DB21" s="113"/>
      <c r="DC21" s="41"/>
      <c r="DD21" s="67"/>
      <c r="DE21" s="72"/>
      <c r="DF21" s="119"/>
      <c r="DG21" s="124"/>
      <c r="DH21" s="113"/>
      <c r="DI21" s="41"/>
      <c r="DJ21" s="67"/>
      <c r="DK21" s="72"/>
      <c r="DL21" s="119"/>
      <c r="DM21" s="148"/>
      <c r="DN21" s="41"/>
      <c r="DO21" s="67"/>
      <c r="DP21" s="72"/>
      <c r="DQ21" s="119"/>
      <c r="DR21" s="45"/>
      <c r="DS21" s="41"/>
      <c r="DT21" s="67"/>
      <c r="DU21" s="104"/>
      <c r="DV21" s="119"/>
      <c r="DW21" s="124"/>
      <c r="DX21" s="113"/>
      <c r="DY21" s="41"/>
      <c r="DZ21" s="67"/>
      <c r="EA21" s="72"/>
      <c r="EB21" s="119"/>
      <c r="EC21" s="124"/>
      <c r="ED21" s="113"/>
      <c r="EE21" s="41"/>
      <c r="EF21" s="67"/>
      <c r="EG21" s="72"/>
      <c r="EH21" s="192"/>
      <c r="EI21" s="148"/>
      <c r="EJ21" s="41"/>
      <c r="EK21" s="67"/>
      <c r="EL21" s="104"/>
      <c r="EM21" s="148"/>
      <c r="EN21" s="41"/>
      <c r="EO21" s="67"/>
      <c r="EP21" s="72"/>
      <c r="EQ21" s="45"/>
      <c r="ER21" s="41"/>
      <c r="ES21" s="67"/>
      <c r="ET21" s="104"/>
      <c r="EU21" s="124"/>
      <c r="EV21" s="169"/>
      <c r="EW21" s="87"/>
      <c r="EX21" s="248"/>
      <c r="EY21" s="87"/>
      <c r="EZ21" s="91"/>
      <c r="FA21" s="41"/>
      <c r="FB21" s="67"/>
      <c r="FC21" s="104"/>
      <c r="FD21" s="124"/>
      <c r="FE21" s="169"/>
      <c r="FF21" s="87"/>
      <c r="FG21" s="72"/>
      <c r="FH21" s="45"/>
      <c r="FI21" s="41"/>
      <c r="FJ21" s="67"/>
      <c r="FK21" s="104"/>
      <c r="FL21" s="45"/>
      <c r="FM21" s="41"/>
      <c r="FN21" s="148"/>
      <c r="FO21" s="208"/>
      <c r="FP21" s="208"/>
      <c r="FQ21" s="41"/>
      <c r="FR21" s="67"/>
      <c r="FS21" s="104"/>
      <c r="FT21" s="113"/>
      <c r="FU21" s="87"/>
      <c r="FV21" s="104"/>
      <c r="FW21" s="148"/>
      <c r="FX21" s="33"/>
      <c r="FY21" s="124"/>
      <c r="FZ21" s="113"/>
      <c r="GA21" s="87"/>
      <c r="GB21" s="104"/>
      <c r="GC21" s="155"/>
      <c r="GD21" s="113"/>
      <c r="GE21" s="87"/>
      <c r="GF21" s="148"/>
      <c r="GG21" s="208"/>
      <c r="GH21" s="104"/>
      <c r="GI21" s="248"/>
      <c r="GJ21" s="200"/>
      <c r="GK21" s="77"/>
      <c r="GL21" s="41"/>
      <c r="GM21" s="91"/>
      <c r="GN21" s="108"/>
      <c r="GO21" s="108"/>
      <c r="GP21" s="41"/>
      <c r="GQ21" s="91"/>
      <c r="GR21" s="49"/>
      <c r="GS21" s="108"/>
      <c r="GT21" s="108"/>
      <c r="GU21" s="108"/>
      <c r="GV21" s="41"/>
      <c r="GW21" s="91"/>
      <c r="GX21" s="104"/>
      <c r="GY21" s="41">
        <v>18.5</v>
      </c>
      <c r="GZ21" s="104"/>
      <c r="HA21" s="113"/>
      <c r="HB21" s="274"/>
      <c r="HC21" s="41"/>
      <c r="HD21" s="91"/>
      <c r="HE21" s="41"/>
      <c r="HF21" s="77"/>
      <c r="HG21" s="41"/>
      <c r="HH21" s="104"/>
      <c r="HI21" s="152"/>
      <c r="HJ21" s="77"/>
      <c r="HK21" s="49"/>
      <c r="HL21" s="41"/>
      <c r="HM21" s="104"/>
      <c r="HN21" s="113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1"/>
      <c r="IJ21" s="260"/>
      <c r="IK21" s="261"/>
    </row>
    <row r="22" spans="1:245" x14ac:dyDescent="0.25">
      <c r="A22" s="129">
        <v>44323</v>
      </c>
      <c r="B22" s="18" t="s">
        <v>15</v>
      </c>
      <c r="C22" s="21">
        <f t="shared" si="4"/>
        <v>-133.63999999999999</v>
      </c>
      <c r="D22" s="143"/>
      <c r="E22" s="143"/>
      <c r="F22" s="143"/>
      <c r="G22" s="143"/>
      <c r="H22" s="82"/>
      <c r="I22" s="82"/>
      <c r="J22" s="108"/>
      <c r="K22" s="41"/>
      <c r="L22" s="67"/>
      <c r="M22" s="91"/>
      <c r="N22" s="41"/>
      <c r="O22" s="372"/>
      <c r="P22" s="104"/>
      <c r="Q22" s="161"/>
      <c r="R22" s="113"/>
      <c r="S22" s="72"/>
      <c r="T22" s="41"/>
      <c r="U22" s="67"/>
      <c r="V22" s="72"/>
      <c r="W22" s="161"/>
      <c r="X22" s="41"/>
      <c r="Y22" s="67"/>
      <c r="Z22" s="77"/>
      <c r="AA22" s="41"/>
      <c r="AB22" s="67"/>
      <c r="AC22" s="72"/>
      <c r="AD22" s="113"/>
      <c r="AE22" s="41"/>
      <c r="AF22" s="67"/>
      <c r="AG22" s="104"/>
      <c r="AH22" s="119"/>
      <c r="AI22" s="124"/>
      <c r="AJ22" s="161"/>
      <c r="AK22" s="241"/>
      <c r="AL22" s="41"/>
      <c r="AM22" s="67"/>
      <c r="AN22" s="72"/>
      <c r="AO22" s="45"/>
      <c r="AP22" s="41"/>
      <c r="AQ22" s="67"/>
      <c r="AR22" s="72"/>
      <c r="AS22" s="119"/>
      <c r="AT22" s="45"/>
      <c r="AU22" s="41"/>
      <c r="AV22" s="67"/>
      <c r="AW22" s="72"/>
      <c r="AX22" s="119"/>
      <c r="AY22" s="124"/>
      <c r="AZ22" s="113"/>
      <c r="BA22" s="41"/>
      <c r="BB22" s="67"/>
      <c r="BC22" s="72"/>
      <c r="BD22" s="119"/>
      <c r="BE22" s="124"/>
      <c r="BF22" s="113"/>
      <c r="BG22" s="41"/>
      <c r="BH22" s="67"/>
      <c r="BI22" s="104"/>
      <c r="BJ22" s="119"/>
      <c r="BK22" s="124"/>
      <c r="BL22" s="113"/>
      <c r="BM22" s="87"/>
      <c r="BN22" s="67"/>
      <c r="BO22" s="72"/>
      <c r="BP22" s="119"/>
      <c r="BQ22" s="124"/>
      <c r="BR22" s="113"/>
      <c r="BS22" s="41"/>
      <c r="BT22" s="67"/>
      <c r="BU22" s="104"/>
      <c r="BV22" s="119"/>
      <c r="BW22" s="124"/>
      <c r="BX22" s="113"/>
      <c r="BY22" s="41"/>
      <c r="BZ22" s="67">
        <v>-63.67</v>
      </c>
      <c r="CA22" s="104"/>
      <c r="CB22" s="119"/>
      <c r="CC22" s="124"/>
      <c r="CD22" s="113"/>
      <c r="CE22" s="41"/>
      <c r="CF22" s="67"/>
      <c r="CG22" s="104"/>
      <c r="CH22" s="119"/>
      <c r="CI22" s="124"/>
      <c r="CJ22" s="113"/>
      <c r="CK22" s="41"/>
      <c r="CL22" s="67"/>
      <c r="CM22" s="72"/>
      <c r="CN22" s="119"/>
      <c r="CO22" s="124"/>
      <c r="CP22" s="113"/>
      <c r="CQ22" s="41"/>
      <c r="CR22" s="67"/>
      <c r="CS22" s="72"/>
      <c r="CT22" s="119"/>
      <c r="CU22" s="124"/>
      <c r="CV22" s="113"/>
      <c r="CW22" s="41"/>
      <c r="CX22" s="67"/>
      <c r="CY22" s="72"/>
      <c r="CZ22" s="119"/>
      <c r="DA22" s="124"/>
      <c r="DB22" s="113"/>
      <c r="DC22" s="41">
        <v>-69.97</v>
      </c>
      <c r="DD22" s="67"/>
      <c r="DE22" s="72"/>
      <c r="DF22" s="119"/>
      <c r="DG22" s="124"/>
      <c r="DH22" s="113"/>
      <c r="DI22" s="41"/>
      <c r="DJ22" s="67"/>
      <c r="DK22" s="72"/>
      <c r="DL22" s="119"/>
      <c r="DM22" s="148"/>
      <c r="DN22" s="41"/>
      <c r="DO22" s="67"/>
      <c r="DP22" s="72"/>
      <c r="DQ22" s="119"/>
      <c r="DR22" s="45"/>
      <c r="DS22" s="41"/>
      <c r="DT22" s="67"/>
      <c r="DU22" s="104"/>
      <c r="DV22" s="119"/>
      <c r="DW22" s="124"/>
      <c r="DX22" s="113"/>
      <c r="DY22" s="41"/>
      <c r="DZ22" s="67"/>
      <c r="EA22" s="72"/>
      <c r="EB22" s="119"/>
      <c r="EC22" s="124"/>
      <c r="ED22" s="113"/>
      <c r="EE22" s="41"/>
      <c r="EF22" s="67"/>
      <c r="EG22" s="72"/>
      <c r="EH22" s="192"/>
      <c r="EI22" s="148"/>
      <c r="EJ22" s="41"/>
      <c r="EK22" s="67"/>
      <c r="EL22" s="104"/>
      <c r="EM22" s="148"/>
      <c r="EN22" s="41"/>
      <c r="EO22" s="67"/>
      <c r="EP22" s="72"/>
      <c r="EQ22" s="45"/>
      <c r="ER22" s="41"/>
      <c r="ES22" s="67"/>
      <c r="ET22" s="104"/>
      <c r="EU22" s="124"/>
      <c r="EV22" s="169"/>
      <c r="EW22" s="87"/>
      <c r="EX22" s="248"/>
      <c r="EY22" s="87"/>
      <c r="EZ22" s="91"/>
      <c r="FA22" s="41"/>
      <c r="FB22" s="67"/>
      <c r="FC22" s="104"/>
      <c r="FD22" s="124"/>
      <c r="FE22" s="169"/>
      <c r="FF22" s="87"/>
      <c r="FG22" s="72"/>
      <c r="FH22" s="45"/>
      <c r="FI22" s="41"/>
      <c r="FJ22" s="67"/>
      <c r="FK22" s="104"/>
      <c r="FL22" s="45"/>
      <c r="FM22" s="41"/>
      <c r="FN22" s="148"/>
      <c r="FO22" s="208"/>
      <c r="FP22" s="208"/>
      <c r="FQ22" s="41"/>
      <c r="FR22" s="67"/>
      <c r="FS22" s="104"/>
      <c r="FT22" s="113"/>
      <c r="FU22" s="87"/>
      <c r="FV22" s="104"/>
      <c r="FW22" s="148"/>
      <c r="FX22" s="33"/>
      <c r="FY22" s="124"/>
      <c r="FZ22" s="113"/>
      <c r="GA22" s="87"/>
      <c r="GB22" s="104"/>
      <c r="GC22" s="155"/>
      <c r="GD22" s="113"/>
      <c r="GE22" s="87"/>
      <c r="GF22" s="148"/>
      <c r="GG22" s="208"/>
      <c r="GH22" s="104"/>
      <c r="GI22" s="248"/>
      <c r="GJ22" s="200"/>
      <c r="GK22" s="77"/>
      <c r="GL22" s="41"/>
      <c r="GM22" s="91"/>
      <c r="GN22" s="108"/>
      <c r="GO22" s="108"/>
      <c r="GP22" s="41"/>
      <c r="GQ22" s="91"/>
      <c r="GR22" s="49"/>
      <c r="GS22" s="108"/>
      <c r="GT22" s="108"/>
      <c r="GU22" s="108"/>
      <c r="GV22" s="41"/>
      <c r="GW22" s="91"/>
      <c r="GX22" s="104"/>
      <c r="GY22" s="41"/>
      <c r="GZ22" s="104"/>
      <c r="HA22" s="113"/>
      <c r="HB22" s="274"/>
      <c r="HC22" s="41"/>
      <c r="HD22" s="91"/>
      <c r="HE22" s="41"/>
      <c r="HF22" s="77"/>
      <c r="HG22" s="41"/>
      <c r="HH22" s="104"/>
      <c r="HI22" s="152"/>
      <c r="HJ22" s="77"/>
      <c r="HK22" s="49"/>
      <c r="HL22" s="41"/>
      <c r="HM22" s="104"/>
      <c r="HN22" s="113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1"/>
      <c r="IJ22" s="260"/>
      <c r="IK22" s="261"/>
    </row>
    <row r="23" spans="1:245" x14ac:dyDescent="0.25">
      <c r="A23" s="129">
        <v>44323</v>
      </c>
      <c r="B23" s="18" t="s">
        <v>25</v>
      </c>
      <c r="C23" s="21">
        <f t="shared" si="4"/>
        <v>-51.3</v>
      </c>
      <c r="D23" s="143"/>
      <c r="E23" s="143"/>
      <c r="F23" s="143"/>
      <c r="G23" s="143"/>
      <c r="H23" s="82"/>
      <c r="I23" s="82"/>
      <c r="J23" s="108"/>
      <c r="K23" s="41"/>
      <c r="L23" s="67"/>
      <c r="M23" s="91"/>
      <c r="N23" s="41"/>
      <c r="O23" s="372"/>
      <c r="P23" s="104"/>
      <c r="Q23" s="161"/>
      <c r="R23" s="113"/>
      <c r="S23" s="72"/>
      <c r="T23" s="41"/>
      <c r="U23" s="67"/>
      <c r="V23" s="72"/>
      <c r="W23" s="161"/>
      <c r="X23" s="41"/>
      <c r="Y23" s="67"/>
      <c r="Z23" s="77"/>
      <c r="AA23" s="41"/>
      <c r="AB23" s="67"/>
      <c r="AC23" s="72"/>
      <c r="AD23" s="113"/>
      <c r="AE23" s="41"/>
      <c r="AF23" s="67"/>
      <c r="AG23" s="104"/>
      <c r="AH23" s="119"/>
      <c r="AI23" s="124"/>
      <c r="AJ23" s="161"/>
      <c r="AK23" s="241"/>
      <c r="AL23" s="41"/>
      <c r="AM23" s="67"/>
      <c r="AN23" s="72"/>
      <c r="AO23" s="45"/>
      <c r="AP23" s="41"/>
      <c r="AQ23" s="67"/>
      <c r="AR23" s="72"/>
      <c r="AS23" s="119"/>
      <c r="AT23" s="45"/>
      <c r="AU23" s="41"/>
      <c r="AV23" s="67"/>
      <c r="AW23" s="72"/>
      <c r="AX23" s="119"/>
      <c r="AY23" s="124"/>
      <c r="AZ23" s="113"/>
      <c r="BA23" s="41"/>
      <c r="BB23" s="67"/>
      <c r="BC23" s="72"/>
      <c r="BD23" s="119"/>
      <c r="BE23" s="124"/>
      <c r="BF23" s="113"/>
      <c r="BG23" s="41"/>
      <c r="BH23" s="67">
        <v>-8.5850000000000009</v>
      </c>
      <c r="BI23" s="104"/>
      <c r="BJ23" s="119"/>
      <c r="BK23" s="124"/>
      <c r="BL23" s="113"/>
      <c r="BM23" s="87">
        <v>-8.7799999999999994</v>
      </c>
      <c r="BN23" s="67"/>
      <c r="BO23" s="72"/>
      <c r="BP23" s="119"/>
      <c r="BQ23" s="124"/>
      <c r="BR23" s="113"/>
      <c r="BS23" s="41"/>
      <c r="BT23" s="67">
        <v>-16.594999999999999</v>
      </c>
      <c r="BU23" s="104"/>
      <c r="BV23" s="119"/>
      <c r="BW23" s="124"/>
      <c r="BX23" s="113"/>
      <c r="BY23" s="41">
        <v>-8.59</v>
      </c>
      <c r="BZ23" s="67"/>
      <c r="CA23" s="104"/>
      <c r="CB23" s="119"/>
      <c r="CC23" s="124"/>
      <c r="CD23" s="113"/>
      <c r="CE23" s="41">
        <v>-8.75</v>
      </c>
      <c r="CF23" s="67"/>
      <c r="CG23" s="104"/>
      <c r="CH23" s="119"/>
      <c r="CI23" s="124"/>
      <c r="CJ23" s="113"/>
      <c r="CK23" s="41"/>
      <c r="CL23" s="67"/>
      <c r="CM23" s="72"/>
      <c r="CN23" s="119"/>
      <c r="CO23" s="124"/>
      <c r="CP23" s="113"/>
      <c r="CQ23" s="41"/>
      <c r="CR23" s="67"/>
      <c r="CS23" s="72"/>
      <c r="CT23" s="119"/>
      <c r="CU23" s="124"/>
      <c r="CV23" s="113"/>
      <c r="CW23" s="41"/>
      <c r="CX23" s="67"/>
      <c r="CY23" s="72"/>
      <c r="CZ23" s="119"/>
      <c r="DA23" s="124"/>
      <c r="DB23" s="113"/>
      <c r="DC23" s="41"/>
      <c r="DD23" s="67"/>
      <c r="DE23" s="72"/>
      <c r="DF23" s="119"/>
      <c r="DG23" s="124"/>
      <c r="DH23" s="113"/>
      <c r="DI23" s="41"/>
      <c r="DJ23" s="67"/>
      <c r="DK23" s="72"/>
      <c r="DL23" s="119"/>
      <c r="DM23" s="148"/>
      <c r="DN23" s="41"/>
      <c r="DO23" s="67"/>
      <c r="DP23" s="72"/>
      <c r="DQ23" s="119"/>
      <c r="DR23" s="45"/>
      <c r="DS23" s="41"/>
      <c r="DT23" s="67"/>
      <c r="DU23" s="104"/>
      <c r="DV23" s="119"/>
      <c r="DW23" s="124"/>
      <c r="DX23" s="113"/>
      <c r="DY23" s="41"/>
      <c r="DZ23" s="67"/>
      <c r="EA23" s="72"/>
      <c r="EB23" s="119"/>
      <c r="EC23" s="124"/>
      <c r="ED23" s="113"/>
      <c r="EE23" s="41"/>
      <c r="EF23" s="67"/>
      <c r="EG23" s="72"/>
      <c r="EH23" s="192"/>
      <c r="EI23" s="148"/>
      <c r="EJ23" s="41"/>
      <c r="EK23" s="67"/>
      <c r="EL23" s="104"/>
      <c r="EM23" s="148"/>
      <c r="EN23" s="41"/>
      <c r="EO23" s="67"/>
      <c r="EP23" s="72"/>
      <c r="EQ23" s="45"/>
      <c r="ER23" s="41"/>
      <c r="ES23" s="67"/>
      <c r="ET23" s="104"/>
      <c r="EU23" s="124"/>
      <c r="EV23" s="169"/>
      <c r="EW23" s="87"/>
      <c r="EX23" s="248"/>
      <c r="EY23" s="87"/>
      <c r="EZ23" s="91"/>
      <c r="FA23" s="41"/>
      <c r="FB23" s="67"/>
      <c r="FC23" s="104"/>
      <c r="FD23" s="124"/>
      <c r="FE23" s="169"/>
      <c r="FF23" s="87"/>
      <c r="FG23" s="72"/>
      <c r="FH23" s="45"/>
      <c r="FI23" s="41"/>
      <c r="FJ23" s="67"/>
      <c r="FK23" s="104"/>
      <c r="FL23" s="45"/>
      <c r="FM23" s="41"/>
      <c r="FN23" s="148"/>
      <c r="FO23" s="208"/>
      <c r="FP23" s="208"/>
      <c r="FQ23" s="41"/>
      <c r="FR23" s="67"/>
      <c r="FS23" s="104"/>
      <c r="FT23" s="113"/>
      <c r="FU23" s="87"/>
      <c r="FV23" s="104"/>
      <c r="FW23" s="148"/>
      <c r="FX23" s="33"/>
      <c r="FY23" s="124"/>
      <c r="FZ23" s="113"/>
      <c r="GA23" s="87"/>
      <c r="GB23" s="104"/>
      <c r="GC23" s="155"/>
      <c r="GD23" s="113"/>
      <c r="GE23" s="87"/>
      <c r="GF23" s="148"/>
      <c r="GG23" s="208"/>
      <c r="GH23" s="104"/>
      <c r="GI23" s="248"/>
      <c r="GJ23" s="200"/>
      <c r="GK23" s="77"/>
      <c r="GL23" s="41"/>
      <c r="GM23" s="91"/>
      <c r="GN23" s="108"/>
      <c r="GO23" s="108"/>
      <c r="GP23" s="41"/>
      <c r="GQ23" s="91"/>
      <c r="GR23" s="49"/>
      <c r="GS23" s="108"/>
      <c r="GT23" s="108"/>
      <c r="GU23" s="108"/>
      <c r="GV23" s="41"/>
      <c r="GW23" s="91"/>
      <c r="GX23" s="104"/>
      <c r="GY23" s="41"/>
      <c r="GZ23" s="104"/>
      <c r="HA23" s="113"/>
      <c r="HB23" s="274"/>
      <c r="HC23" s="41"/>
      <c r="HD23" s="91"/>
      <c r="HE23" s="41"/>
      <c r="HF23" s="77"/>
      <c r="HG23" s="41"/>
      <c r="HH23" s="104"/>
      <c r="HI23" s="152"/>
      <c r="HJ23" s="77"/>
      <c r="HK23" s="49"/>
      <c r="HL23" s="41"/>
      <c r="HM23" s="104"/>
      <c r="HN23" s="113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1"/>
      <c r="IJ23" s="260"/>
      <c r="IK23" s="261"/>
    </row>
    <row r="24" spans="1:245" x14ac:dyDescent="0.25">
      <c r="A24" s="129">
        <v>44326</v>
      </c>
      <c r="B24" s="18" t="s">
        <v>21</v>
      </c>
      <c r="C24" s="21">
        <f t="shared" si="4"/>
        <v>-270.26</v>
      </c>
      <c r="D24" s="143"/>
      <c r="E24" s="143"/>
      <c r="F24" s="143"/>
      <c r="G24" s="143"/>
      <c r="H24" s="82"/>
      <c r="I24" s="82"/>
      <c r="J24" s="108"/>
      <c r="K24" s="41"/>
      <c r="L24" s="67"/>
      <c r="M24" s="91"/>
      <c r="N24" s="41"/>
      <c r="O24" s="372"/>
      <c r="P24" s="104"/>
      <c r="Q24" s="161"/>
      <c r="R24" s="113"/>
      <c r="S24" s="72"/>
      <c r="T24" s="41"/>
      <c r="U24" s="67"/>
      <c r="V24" s="72"/>
      <c r="W24" s="161"/>
      <c r="X24" s="41"/>
      <c r="Y24" s="67"/>
      <c r="Z24" s="77"/>
      <c r="AA24" s="41"/>
      <c r="AB24" s="67"/>
      <c r="AC24" s="72"/>
      <c r="AD24" s="113"/>
      <c r="AE24" s="41"/>
      <c r="AF24" s="67"/>
      <c r="AG24" s="104"/>
      <c r="AH24" s="119"/>
      <c r="AI24" s="124"/>
      <c r="AJ24" s="161"/>
      <c r="AK24" s="241"/>
      <c r="AL24" s="41"/>
      <c r="AM24" s="67"/>
      <c r="AN24" s="72"/>
      <c r="AO24" s="45"/>
      <c r="AP24" s="41"/>
      <c r="AQ24" s="67"/>
      <c r="AR24" s="72"/>
      <c r="AS24" s="119"/>
      <c r="AT24" s="45"/>
      <c r="AU24" s="41"/>
      <c r="AV24" s="67"/>
      <c r="AW24" s="72"/>
      <c r="AX24" s="119"/>
      <c r="AY24" s="124"/>
      <c r="AZ24" s="113"/>
      <c r="BA24" s="41"/>
      <c r="BB24" s="67"/>
      <c r="BC24" s="72"/>
      <c r="BD24" s="119"/>
      <c r="BE24" s="124"/>
      <c r="BF24" s="113"/>
      <c r="BG24" s="41"/>
      <c r="BH24" s="67"/>
      <c r="BI24" s="104"/>
      <c r="BJ24" s="119"/>
      <c r="BK24" s="124"/>
      <c r="BL24" s="113"/>
      <c r="BM24" s="87"/>
      <c r="BN24" s="67">
        <v>-66.86</v>
      </c>
      <c r="BO24" s="72"/>
      <c r="BP24" s="119"/>
      <c r="BQ24" s="124"/>
      <c r="BR24" s="113"/>
      <c r="BS24" s="41"/>
      <c r="BT24" s="67">
        <v>-66.784999999999997</v>
      </c>
      <c r="BU24" s="104"/>
      <c r="BV24" s="119"/>
      <c r="BW24" s="124"/>
      <c r="BX24" s="113"/>
      <c r="BY24" s="41">
        <v>-69.13</v>
      </c>
      <c r="BZ24" s="67"/>
      <c r="CA24" s="104"/>
      <c r="CB24" s="119"/>
      <c r="CC24" s="124"/>
      <c r="CD24" s="113"/>
      <c r="CE24" s="41"/>
      <c r="CF24" s="67">
        <v>-34.005000000000003</v>
      </c>
      <c r="CG24" s="104"/>
      <c r="CH24" s="119"/>
      <c r="CI24" s="124"/>
      <c r="CJ24" s="113"/>
      <c r="CK24" s="41"/>
      <c r="CL24" s="67">
        <v>-33.479999999999997</v>
      </c>
      <c r="CM24" s="72"/>
      <c r="CN24" s="119"/>
      <c r="CO24" s="124"/>
      <c r="CP24" s="113"/>
      <c r="CQ24" s="41"/>
      <c r="CR24" s="67"/>
      <c r="CS24" s="72"/>
      <c r="CT24" s="119"/>
      <c r="CU24" s="124"/>
      <c r="CV24" s="113"/>
      <c r="CW24" s="41"/>
      <c r="CX24" s="67"/>
      <c r="CY24" s="72"/>
      <c r="CZ24" s="119"/>
      <c r="DA24" s="124"/>
      <c r="DB24" s="113"/>
      <c r="DC24" s="41"/>
      <c r="DD24" s="67"/>
      <c r="DE24" s="72"/>
      <c r="DF24" s="119"/>
      <c r="DG24" s="124"/>
      <c r="DH24" s="113"/>
      <c r="DI24" s="41"/>
      <c r="DJ24" s="67"/>
      <c r="DK24" s="72"/>
      <c r="DL24" s="119"/>
      <c r="DM24" s="148"/>
      <c r="DN24" s="41"/>
      <c r="DO24" s="67"/>
      <c r="DP24" s="72"/>
      <c r="DQ24" s="119"/>
      <c r="DR24" s="45"/>
      <c r="DS24" s="41"/>
      <c r="DT24" s="67"/>
      <c r="DU24" s="104"/>
      <c r="DV24" s="119"/>
      <c r="DW24" s="124"/>
      <c r="DX24" s="113"/>
      <c r="DY24" s="41"/>
      <c r="DZ24" s="67"/>
      <c r="EA24" s="72"/>
      <c r="EB24" s="119"/>
      <c r="EC24" s="124"/>
      <c r="ED24" s="113"/>
      <c r="EE24" s="41"/>
      <c r="EF24" s="67"/>
      <c r="EG24" s="72"/>
      <c r="EH24" s="192"/>
      <c r="EI24" s="148"/>
      <c r="EJ24" s="41"/>
      <c r="EK24" s="67"/>
      <c r="EL24" s="104"/>
      <c r="EM24" s="148"/>
      <c r="EN24" s="41"/>
      <c r="EO24" s="67"/>
      <c r="EP24" s="72"/>
      <c r="EQ24" s="45"/>
      <c r="ER24" s="41"/>
      <c r="ES24" s="67"/>
      <c r="ET24" s="104"/>
      <c r="EU24" s="124"/>
      <c r="EV24" s="169"/>
      <c r="EW24" s="87"/>
      <c r="EX24" s="248"/>
      <c r="EY24" s="87"/>
      <c r="EZ24" s="91"/>
      <c r="FA24" s="41"/>
      <c r="FB24" s="67"/>
      <c r="FC24" s="104"/>
      <c r="FD24" s="124"/>
      <c r="FE24" s="169"/>
      <c r="FF24" s="87"/>
      <c r="FG24" s="72"/>
      <c r="FH24" s="45"/>
      <c r="FI24" s="41"/>
      <c r="FJ24" s="67"/>
      <c r="FK24" s="104"/>
      <c r="FL24" s="45"/>
      <c r="FM24" s="41"/>
      <c r="FN24" s="148"/>
      <c r="FO24" s="208"/>
      <c r="FP24" s="208"/>
      <c r="FQ24" s="41"/>
      <c r="FR24" s="67"/>
      <c r="FS24" s="104"/>
      <c r="FT24" s="113"/>
      <c r="FU24" s="87"/>
      <c r="FV24" s="104"/>
      <c r="FW24" s="148"/>
      <c r="FX24" s="33"/>
      <c r="FY24" s="124"/>
      <c r="FZ24" s="113"/>
      <c r="GA24" s="87"/>
      <c r="GB24" s="104"/>
      <c r="GC24" s="155"/>
      <c r="GD24" s="113"/>
      <c r="GE24" s="87"/>
      <c r="GF24" s="148"/>
      <c r="GG24" s="208"/>
      <c r="GH24" s="104"/>
      <c r="GI24" s="248"/>
      <c r="GJ24" s="200"/>
      <c r="GK24" s="77"/>
      <c r="GL24" s="41"/>
      <c r="GM24" s="91"/>
      <c r="GN24" s="108"/>
      <c r="GO24" s="108"/>
      <c r="GP24" s="41"/>
      <c r="GQ24" s="91"/>
      <c r="GR24" s="49"/>
      <c r="GS24" s="108"/>
      <c r="GT24" s="108"/>
      <c r="GU24" s="108"/>
      <c r="GV24" s="41"/>
      <c r="GW24" s="91"/>
      <c r="GX24" s="104"/>
      <c r="GY24" s="41"/>
      <c r="GZ24" s="104"/>
      <c r="HA24" s="113"/>
      <c r="HB24" s="274"/>
      <c r="HC24" s="41"/>
      <c r="HD24" s="91"/>
      <c r="HE24" s="41"/>
      <c r="HF24" s="77"/>
      <c r="HG24" s="41"/>
      <c r="HH24" s="104"/>
      <c r="HI24" s="152"/>
      <c r="HJ24" s="77"/>
      <c r="HK24" s="49"/>
      <c r="HL24" s="41"/>
      <c r="HM24" s="104"/>
      <c r="HN24" s="113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1"/>
      <c r="IJ24" s="260"/>
      <c r="IK24" s="261"/>
    </row>
    <row r="25" spans="1:245" x14ac:dyDescent="0.25">
      <c r="A25" s="129">
        <v>44326</v>
      </c>
      <c r="B25" s="18" t="s">
        <v>22</v>
      </c>
      <c r="C25" s="21">
        <f t="shared" si="4"/>
        <v>-375.46499999999997</v>
      </c>
      <c r="D25" s="143"/>
      <c r="E25" s="143"/>
      <c r="F25" s="143"/>
      <c r="G25" s="143"/>
      <c r="H25" s="82"/>
      <c r="I25" s="82"/>
      <c r="J25" s="108"/>
      <c r="K25" s="41"/>
      <c r="L25" s="67"/>
      <c r="M25" s="91"/>
      <c r="N25" s="41"/>
      <c r="O25" s="372"/>
      <c r="P25" s="104"/>
      <c r="Q25" s="161"/>
      <c r="R25" s="113"/>
      <c r="S25" s="72"/>
      <c r="T25" s="41"/>
      <c r="U25" s="67"/>
      <c r="V25" s="72"/>
      <c r="W25" s="161"/>
      <c r="X25" s="41"/>
      <c r="Y25" s="67"/>
      <c r="Z25" s="77"/>
      <c r="AA25" s="41"/>
      <c r="AB25" s="67"/>
      <c r="AC25" s="72"/>
      <c r="AD25" s="113"/>
      <c r="AE25" s="41"/>
      <c r="AF25" s="67"/>
      <c r="AG25" s="104"/>
      <c r="AH25" s="119"/>
      <c r="AI25" s="124"/>
      <c r="AJ25" s="161"/>
      <c r="AK25" s="241"/>
      <c r="AL25" s="41"/>
      <c r="AM25" s="67"/>
      <c r="AN25" s="72"/>
      <c r="AO25" s="45"/>
      <c r="AP25" s="41">
        <v>-32.31</v>
      </c>
      <c r="AQ25" s="67"/>
      <c r="AR25" s="72"/>
      <c r="AS25" s="119"/>
      <c r="AT25" s="45"/>
      <c r="AU25" s="41"/>
      <c r="AV25" s="67"/>
      <c r="AW25" s="72"/>
      <c r="AX25" s="119"/>
      <c r="AY25" s="124"/>
      <c r="AZ25" s="113"/>
      <c r="BA25" s="41">
        <v>-34.82</v>
      </c>
      <c r="BB25" s="67"/>
      <c r="BC25" s="72"/>
      <c r="BD25" s="119"/>
      <c r="BE25" s="124"/>
      <c r="BF25" s="113"/>
      <c r="BG25" s="41"/>
      <c r="BH25" s="67">
        <v>-33.604999999999997</v>
      </c>
      <c r="BI25" s="104"/>
      <c r="BJ25" s="119"/>
      <c r="BK25" s="124"/>
      <c r="BL25" s="113"/>
      <c r="BM25" s="87"/>
      <c r="BN25" s="67">
        <v>-33.479999999999997</v>
      </c>
      <c r="BO25" s="72"/>
      <c r="BP25" s="119"/>
      <c r="BQ25" s="124"/>
      <c r="BR25" s="113"/>
      <c r="BS25" s="41">
        <v>-34.9</v>
      </c>
      <c r="BT25" s="67"/>
      <c r="BU25" s="104"/>
      <c r="BV25" s="119"/>
      <c r="BW25" s="124"/>
      <c r="BX25" s="113"/>
      <c r="BY25" s="41"/>
      <c r="BZ25" s="67">
        <v>-33.924999999999997</v>
      </c>
      <c r="CA25" s="104"/>
      <c r="CB25" s="119"/>
      <c r="CC25" s="124"/>
      <c r="CD25" s="113"/>
      <c r="CE25" s="41"/>
      <c r="CF25" s="67"/>
      <c r="CG25" s="104"/>
      <c r="CH25" s="119"/>
      <c r="CI25" s="124"/>
      <c r="CJ25" s="113"/>
      <c r="CK25" s="41"/>
      <c r="CL25" s="67">
        <v>-33.965000000000003</v>
      </c>
      <c r="CM25" s="72"/>
      <c r="CN25" s="119"/>
      <c r="CO25" s="124"/>
      <c r="CP25" s="113"/>
      <c r="CQ25" s="41"/>
      <c r="CR25" s="67"/>
      <c r="CS25" s="72"/>
      <c r="CT25" s="119"/>
      <c r="CU25" s="124"/>
      <c r="CV25" s="113"/>
      <c r="CW25" s="41">
        <v>-68.94</v>
      </c>
      <c r="CX25" s="67"/>
      <c r="CY25" s="72"/>
      <c r="CZ25" s="119"/>
      <c r="DA25" s="124"/>
      <c r="DB25" s="113"/>
      <c r="DC25" s="41">
        <v>-69.52</v>
      </c>
      <c r="DD25" s="67"/>
      <c r="DE25" s="72"/>
      <c r="DF25" s="119"/>
      <c r="DG25" s="124"/>
      <c r="DH25" s="113"/>
      <c r="DI25" s="41"/>
      <c r="DJ25" s="67"/>
      <c r="DK25" s="72"/>
      <c r="DL25" s="119"/>
      <c r="DM25" s="148"/>
      <c r="DN25" s="41"/>
      <c r="DO25" s="67"/>
      <c r="DP25" s="72"/>
      <c r="DQ25" s="119"/>
      <c r="DR25" s="45"/>
      <c r="DS25" s="41"/>
      <c r="DT25" s="67"/>
      <c r="DU25" s="104"/>
      <c r="DV25" s="119"/>
      <c r="DW25" s="124"/>
      <c r="DX25" s="113"/>
      <c r="DY25" s="41"/>
      <c r="DZ25" s="67"/>
      <c r="EA25" s="72"/>
      <c r="EB25" s="119"/>
      <c r="EC25" s="124"/>
      <c r="ED25" s="113"/>
      <c r="EE25" s="41"/>
      <c r="EF25" s="67"/>
      <c r="EG25" s="72"/>
      <c r="EH25" s="192"/>
      <c r="EI25" s="148"/>
      <c r="EJ25" s="41"/>
      <c r="EK25" s="67"/>
      <c r="EL25" s="104"/>
      <c r="EM25" s="148"/>
      <c r="EN25" s="41"/>
      <c r="EO25" s="67"/>
      <c r="EP25" s="72"/>
      <c r="EQ25" s="45"/>
      <c r="ER25" s="41"/>
      <c r="ES25" s="67"/>
      <c r="ET25" s="104"/>
      <c r="EU25" s="124"/>
      <c r="EV25" s="169"/>
      <c r="EW25" s="87"/>
      <c r="EX25" s="248"/>
      <c r="EY25" s="87"/>
      <c r="EZ25" s="91"/>
      <c r="FA25" s="41"/>
      <c r="FB25" s="67"/>
      <c r="FC25" s="104"/>
      <c r="FD25" s="124"/>
      <c r="FE25" s="169"/>
      <c r="FF25" s="87"/>
      <c r="FG25" s="72"/>
      <c r="FH25" s="45"/>
      <c r="FI25" s="41"/>
      <c r="FJ25" s="67"/>
      <c r="FK25" s="104"/>
      <c r="FL25" s="45"/>
      <c r="FM25" s="41"/>
      <c r="FN25" s="148"/>
      <c r="FO25" s="208"/>
      <c r="FP25" s="208"/>
      <c r="FQ25" s="41"/>
      <c r="FR25" s="67"/>
      <c r="FS25" s="104"/>
      <c r="FT25" s="113"/>
      <c r="FU25" s="87"/>
      <c r="FV25" s="104"/>
      <c r="FW25" s="148"/>
      <c r="FX25" s="33"/>
      <c r="FY25" s="124"/>
      <c r="FZ25" s="113"/>
      <c r="GA25" s="87"/>
      <c r="GB25" s="104"/>
      <c r="GC25" s="155"/>
      <c r="GD25" s="113"/>
      <c r="GE25" s="87"/>
      <c r="GF25" s="148"/>
      <c r="GG25" s="208"/>
      <c r="GH25" s="104"/>
      <c r="GI25" s="248"/>
      <c r="GJ25" s="200"/>
      <c r="GK25" s="77"/>
      <c r="GL25" s="41"/>
      <c r="GM25" s="91"/>
      <c r="GN25" s="108"/>
      <c r="GO25" s="108"/>
      <c r="GP25" s="41"/>
      <c r="GQ25" s="91"/>
      <c r="GR25" s="49"/>
      <c r="GS25" s="108"/>
      <c r="GT25" s="108"/>
      <c r="GU25" s="108"/>
      <c r="GV25" s="41"/>
      <c r="GW25" s="91"/>
      <c r="GX25" s="104"/>
      <c r="GY25" s="41"/>
      <c r="GZ25" s="104"/>
      <c r="HA25" s="113"/>
      <c r="HB25" s="274"/>
      <c r="HC25" s="41"/>
      <c r="HD25" s="91"/>
      <c r="HE25" s="41"/>
      <c r="HF25" s="77"/>
      <c r="HG25" s="41"/>
      <c r="HH25" s="104"/>
      <c r="HI25" s="152"/>
      <c r="HJ25" s="77"/>
      <c r="HK25" s="49"/>
      <c r="HL25" s="41"/>
      <c r="HM25" s="104"/>
      <c r="HN25" s="113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1"/>
      <c r="IJ25" s="260"/>
      <c r="IK25" s="261"/>
    </row>
    <row r="26" spans="1:245" x14ac:dyDescent="0.25">
      <c r="A26" s="129">
        <v>44326</v>
      </c>
      <c r="B26" s="18" t="s">
        <v>16</v>
      </c>
      <c r="C26" s="21">
        <f t="shared" si="4"/>
        <v>-102.55</v>
      </c>
      <c r="D26" s="143"/>
      <c r="E26" s="143"/>
      <c r="F26" s="143"/>
      <c r="G26" s="143"/>
      <c r="H26" s="82"/>
      <c r="I26" s="82"/>
      <c r="J26" s="108"/>
      <c r="K26" s="41"/>
      <c r="L26" s="67"/>
      <c r="M26" s="91"/>
      <c r="N26" s="41"/>
      <c r="O26" s="372"/>
      <c r="P26" s="104"/>
      <c r="Q26" s="161"/>
      <c r="R26" s="113"/>
      <c r="S26" s="72"/>
      <c r="T26" s="41"/>
      <c r="U26" s="67"/>
      <c r="V26" s="72"/>
      <c r="W26" s="161"/>
      <c r="X26" s="41"/>
      <c r="Y26" s="67"/>
      <c r="Z26" s="77"/>
      <c r="AA26" s="41"/>
      <c r="AB26" s="67"/>
      <c r="AC26" s="72"/>
      <c r="AD26" s="113"/>
      <c r="AE26" s="41"/>
      <c r="AF26" s="67"/>
      <c r="AG26" s="104"/>
      <c r="AH26" s="119"/>
      <c r="AI26" s="124"/>
      <c r="AJ26" s="161"/>
      <c r="AK26" s="241"/>
      <c r="AL26" s="41"/>
      <c r="AM26" s="67"/>
      <c r="AN26" s="72"/>
      <c r="AO26" s="45"/>
      <c r="AP26" s="41"/>
      <c r="AQ26" s="67"/>
      <c r="AR26" s="72"/>
      <c r="AS26" s="119"/>
      <c r="AT26" s="45"/>
      <c r="AU26" s="41"/>
      <c r="AV26" s="67"/>
      <c r="AW26" s="72"/>
      <c r="AX26" s="119"/>
      <c r="AY26" s="124"/>
      <c r="AZ26" s="113"/>
      <c r="BA26" s="41"/>
      <c r="BB26" s="67"/>
      <c r="BC26" s="72"/>
      <c r="BD26" s="119"/>
      <c r="BE26" s="124"/>
      <c r="BF26" s="113"/>
      <c r="BG26" s="41"/>
      <c r="BH26" s="67">
        <v>-33.47</v>
      </c>
      <c r="BI26" s="104"/>
      <c r="BJ26" s="119"/>
      <c r="BK26" s="124"/>
      <c r="BL26" s="113"/>
      <c r="BM26" s="87"/>
      <c r="BN26" s="67">
        <v>-33.54</v>
      </c>
      <c r="BO26" s="72"/>
      <c r="BP26" s="119"/>
      <c r="BQ26" s="124"/>
      <c r="BR26" s="113"/>
      <c r="BS26" s="41"/>
      <c r="BT26" s="67"/>
      <c r="BU26" s="104"/>
      <c r="BV26" s="119"/>
      <c r="BW26" s="124"/>
      <c r="BX26" s="113"/>
      <c r="BY26" s="41">
        <v>-35.54</v>
      </c>
      <c r="BZ26" s="67"/>
      <c r="CA26" s="104"/>
      <c r="CB26" s="119"/>
      <c r="CC26" s="124"/>
      <c r="CD26" s="113"/>
      <c r="CE26" s="41"/>
      <c r="CF26" s="67"/>
      <c r="CG26" s="104"/>
      <c r="CH26" s="119"/>
      <c r="CI26" s="124"/>
      <c r="CJ26" s="113"/>
      <c r="CK26" s="41"/>
      <c r="CL26" s="67"/>
      <c r="CM26" s="72"/>
      <c r="CN26" s="119"/>
      <c r="CO26" s="124"/>
      <c r="CP26" s="113"/>
      <c r="CQ26" s="41"/>
      <c r="CR26" s="67"/>
      <c r="CS26" s="72"/>
      <c r="CT26" s="119"/>
      <c r="CU26" s="124"/>
      <c r="CV26" s="113"/>
      <c r="CW26" s="41"/>
      <c r="CX26" s="67"/>
      <c r="CY26" s="72"/>
      <c r="CZ26" s="119"/>
      <c r="DA26" s="124"/>
      <c r="DB26" s="113"/>
      <c r="DC26" s="41"/>
      <c r="DD26" s="67"/>
      <c r="DE26" s="72"/>
      <c r="DF26" s="119"/>
      <c r="DG26" s="124"/>
      <c r="DH26" s="113"/>
      <c r="DI26" s="41"/>
      <c r="DJ26" s="67"/>
      <c r="DK26" s="72"/>
      <c r="DL26" s="119"/>
      <c r="DM26" s="148"/>
      <c r="DN26" s="41"/>
      <c r="DO26" s="67"/>
      <c r="DP26" s="72"/>
      <c r="DQ26" s="119"/>
      <c r="DR26" s="45"/>
      <c r="DS26" s="41"/>
      <c r="DT26" s="67"/>
      <c r="DU26" s="104"/>
      <c r="DV26" s="119"/>
      <c r="DW26" s="124"/>
      <c r="DX26" s="113"/>
      <c r="DY26" s="41"/>
      <c r="DZ26" s="67"/>
      <c r="EA26" s="72"/>
      <c r="EB26" s="119"/>
      <c r="EC26" s="124"/>
      <c r="ED26" s="113"/>
      <c r="EE26" s="41"/>
      <c r="EF26" s="67"/>
      <c r="EG26" s="72"/>
      <c r="EH26" s="192"/>
      <c r="EI26" s="148"/>
      <c r="EJ26" s="41"/>
      <c r="EK26" s="67"/>
      <c r="EL26" s="104"/>
      <c r="EM26" s="148"/>
      <c r="EN26" s="41"/>
      <c r="EO26" s="67"/>
      <c r="EP26" s="72"/>
      <c r="EQ26" s="45"/>
      <c r="ER26" s="41"/>
      <c r="ES26" s="67"/>
      <c r="ET26" s="104"/>
      <c r="EU26" s="124"/>
      <c r="EV26" s="169"/>
      <c r="EW26" s="87"/>
      <c r="EX26" s="248"/>
      <c r="EY26" s="87"/>
      <c r="EZ26" s="91"/>
      <c r="FA26" s="41"/>
      <c r="FB26" s="67"/>
      <c r="FC26" s="104"/>
      <c r="FD26" s="124"/>
      <c r="FE26" s="169"/>
      <c r="FF26" s="87"/>
      <c r="FG26" s="72"/>
      <c r="FH26" s="45"/>
      <c r="FI26" s="41"/>
      <c r="FJ26" s="67"/>
      <c r="FK26" s="104"/>
      <c r="FL26" s="45"/>
      <c r="FM26" s="41"/>
      <c r="FN26" s="148"/>
      <c r="FO26" s="208"/>
      <c r="FP26" s="208"/>
      <c r="FQ26" s="41"/>
      <c r="FR26" s="67"/>
      <c r="FS26" s="104"/>
      <c r="FT26" s="113"/>
      <c r="FU26" s="87"/>
      <c r="FV26" s="104"/>
      <c r="FW26" s="148"/>
      <c r="FX26" s="33"/>
      <c r="FY26" s="124"/>
      <c r="FZ26" s="113"/>
      <c r="GA26" s="87"/>
      <c r="GB26" s="104"/>
      <c r="GC26" s="155"/>
      <c r="GD26" s="113"/>
      <c r="GE26" s="87"/>
      <c r="GF26" s="148"/>
      <c r="GG26" s="208"/>
      <c r="GH26" s="104"/>
      <c r="GI26" s="248"/>
      <c r="GJ26" s="200"/>
      <c r="GK26" s="77"/>
      <c r="GL26" s="41"/>
      <c r="GM26" s="91"/>
      <c r="GN26" s="108"/>
      <c r="GO26" s="108"/>
      <c r="GP26" s="41"/>
      <c r="GQ26" s="91"/>
      <c r="GR26" s="49"/>
      <c r="GS26" s="108"/>
      <c r="GT26" s="108"/>
      <c r="GU26" s="108"/>
      <c r="GV26" s="41"/>
      <c r="GW26" s="91"/>
      <c r="GX26" s="104"/>
      <c r="GY26" s="41"/>
      <c r="GZ26" s="104"/>
      <c r="HA26" s="113"/>
      <c r="HB26" s="274"/>
      <c r="HC26" s="41"/>
      <c r="HD26" s="91"/>
      <c r="HE26" s="41"/>
      <c r="HF26" s="77"/>
      <c r="HG26" s="41"/>
      <c r="HH26" s="104"/>
      <c r="HI26" s="152"/>
      <c r="HJ26" s="77"/>
      <c r="HK26" s="49"/>
      <c r="HL26" s="41"/>
      <c r="HM26" s="104"/>
      <c r="HN26" s="113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1"/>
      <c r="IJ26" s="260"/>
      <c r="IK26" s="261"/>
    </row>
    <row r="27" spans="1:245" x14ac:dyDescent="0.25">
      <c r="A27" s="129">
        <v>44327</v>
      </c>
      <c r="B27" s="18" t="s">
        <v>28</v>
      </c>
      <c r="C27" s="21">
        <f t="shared" si="4"/>
        <v>-50.914999999999999</v>
      </c>
      <c r="D27" s="143"/>
      <c r="E27" s="143"/>
      <c r="F27" s="143"/>
      <c r="G27" s="143"/>
      <c r="H27" s="82"/>
      <c r="I27" s="82"/>
      <c r="J27" s="108"/>
      <c r="K27" s="41"/>
      <c r="L27" s="67"/>
      <c r="M27" s="91"/>
      <c r="N27" s="41"/>
      <c r="O27" s="372"/>
      <c r="P27" s="104"/>
      <c r="Q27" s="161"/>
      <c r="R27" s="113"/>
      <c r="S27" s="72"/>
      <c r="T27" s="41"/>
      <c r="U27" s="67"/>
      <c r="V27" s="72"/>
      <c r="W27" s="161"/>
      <c r="X27" s="41"/>
      <c r="Y27" s="67"/>
      <c r="Z27" s="77"/>
      <c r="AA27" s="41"/>
      <c r="AB27" s="67"/>
      <c r="AC27" s="72"/>
      <c r="AD27" s="113"/>
      <c r="AE27" s="41"/>
      <c r="AF27" s="67"/>
      <c r="AG27" s="104"/>
      <c r="AH27" s="119"/>
      <c r="AI27" s="124"/>
      <c r="AJ27" s="161"/>
      <c r="AK27" s="241"/>
      <c r="AL27" s="41"/>
      <c r="AM27" s="67"/>
      <c r="AN27" s="72"/>
      <c r="AO27" s="45"/>
      <c r="AP27" s="41"/>
      <c r="AQ27" s="67"/>
      <c r="AR27" s="72"/>
      <c r="AS27" s="119"/>
      <c r="AT27" s="45"/>
      <c r="AU27" s="41"/>
      <c r="AV27" s="67"/>
      <c r="AW27" s="72"/>
      <c r="AX27" s="119"/>
      <c r="AY27" s="124"/>
      <c r="AZ27" s="113"/>
      <c r="BA27" s="41">
        <v>-16.91</v>
      </c>
      <c r="BB27" s="67"/>
      <c r="BC27" s="72"/>
      <c r="BD27" s="119"/>
      <c r="BE27" s="124"/>
      <c r="BF27" s="113"/>
      <c r="BG27" s="41"/>
      <c r="BH27" s="67">
        <v>-17.184999999999999</v>
      </c>
      <c r="BI27" s="104"/>
      <c r="BJ27" s="119"/>
      <c r="BK27" s="124"/>
      <c r="BL27" s="113"/>
      <c r="BM27" s="87"/>
      <c r="BN27" s="67"/>
      <c r="BO27" s="72"/>
      <c r="BP27" s="119"/>
      <c r="BQ27" s="124"/>
      <c r="BR27" s="113"/>
      <c r="BS27" s="41">
        <v>-8.34</v>
      </c>
      <c r="BT27" s="67"/>
      <c r="BU27" s="104"/>
      <c r="BV27" s="119"/>
      <c r="BW27" s="124"/>
      <c r="BX27" s="113"/>
      <c r="BY27" s="41"/>
      <c r="BZ27" s="67">
        <v>-8.48</v>
      </c>
      <c r="CA27" s="104"/>
      <c r="CB27" s="119"/>
      <c r="CC27" s="124"/>
      <c r="CD27" s="113"/>
      <c r="CE27" s="41"/>
      <c r="CF27" s="67"/>
      <c r="CG27" s="104"/>
      <c r="CH27" s="119"/>
      <c r="CI27" s="124"/>
      <c r="CJ27" s="113"/>
      <c r="CK27" s="41"/>
      <c r="CL27" s="67"/>
      <c r="CM27" s="72"/>
      <c r="CN27" s="119"/>
      <c r="CO27" s="124"/>
      <c r="CP27" s="113"/>
      <c r="CQ27" s="41"/>
      <c r="CR27" s="67"/>
      <c r="CS27" s="72"/>
      <c r="CT27" s="119"/>
      <c r="CU27" s="124"/>
      <c r="CV27" s="113"/>
      <c r="CW27" s="41"/>
      <c r="CX27" s="67"/>
      <c r="CY27" s="72"/>
      <c r="CZ27" s="119"/>
      <c r="DA27" s="124"/>
      <c r="DB27" s="113"/>
      <c r="DC27" s="41"/>
      <c r="DD27" s="67"/>
      <c r="DE27" s="72"/>
      <c r="DF27" s="119"/>
      <c r="DG27" s="124"/>
      <c r="DH27" s="113"/>
      <c r="DI27" s="41"/>
      <c r="DJ27" s="67"/>
      <c r="DK27" s="72"/>
      <c r="DL27" s="119"/>
      <c r="DM27" s="148"/>
      <c r="DN27" s="41"/>
      <c r="DO27" s="67"/>
      <c r="DP27" s="72"/>
      <c r="DQ27" s="119"/>
      <c r="DR27" s="45"/>
      <c r="DS27" s="41"/>
      <c r="DT27" s="67"/>
      <c r="DU27" s="104"/>
      <c r="DV27" s="119"/>
      <c r="DW27" s="124"/>
      <c r="DX27" s="113"/>
      <c r="DY27" s="41"/>
      <c r="DZ27" s="67"/>
      <c r="EA27" s="72"/>
      <c r="EB27" s="119"/>
      <c r="EC27" s="124"/>
      <c r="ED27" s="113"/>
      <c r="EE27" s="41"/>
      <c r="EF27" s="67"/>
      <c r="EG27" s="72"/>
      <c r="EH27" s="192"/>
      <c r="EI27" s="148"/>
      <c r="EJ27" s="41"/>
      <c r="EK27" s="67"/>
      <c r="EL27" s="104"/>
      <c r="EM27" s="148"/>
      <c r="EN27" s="41"/>
      <c r="EO27" s="67"/>
      <c r="EP27" s="72"/>
      <c r="EQ27" s="45"/>
      <c r="ER27" s="41"/>
      <c r="ES27" s="67"/>
      <c r="ET27" s="104"/>
      <c r="EU27" s="124"/>
      <c r="EV27" s="169"/>
      <c r="EW27" s="87"/>
      <c r="EX27" s="248"/>
      <c r="EY27" s="87"/>
      <c r="EZ27" s="91"/>
      <c r="FA27" s="41"/>
      <c r="FB27" s="67"/>
      <c r="FC27" s="104"/>
      <c r="FD27" s="124"/>
      <c r="FE27" s="169"/>
      <c r="FF27" s="87"/>
      <c r="FG27" s="72"/>
      <c r="FH27" s="45"/>
      <c r="FI27" s="41"/>
      <c r="FJ27" s="67"/>
      <c r="FK27" s="104"/>
      <c r="FL27" s="45"/>
      <c r="FM27" s="41"/>
      <c r="FN27" s="148"/>
      <c r="FO27" s="208"/>
      <c r="FP27" s="208"/>
      <c r="FQ27" s="41"/>
      <c r="FR27" s="67"/>
      <c r="FS27" s="104"/>
      <c r="FT27" s="113"/>
      <c r="FU27" s="87"/>
      <c r="FV27" s="104"/>
      <c r="FW27" s="148"/>
      <c r="FX27" s="33"/>
      <c r="FY27" s="124"/>
      <c r="FZ27" s="113"/>
      <c r="GA27" s="87"/>
      <c r="GB27" s="104"/>
      <c r="GC27" s="155"/>
      <c r="GD27" s="113"/>
      <c r="GE27" s="87"/>
      <c r="GF27" s="148"/>
      <c r="GG27" s="208"/>
      <c r="GH27" s="104"/>
      <c r="GI27" s="248"/>
      <c r="GJ27" s="200"/>
      <c r="GK27" s="77"/>
      <c r="GL27" s="41"/>
      <c r="GM27" s="91"/>
      <c r="GN27" s="108"/>
      <c r="GO27" s="108"/>
      <c r="GP27" s="41"/>
      <c r="GQ27" s="91"/>
      <c r="GR27" s="49"/>
      <c r="GS27" s="108"/>
      <c r="GT27" s="108"/>
      <c r="GU27" s="108"/>
      <c r="GV27" s="41"/>
      <c r="GW27" s="91"/>
      <c r="GX27" s="104"/>
      <c r="GY27" s="41"/>
      <c r="GZ27" s="104"/>
      <c r="HA27" s="113"/>
      <c r="HB27" s="274"/>
      <c r="HC27" s="41"/>
      <c r="HD27" s="91"/>
      <c r="HE27" s="41"/>
      <c r="HF27" s="77"/>
      <c r="HG27" s="41"/>
      <c r="HH27" s="104"/>
      <c r="HI27" s="152"/>
      <c r="HJ27" s="77"/>
      <c r="HK27" s="49"/>
      <c r="HL27" s="41"/>
      <c r="HM27" s="104"/>
      <c r="HN27" s="113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1"/>
      <c r="IJ27" s="260"/>
      <c r="IK27" s="261"/>
    </row>
    <row r="28" spans="1:245" x14ac:dyDescent="0.25">
      <c r="A28" s="129">
        <v>44333</v>
      </c>
      <c r="B28" s="18" t="s">
        <v>19</v>
      </c>
      <c r="C28" s="21">
        <f t="shared" si="4"/>
        <v>-375.34</v>
      </c>
      <c r="D28" s="143"/>
      <c r="E28" s="143"/>
      <c r="F28" s="143"/>
      <c r="G28" s="143"/>
      <c r="H28" s="82"/>
      <c r="I28" s="82"/>
      <c r="J28" s="108"/>
      <c r="K28" s="41"/>
      <c r="L28" s="67"/>
      <c r="M28" s="91"/>
      <c r="N28" s="41"/>
      <c r="O28" s="372"/>
      <c r="P28" s="104"/>
      <c r="Q28" s="161"/>
      <c r="R28" s="113"/>
      <c r="S28" s="72"/>
      <c r="T28" s="41"/>
      <c r="U28" s="67"/>
      <c r="V28" s="72"/>
      <c r="W28" s="161"/>
      <c r="X28" s="41"/>
      <c r="Y28" s="67"/>
      <c r="Z28" s="77"/>
      <c r="AA28" s="41"/>
      <c r="AB28" s="67"/>
      <c r="AC28" s="72"/>
      <c r="AD28" s="113"/>
      <c r="AE28" s="41"/>
      <c r="AF28" s="67"/>
      <c r="AG28" s="104"/>
      <c r="AH28" s="119"/>
      <c r="AI28" s="124"/>
      <c r="AJ28" s="161"/>
      <c r="AK28" s="241"/>
      <c r="AL28" s="41"/>
      <c r="AM28" s="67"/>
      <c r="AN28" s="72"/>
      <c r="AO28" s="45"/>
      <c r="AP28" s="41"/>
      <c r="AQ28" s="67"/>
      <c r="AR28" s="72"/>
      <c r="AS28" s="119"/>
      <c r="AT28" s="45"/>
      <c r="AU28" s="41"/>
      <c r="AV28" s="67"/>
      <c r="AW28" s="72"/>
      <c r="AX28" s="119"/>
      <c r="AY28" s="124"/>
      <c r="AZ28" s="113"/>
      <c r="BA28" s="41"/>
      <c r="BB28" s="67"/>
      <c r="BC28" s="72"/>
      <c r="BD28" s="119"/>
      <c r="BE28" s="124"/>
      <c r="BF28" s="113"/>
      <c r="BG28" s="41"/>
      <c r="BH28" s="67"/>
      <c r="BI28" s="104"/>
      <c r="BJ28" s="119"/>
      <c r="BK28" s="124"/>
      <c r="BL28" s="113"/>
      <c r="BM28" s="87"/>
      <c r="BN28" s="67"/>
      <c r="BO28" s="72"/>
      <c r="BP28" s="119"/>
      <c r="BQ28" s="124"/>
      <c r="BR28" s="113"/>
      <c r="BS28" s="41">
        <v>-70.02</v>
      </c>
      <c r="BT28" s="67"/>
      <c r="BU28" s="104"/>
      <c r="BV28" s="119"/>
      <c r="BW28" s="124"/>
      <c r="BX28" s="113"/>
      <c r="BY28" s="41">
        <v>-68.47</v>
      </c>
      <c r="BZ28" s="67"/>
      <c r="CA28" s="104"/>
      <c r="CB28" s="119"/>
      <c r="CC28" s="124"/>
      <c r="CD28" s="113"/>
      <c r="CE28" s="41">
        <v>-69.599999999999994</v>
      </c>
      <c r="CF28" s="67"/>
      <c r="CG28" s="104"/>
      <c r="CH28" s="119"/>
      <c r="CI28" s="124"/>
      <c r="CJ28" s="113"/>
      <c r="CK28" s="41">
        <v>-64.760000000000005</v>
      </c>
      <c r="CL28" s="67"/>
      <c r="CM28" s="72"/>
      <c r="CN28" s="119"/>
      <c r="CO28" s="124"/>
      <c r="CP28" s="113"/>
      <c r="CQ28" s="41"/>
      <c r="CR28" s="67"/>
      <c r="CS28" s="72"/>
      <c r="CT28" s="119"/>
      <c r="CU28" s="124"/>
      <c r="CV28" s="113"/>
      <c r="CW28" s="41"/>
      <c r="CX28" s="67"/>
      <c r="CY28" s="72"/>
      <c r="CZ28" s="119"/>
      <c r="DA28" s="124"/>
      <c r="DB28" s="113"/>
      <c r="DC28" s="41">
        <v>-70</v>
      </c>
      <c r="DD28" s="67"/>
      <c r="DE28" s="72"/>
      <c r="DF28" s="119"/>
      <c r="DG28" s="124"/>
      <c r="DH28" s="113"/>
      <c r="DI28" s="41"/>
      <c r="DJ28" s="67"/>
      <c r="DK28" s="72"/>
      <c r="DL28" s="119"/>
      <c r="DM28" s="148"/>
      <c r="DN28" s="41"/>
      <c r="DO28" s="67"/>
      <c r="DP28" s="72"/>
      <c r="DQ28" s="119"/>
      <c r="DR28" s="45"/>
      <c r="DS28" s="41"/>
      <c r="DT28" s="67"/>
      <c r="DU28" s="104"/>
      <c r="DV28" s="119"/>
      <c r="DW28" s="124"/>
      <c r="DX28" s="113"/>
      <c r="DY28" s="41">
        <v>-32.49</v>
      </c>
      <c r="DZ28" s="67"/>
      <c r="EA28" s="72"/>
      <c r="EB28" s="119"/>
      <c r="EC28" s="124"/>
      <c r="ED28" s="113"/>
      <c r="EE28" s="41"/>
      <c r="EF28" s="67"/>
      <c r="EG28" s="72"/>
      <c r="EH28" s="192"/>
      <c r="EI28" s="148"/>
      <c r="EJ28" s="41"/>
      <c r="EK28" s="67"/>
      <c r="EL28" s="104"/>
      <c r="EM28" s="148"/>
      <c r="EN28" s="41"/>
      <c r="EO28" s="67"/>
      <c r="EP28" s="72"/>
      <c r="EQ28" s="45"/>
      <c r="ER28" s="41"/>
      <c r="ES28" s="67"/>
      <c r="ET28" s="104"/>
      <c r="EU28" s="124"/>
      <c r="EV28" s="169"/>
      <c r="EW28" s="87"/>
      <c r="EX28" s="248"/>
      <c r="EY28" s="87"/>
      <c r="EZ28" s="91"/>
      <c r="FA28" s="41"/>
      <c r="FB28" s="67"/>
      <c r="FC28" s="104"/>
      <c r="FD28" s="124"/>
      <c r="FE28" s="169"/>
      <c r="FF28" s="87"/>
      <c r="FG28" s="72"/>
      <c r="FH28" s="45"/>
      <c r="FI28" s="41"/>
      <c r="FJ28" s="67"/>
      <c r="FK28" s="104"/>
      <c r="FL28" s="45"/>
      <c r="FM28" s="41"/>
      <c r="FN28" s="148"/>
      <c r="FO28" s="208"/>
      <c r="FP28" s="208"/>
      <c r="FQ28" s="41"/>
      <c r="FR28" s="67"/>
      <c r="FS28" s="104"/>
      <c r="FT28" s="113"/>
      <c r="FU28" s="87"/>
      <c r="FV28" s="104"/>
      <c r="FW28" s="148"/>
      <c r="FX28" s="33"/>
      <c r="FY28" s="124"/>
      <c r="FZ28" s="113"/>
      <c r="GA28" s="87"/>
      <c r="GB28" s="104"/>
      <c r="GC28" s="155"/>
      <c r="GD28" s="113"/>
      <c r="GE28" s="87"/>
      <c r="GF28" s="148"/>
      <c r="GG28" s="208"/>
      <c r="GH28" s="104"/>
      <c r="GI28" s="248"/>
      <c r="GJ28" s="200"/>
      <c r="GK28" s="77"/>
      <c r="GL28" s="41"/>
      <c r="GM28" s="91"/>
      <c r="GN28" s="108"/>
      <c r="GO28" s="108"/>
      <c r="GP28" s="41"/>
      <c r="GQ28" s="91"/>
      <c r="GR28" s="49"/>
      <c r="GS28" s="108"/>
      <c r="GT28" s="108"/>
      <c r="GU28" s="108"/>
      <c r="GV28" s="41"/>
      <c r="GW28" s="91"/>
      <c r="GX28" s="104"/>
      <c r="GY28" s="41"/>
      <c r="GZ28" s="104"/>
      <c r="HA28" s="113"/>
      <c r="HB28" s="274"/>
      <c r="HC28" s="41"/>
      <c r="HD28" s="91"/>
      <c r="HE28" s="41"/>
      <c r="HF28" s="77"/>
      <c r="HG28" s="41"/>
      <c r="HH28" s="104"/>
      <c r="HI28" s="152"/>
      <c r="HJ28" s="77"/>
      <c r="HK28" s="49"/>
      <c r="HL28" s="41"/>
      <c r="HM28" s="104"/>
      <c r="HN28" s="113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1"/>
      <c r="IJ28" s="260"/>
      <c r="IK28" s="261"/>
    </row>
    <row r="29" spans="1:245" x14ac:dyDescent="0.25">
      <c r="A29" s="129">
        <v>44333</v>
      </c>
      <c r="B29" s="18" t="s">
        <v>18</v>
      </c>
      <c r="C29" s="21">
        <f t="shared" si="4"/>
        <v>-875.60500000000002</v>
      </c>
      <c r="D29" s="143"/>
      <c r="E29" s="143"/>
      <c r="F29" s="143"/>
      <c r="G29" s="143"/>
      <c r="H29" s="82"/>
      <c r="I29" s="82"/>
      <c r="J29" s="108"/>
      <c r="K29" s="41"/>
      <c r="L29" s="67"/>
      <c r="M29" s="91"/>
      <c r="N29" s="41"/>
      <c r="O29" s="372"/>
      <c r="P29" s="104"/>
      <c r="Q29" s="161"/>
      <c r="R29" s="113"/>
      <c r="S29" s="72"/>
      <c r="T29" s="41"/>
      <c r="U29" s="67"/>
      <c r="V29" s="72"/>
      <c r="W29" s="161"/>
      <c r="X29" s="41"/>
      <c r="Y29" s="67"/>
      <c r="Z29" s="77"/>
      <c r="AA29" s="41"/>
      <c r="AB29" s="67"/>
      <c r="AC29" s="72"/>
      <c r="AD29" s="113"/>
      <c r="AE29" s="41"/>
      <c r="AF29" s="67"/>
      <c r="AG29" s="104"/>
      <c r="AH29" s="119"/>
      <c r="AI29" s="124"/>
      <c r="AJ29" s="161"/>
      <c r="AK29" s="241"/>
      <c r="AL29" s="41"/>
      <c r="AM29" s="67"/>
      <c r="AN29" s="72"/>
      <c r="AO29" s="45"/>
      <c r="AP29" s="41"/>
      <c r="AQ29" s="67"/>
      <c r="AR29" s="72"/>
      <c r="AS29" s="119"/>
      <c r="AT29" s="45"/>
      <c r="AU29" s="41"/>
      <c r="AV29" s="67"/>
      <c r="AW29" s="72"/>
      <c r="AX29" s="119"/>
      <c r="AY29" s="124"/>
      <c r="AZ29" s="113"/>
      <c r="BA29" s="41"/>
      <c r="BB29" s="67"/>
      <c r="BC29" s="72"/>
      <c r="BD29" s="119"/>
      <c r="BE29" s="124"/>
      <c r="BF29" s="113"/>
      <c r="BG29" s="41"/>
      <c r="BH29" s="67">
        <v>-99.47</v>
      </c>
      <c r="BI29" s="104"/>
      <c r="BJ29" s="119"/>
      <c r="BK29" s="124"/>
      <c r="BL29" s="113"/>
      <c r="BM29" s="87"/>
      <c r="BN29" s="67">
        <v>-234.44</v>
      </c>
      <c r="BO29" s="72"/>
      <c r="BP29" s="119"/>
      <c r="BQ29" s="124"/>
      <c r="BR29" s="113"/>
      <c r="BS29" s="41"/>
      <c r="BT29" s="67">
        <v>-100.005</v>
      </c>
      <c r="BU29" s="104"/>
      <c r="BV29" s="119"/>
      <c r="BW29" s="124"/>
      <c r="BX29" s="113"/>
      <c r="BY29" s="41"/>
      <c r="BZ29" s="67">
        <v>-101.495</v>
      </c>
      <c r="CA29" s="104"/>
      <c r="CB29" s="119"/>
      <c r="CC29" s="124"/>
      <c r="CD29" s="113"/>
      <c r="CE29" s="41"/>
      <c r="CF29" s="67">
        <v>-102.185</v>
      </c>
      <c r="CG29" s="104"/>
      <c r="CH29" s="119"/>
      <c r="CI29" s="124"/>
      <c r="CJ29" s="113"/>
      <c r="CK29" s="41"/>
      <c r="CL29" s="67">
        <v>-33.634999999999998</v>
      </c>
      <c r="CM29" s="72"/>
      <c r="CN29" s="119"/>
      <c r="CO29" s="124"/>
      <c r="CP29" s="113"/>
      <c r="CQ29" s="41"/>
      <c r="CR29" s="67">
        <v>-33.685000000000002</v>
      </c>
      <c r="CS29" s="72"/>
      <c r="CT29" s="119"/>
      <c r="CU29" s="124"/>
      <c r="CV29" s="113"/>
      <c r="CW29" s="41">
        <v>-34.42</v>
      </c>
      <c r="CX29" s="67"/>
      <c r="CY29" s="72"/>
      <c r="CZ29" s="119"/>
      <c r="DA29" s="124"/>
      <c r="DB29" s="113"/>
      <c r="DC29" s="41">
        <v>-34.590000000000003</v>
      </c>
      <c r="DD29" s="67"/>
      <c r="DE29" s="72"/>
      <c r="DF29" s="119"/>
      <c r="DG29" s="124"/>
      <c r="DH29" s="113"/>
      <c r="DI29" s="41"/>
      <c r="DJ29" s="67"/>
      <c r="DK29" s="72"/>
      <c r="DL29" s="119"/>
      <c r="DM29" s="148"/>
      <c r="DN29" s="41"/>
      <c r="DO29" s="67"/>
      <c r="DP29" s="72"/>
      <c r="DQ29" s="119"/>
      <c r="DR29" s="45"/>
      <c r="DS29" s="41"/>
      <c r="DT29" s="67">
        <v>-101.68</v>
      </c>
      <c r="DU29" s="104"/>
      <c r="DV29" s="119"/>
      <c r="DW29" s="124"/>
      <c r="DX29" s="113"/>
      <c r="DY29" s="41"/>
      <c r="DZ29" s="67"/>
      <c r="EA29" s="72"/>
      <c r="EB29" s="119"/>
      <c r="EC29" s="124"/>
      <c r="ED29" s="113"/>
      <c r="EE29" s="41"/>
      <c r="EF29" s="67"/>
      <c r="EG29" s="72"/>
      <c r="EH29" s="192"/>
      <c r="EI29" s="148"/>
      <c r="EJ29" s="41"/>
      <c r="EK29" s="67"/>
      <c r="EL29" s="104"/>
      <c r="EM29" s="148"/>
      <c r="EN29" s="41"/>
      <c r="EO29" s="67"/>
      <c r="EP29" s="72"/>
      <c r="EQ29" s="45"/>
      <c r="ER29" s="41"/>
      <c r="ES29" s="67"/>
      <c r="ET29" s="104"/>
      <c r="EU29" s="124"/>
      <c r="EV29" s="169"/>
      <c r="EW29" s="87"/>
      <c r="EX29" s="248"/>
      <c r="EY29" s="87"/>
      <c r="EZ29" s="91"/>
      <c r="FA29" s="41"/>
      <c r="FB29" s="67"/>
      <c r="FC29" s="104"/>
      <c r="FD29" s="124"/>
      <c r="FE29" s="169"/>
      <c r="FF29" s="87"/>
      <c r="FG29" s="72"/>
      <c r="FH29" s="45"/>
      <c r="FI29" s="41"/>
      <c r="FJ29" s="67"/>
      <c r="FK29" s="104"/>
      <c r="FL29" s="45"/>
      <c r="FM29" s="41"/>
      <c r="FN29" s="148"/>
      <c r="FO29" s="208"/>
      <c r="FP29" s="208"/>
      <c r="FQ29" s="41"/>
      <c r="FR29" s="67"/>
      <c r="FS29" s="104"/>
      <c r="FT29" s="113"/>
      <c r="FU29" s="87"/>
      <c r="FV29" s="104"/>
      <c r="FW29" s="148"/>
      <c r="FX29" s="33"/>
      <c r="FY29" s="124"/>
      <c r="FZ29" s="113"/>
      <c r="GA29" s="87"/>
      <c r="GB29" s="104"/>
      <c r="GC29" s="155"/>
      <c r="GD29" s="113"/>
      <c r="GE29" s="87"/>
      <c r="GF29" s="148"/>
      <c r="GG29" s="208"/>
      <c r="GH29" s="104"/>
      <c r="GI29" s="248"/>
      <c r="GJ29" s="200"/>
      <c r="GK29" s="77"/>
      <c r="GL29" s="41"/>
      <c r="GM29" s="91"/>
      <c r="GN29" s="108"/>
      <c r="GO29" s="108"/>
      <c r="GP29" s="41"/>
      <c r="GQ29" s="91"/>
      <c r="GR29" s="49"/>
      <c r="GS29" s="108"/>
      <c r="GT29" s="108"/>
      <c r="GU29" s="108"/>
      <c r="GV29" s="41"/>
      <c r="GW29" s="91"/>
      <c r="GX29" s="104"/>
      <c r="GY29" s="41"/>
      <c r="GZ29" s="104"/>
      <c r="HA29" s="113"/>
      <c r="HB29" s="274"/>
      <c r="HC29" s="41"/>
      <c r="HD29" s="91"/>
      <c r="HE29" s="41"/>
      <c r="HF29" s="77"/>
      <c r="HG29" s="41"/>
      <c r="HH29" s="104"/>
      <c r="HI29" s="152"/>
      <c r="HJ29" s="77"/>
      <c r="HK29" s="49"/>
      <c r="HL29" s="41"/>
      <c r="HM29" s="104"/>
      <c r="HN29" s="113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1"/>
      <c r="IJ29" s="260"/>
      <c r="IK29" s="261"/>
    </row>
    <row r="30" spans="1:245" x14ac:dyDescent="0.25">
      <c r="A30" s="129">
        <v>44333</v>
      </c>
      <c r="B30" s="18" t="s">
        <v>2</v>
      </c>
      <c r="C30" s="21">
        <f t="shared" si="4"/>
        <v>522.38</v>
      </c>
      <c r="D30" s="143"/>
      <c r="E30" s="143"/>
      <c r="F30" s="143"/>
      <c r="G30" s="143"/>
      <c r="H30" s="82"/>
      <c r="I30" s="82"/>
      <c r="J30" s="108"/>
      <c r="K30" s="41"/>
      <c r="L30" s="67"/>
      <c r="M30" s="91"/>
      <c r="N30" s="41"/>
      <c r="O30" s="372"/>
      <c r="P30" s="104"/>
      <c r="Q30" s="161"/>
      <c r="R30" s="113"/>
      <c r="S30" s="72"/>
      <c r="T30" s="41"/>
      <c r="U30" s="67"/>
      <c r="V30" s="72"/>
      <c r="W30" s="161"/>
      <c r="X30" s="41"/>
      <c r="Y30" s="67"/>
      <c r="Z30" s="77"/>
      <c r="AA30" s="41"/>
      <c r="AB30" s="67"/>
      <c r="AC30" s="72"/>
      <c r="AD30" s="113"/>
      <c r="AE30" s="41"/>
      <c r="AF30" s="67"/>
      <c r="AG30" s="104"/>
      <c r="AH30" s="119"/>
      <c r="AI30" s="124"/>
      <c r="AJ30" s="161"/>
      <c r="AK30" s="241"/>
      <c r="AL30" s="41"/>
      <c r="AM30" s="67"/>
      <c r="AN30" s="72"/>
      <c r="AO30" s="45"/>
      <c r="AP30" s="41"/>
      <c r="AQ30" s="67"/>
      <c r="AR30" s="72"/>
      <c r="AS30" s="119"/>
      <c r="AT30" s="45"/>
      <c r="AU30" s="41"/>
      <c r="AV30" s="67"/>
      <c r="AW30" s="72"/>
      <c r="AX30" s="119"/>
      <c r="AY30" s="124"/>
      <c r="AZ30" s="113"/>
      <c r="BA30" s="41"/>
      <c r="BB30" s="67"/>
      <c r="BC30" s="72"/>
      <c r="BD30" s="119"/>
      <c r="BE30" s="124"/>
      <c r="BF30" s="113"/>
      <c r="BG30" s="41"/>
      <c r="BH30" s="67"/>
      <c r="BI30" s="104"/>
      <c r="BJ30" s="119"/>
      <c r="BK30" s="124"/>
      <c r="BL30" s="113"/>
      <c r="BM30" s="87"/>
      <c r="BN30" s="67"/>
      <c r="BO30" s="72"/>
      <c r="BP30" s="119"/>
      <c r="BQ30" s="124"/>
      <c r="BR30" s="113"/>
      <c r="BS30" s="41"/>
      <c r="BT30" s="67"/>
      <c r="BU30" s="104"/>
      <c r="BV30" s="119"/>
      <c r="BW30" s="124"/>
      <c r="BX30" s="113"/>
      <c r="BY30" s="41"/>
      <c r="BZ30" s="67"/>
      <c r="CA30" s="104"/>
      <c r="CB30" s="119"/>
      <c r="CC30" s="124"/>
      <c r="CD30" s="113"/>
      <c r="CE30" s="41"/>
      <c r="CF30" s="67"/>
      <c r="CG30" s="104"/>
      <c r="CH30" s="119"/>
      <c r="CI30" s="124"/>
      <c r="CJ30" s="113"/>
      <c r="CK30" s="41"/>
      <c r="CL30" s="67"/>
      <c r="CM30" s="72"/>
      <c r="CN30" s="119"/>
      <c r="CO30" s="124"/>
      <c r="CP30" s="113"/>
      <c r="CQ30" s="41"/>
      <c r="CR30" s="67"/>
      <c r="CS30" s="72"/>
      <c r="CT30" s="119"/>
      <c r="CU30" s="124"/>
      <c r="CV30" s="113"/>
      <c r="CW30" s="41"/>
      <c r="CX30" s="67"/>
      <c r="CY30" s="72"/>
      <c r="CZ30" s="119"/>
      <c r="DA30" s="124"/>
      <c r="DB30" s="113"/>
      <c r="DC30" s="41"/>
      <c r="DD30" s="67"/>
      <c r="DE30" s="72"/>
      <c r="DF30" s="119"/>
      <c r="DG30" s="124"/>
      <c r="DH30" s="113"/>
      <c r="DI30" s="41"/>
      <c r="DJ30" s="67"/>
      <c r="DK30" s="72"/>
      <c r="DL30" s="119"/>
      <c r="DM30" s="148"/>
      <c r="DN30" s="41"/>
      <c r="DO30" s="67"/>
      <c r="DP30" s="72"/>
      <c r="DQ30" s="119"/>
      <c r="DR30" s="45"/>
      <c r="DS30" s="41"/>
      <c r="DT30" s="67"/>
      <c r="DU30" s="104"/>
      <c r="DV30" s="119"/>
      <c r="DW30" s="124"/>
      <c r="DX30" s="113"/>
      <c r="DY30" s="41"/>
      <c r="DZ30" s="67"/>
      <c r="EA30" s="72"/>
      <c r="EB30" s="119"/>
      <c r="EC30" s="124"/>
      <c r="ED30" s="113"/>
      <c r="EE30" s="41"/>
      <c r="EF30" s="67"/>
      <c r="EG30" s="72"/>
      <c r="EH30" s="192"/>
      <c r="EI30" s="148"/>
      <c r="EJ30" s="41"/>
      <c r="EK30" s="67"/>
      <c r="EL30" s="104"/>
      <c r="EM30" s="148"/>
      <c r="EN30" s="41"/>
      <c r="EO30" s="67"/>
      <c r="EP30" s="72"/>
      <c r="EQ30" s="45"/>
      <c r="ER30" s="41"/>
      <c r="ES30" s="67"/>
      <c r="ET30" s="104"/>
      <c r="EU30" s="124"/>
      <c r="EV30" s="169"/>
      <c r="EW30" s="87"/>
      <c r="EX30" s="248"/>
      <c r="EY30" s="87"/>
      <c r="EZ30" s="91"/>
      <c r="FA30" s="41"/>
      <c r="FB30" s="67"/>
      <c r="FC30" s="104"/>
      <c r="FD30" s="124"/>
      <c r="FE30" s="169"/>
      <c r="FF30" s="87"/>
      <c r="FG30" s="72"/>
      <c r="FH30" s="45"/>
      <c r="FI30" s="41"/>
      <c r="FJ30" s="67"/>
      <c r="FK30" s="104"/>
      <c r="FL30" s="45"/>
      <c r="FM30" s="41"/>
      <c r="FN30" s="148"/>
      <c r="FO30" s="208"/>
      <c r="FP30" s="208"/>
      <c r="FQ30" s="41"/>
      <c r="FR30" s="67"/>
      <c r="FS30" s="104"/>
      <c r="FT30" s="113"/>
      <c r="FU30" s="87"/>
      <c r="FV30" s="104"/>
      <c r="FW30" s="148"/>
      <c r="FX30" s="33"/>
      <c r="FY30" s="124"/>
      <c r="FZ30" s="113"/>
      <c r="GA30" s="87"/>
      <c r="GB30" s="104"/>
      <c r="GC30" s="155"/>
      <c r="GD30" s="113"/>
      <c r="GE30" s="87"/>
      <c r="GF30" s="148"/>
      <c r="GG30" s="208"/>
      <c r="GH30" s="104"/>
      <c r="GI30" s="248"/>
      <c r="GJ30" s="200"/>
      <c r="GK30" s="77"/>
      <c r="GL30" s="41"/>
      <c r="GM30" s="91"/>
      <c r="GN30" s="108"/>
      <c r="GO30" s="108"/>
      <c r="GP30" s="41"/>
      <c r="GQ30" s="91"/>
      <c r="GR30" s="49"/>
      <c r="GS30" s="108"/>
      <c r="GT30" s="108"/>
      <c r="GU30" s="108"/>
      <c r="GV30" s="41"/>
      <c r="GW30" s="91"/>
      <c r="GX30" s="104"/>
      <c r="GY30" s="41"/>
      <c r="GZ30" s="104"/>
      <c r="HA30" s="113"/>
      <c r="HB30" s="274"/>
      <c r="HC30" s="41"/>
      <c r="HD30" s="91"/>
      <c r="HE30" s="41"/>
      <c r="HF30" s="77"/>
      <c r="HG30" s="41"/>
      <c r="HH30" s="104"/>
      <c r="HI30" s="152"/>
      <c r="HJ30" s="77"/>
      <c r="HK30" s="49"/>
      <c r="HL30" s="41"/>
      <c r="HM30" s="104"/>
      <c r="HN30" s="113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1"/>
      <c r="IJ30" s="260"/>
      <c r="IK30" s="261"/>
    </row>
    <row r="31" spans="1:245" x14ac:dyDescent="0.25">
      <c r="A31" s="129">
        <v>44334</v>
      </c>
      <c r="B31" s="18" t="s">
        <v>27</v>
      </c>
      <c r="C31" s="21">
        <f t="shared" si="4"/>
        <v>-24.08</v>
      </c>
      <c r="D31" s="143"/>
      <c r="E31" s="143"/>
      <c r="F31" s="143"/>
      <c r="G31" s="143"/>
      <c r="H31" s="82"/>
      <c r="I31" s="82"/>
      <c r="J31" s="108"/>
      <c r="K31" s="41"/>
      <c r="L31" s="67"/>
      <c r="M31" s="91"/>
      <c r="N31" s="41"/>
      <c r="O31" s="372"/>
      <c r="P31" s="104"/>
      <c r="Q31" s="161"/>
      <c r="R31" s="113"/>
      <c r="S31" s="72"/>
      <c r="T31" s="41"/>
      <c r="U31" s="67"/>
      <c r="V31" s="72"/>
      <c r="W31" s="161"/>
      <c r="X31" s="41"/>
      <c r="Y31" s="67"/>
      <c r="Z31" s="77"/>
      <c r="AA31" s="41"/>
      <c r="AB31" s="67"/>
      <c r="AC31" s="72"/>
      <c r="AD31" s="113"/>
      <c r="AE31" s="41"/>
      <c r="AF31" s="67"/>
      <c r="AG31" s="104"/>
      <c r="AH31" s="119"/>
      <c r="AI31" s="124"/>
      <c r="AJ31" s="161"/>
      <c r="AK31" s="241"/>
      <c r="AL31" s="41"/>
      <c r="AM31" s="67"/>
      <c r="AN31" s="72"/>
      <c r="AO31" s="45">
        <v>-8.19</v>
      </c>
      <c r="AP31" s="41"/>
      <c r="AQ31" s="67"/>
      <c r="AR31" s="72"/>
      <c r="AS31" s="119"/>
      <c r="AT31" s="45">
        <v>-7.58</v>
      </c>
      <c r="AU31" s="41"/>
      <c r="AV31" s="67"/>
      <c r="AW31" s="72"/>
      <c r="AX31" s="119"/>
      <c r="AY31" s="124"/>
      <c r="AZ31" s="113"/>
      <c r="BA31" s="41"/>
      <c r="BB31" s="67"/>
      <c r="BC31" s="72"/>
      <c r="BD31" s="119"/>
      <c r="BE31" s="124"/>
      <c r="BF31" s="113"/>
      <c r="BG31" s="41"/>
      <c r="BH31" s="67"/>
      <c r="BI31" s="104"/>
      <c r="BJ31" s="119"/>
      <c r="BK31" s="124"/>
      <c r="BL31" s="113">
        <v>-8.31</v>
      </c>
      <c r="BM31" s="87"/>
      <c r="BN31" s="67"/>
      <c r="BO31" s="72"/>
      <c r="BP31" s="119"/>
      <c r="BQ31" s="124"/>
      <c r="BR31" s="113"/>
      <c r="BS31" s="41"/>
      <c r="BT31" s="67"/>
      <c r="BU31" s="104"/>
      <c r="BV31" s="119"/>
      <c r="BW31" s="124"/>
      <c r="BX31" s="113"/>
      <c r="BY31" s="41"/>
      <c r="BZ31" s="67"/>
      <c r="CA31" s="104"/>
      <c r="CB31" s="119"/>
      <c r="CC31" s="124"/>
      <c r="CD31" s="113"/>
      <c r="CE31" s="41"/>
      <c r="CF31" s="67"/>
      <c r="CG31" s="104"/>
      <c r="CH31" s="119"/>
      <c r="CI31" s="124"/>
      <c r="CJ31" s="113"/>
      <c r="CK31" s="41"/>
      <c r="CL31" s="67"/>
      <c r="CM31" s="72"/>
      <c r="CN31" s="119"/>
      <c r="CO31" s="124"/>
      <c r="CP31" s="113"/>
      <c r="CQ31" s="41"/>
      <c r="CR31" s="67"/>
      <c r="CS31" s="72"/>
      <c r="CT31" s="119"/>
      <c r="CU31" s="124"/>
      <c r="CV31" s="113"/>
      <c r="CW31" s="41"/>
      <c r="CX31" s="67"/>
      <c r="CY31" s="72"/>
      <c r="CZ31" s="119"/>
      <c r="DA31" s="124"/>
      <c r="DB31" s="113"/>
      <c r="DC31" s="41"/>
      <c r="DD31" s="67"/>
      <c r="DE31" s="72"/>
      <c r="DF31" s="119"/>
      <c r="DG31" s="124"/>
      <c r="DH31" s="113"/>
      <c r="DI31" s="41"/>
      <c r="DJ31" s="67"/>
      <c r="DK31" s="72"/>
      <c r="DL31" s="119"/>
      <c r="DM31" s="148"/>
      <c r="DN31" s="41"/>
      <c r="DO31" s="67"/>
      <c r="DP31" s="72"/>
      <c r="DQ31" s="119"/>
      <c r="DR31" s="45"/>
      <c r="DS31" s="41"/>
      <c r="DT31" s="67"/>
      <c r="DU31" s="104"/>
      <c r="DV31" s="119"/>
      <c r="DW31" s="124"/>
      <c r="DX31" s="113"/>
      <c r="DY31" s="41"/>
      <c r="DZ31" s="67"/>
      <c r="EA31" s="72"/>
      <c r="EB31" s="119"/>
      <c r="EC31" s="124"/>
      <c r="ED31" s="113"/>
      <c r="EE31" s="41"/>
      <c r="EF31" s="67"/>
      <c r="EG31" s="72"/>
      <c r="EH31" s="192"/>
      <c r="EI31" s="148"/>
      <c r="EJ31" s="41"/>
      <c r="EK31" s="67"/>
      <c r="EL31" s="104"/>
      <c r="EM31" s="148"/>
      <c r="EN31" s="41"/>
      <c r="EO31" s="67"/>
      <c r="EP31" s="72"/>
      <c r="EQ31" s="45"/>
      <c r="ER31" s="41"/>
      <c r="ES31" s="67"/>
      <c r="ET31" s="104"/>
      <c r="EU31" s="124"/>
      <c r="EV31" s="169"/>
      <c r="EW31" s="87"/>
      <c r="EX31" s="248"/>
      <c r="EY31" s="87"/>
      <c r="EZ31" s="91"/>
      <c r="FA31" s="41"/>
      <c r="FB31" s="67"/>
      <c r="FC31" s="104"/>
      <c r="FD31" s="124"/>
      <c r="FE31" s="169"/>
      <c r="FF31" s="87"/>
      <c r="FG31" s="72"/>
      <c r="FH31" s="45"/>
      <c r="FI31" s="41"/>
      <c r="FJ31" s="67"/>
      <c r="FK31" s="104"/>
      <c r="FL31" s="45"/>
      <c r="FM31" s="41"/>
      <c r="FN31" s="148"/>
      <c r="FO31" s="208"/>
      <c r="FP31" s="208"/>
      <c r="FQ31" s="41"/>
      <c r="FR31" s="67"/>
      <c r="FS31" s="104"/>
      <c r="FT31" s="113"/>
      <c r="FU31" s="87"/>
      <c r="FV31" s="104"/>
      <c r="FW31" s="148"/>
      <c r="FX31" s="33"/>
      <c r="FY31" s="124"/>
      <c r="FZ31" s="113"/>
      <c r="GA31" s="87"/>
      <c r="GB31" s="104"/>
      <c r="GC31" s="155"/>
      <c r="GD31" s="113"/>
      <c r="GE31" s="87"/>
      <c r="GF31" s="148"/>
      <c r="GG31" s="208"/>
      <c r="GH31" s="104"/>
      <c r="GI31" s="248"/>
      <c r="GJ31" s="200"/>
      <c r="GK31" s="77"/>
      <c r="GL31" s="41"/>
      <c r="GM31" s="91"/>
      <c r="GN31" s="108"/>
      <c r="GO31" s="108"/>
      <c r="GP31" s="41"/>
      <c r="GQ31" s="91"/>
      <c r="GR31" s="49"/>
      <c r="GS31" s="108"/>
      <c r="GT31" s="108"/>
      <c r="GU31" s="108"/>
      <c r="GV31" s="41"/>
      <c r="GW31" s="91"/>
      <c r="GX31" s="104"/>
      <c r="GY31" s="41"/>
      <c r="GZ31" s="104"/>
      <c r="HA31" s="113"/>
      <c r="HB31" s="274"/>
      <c r="HC31" s="41"/>
      <c r="HD31" s="91"/>
      <c r="HE31" s="41"/>
      <c r="HF31" s="77"/>
      <c r="HG31" s="41"/>
      <c r="HH31" s="104"/>
      <c r="HI31" s="152"/>
      <c r="HJ31" s="77"/>
      <c r="HK31" s="49"/>
      <c r="HL31" s="41"/>
      <c r="HM31" s="104"/>
      <c r="HN31" s="113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1"/>
      <c r="IJ31" s="260"/>
      <c r="IK31" s="261"/>
    </row>
    <row r="32" spans="1:245" x14ac:dyDescent="0.25">
      <c r="A32" s="129">
        <v>44334</v>
      </c>
      <c r="B32" s="18" t="s">
        <v>33</v>
      </c>
      <c r="C32" s="21">
        <f t="shared" si="4"/>
        <v>-17.54</v>
      </c>
      <c r="D32" s="143"/>
      <c r="E32" s="143"/>
      <c r="F32" s="143"/>
      <c r="G32" s="143"/>
      <c r="H32" s="82"/>
      <c r="I32" s="82"/>
      <c r="J32" s="108"/>
      <c r="K32" s="41"/>
      <c r="L32" s="67"/>
      <c r="M32" s="91"/>
      <c r="N32" s="41"/>
      <c r="O32" s="372"/>
      <c r="P32" s="104"/>
      <c r="Q32" s="161"/>
      <c r="R32" s="113"/>
      <c r="S32" s="72"/>
      <c r="T32" s="41"/>
      <c r="U32" s="67"/>
      <c r="V32" s="72"/>
      <c r="W32" s="161"/>
      <c r="X32" s="41"/>
      <c r="Y32" s="67"/>
      <c r="Z32" s="77"/>
      <c r="AA32" s="41"/>
      <c r="AB32" s="67"/>
      <c r="AC32" s="72"/>
      <c r="AD32" s="113"/>
      <c r="AE32" s="41"/>
      <c r="AF32" s="67"/>
      <c r="AG32" s="104"/>
      <c r="AH32" s="119"/>
      <c r="AI32" s="124"/>
      <c r="AJ32" s="161"/>
      <c r="AK32" s="241"/>
      <c r="AL32" s="41"/>
      <c r="AM32" s="67"/>
      <c r="AN32" s="72"/>
      <c r="AO32" s="45"/>
      <c r="AP32" s="41"/>
      <c r="AQ32" s="67"/>
      <c r="AR32" s="72"/>
      <c r="AS32" s="119"/>
      <c r="AT32" s="45"/>
      <c r="AU32" s="41"/>
      <c r="AV32" s="67"/>
      <c r="AW32" s="72"/>
      <c r="AX32" s="119"/>
      <c r="AY32" s="124"/>
      <c r="AZ32" s="113"/>
      <c r="BA32" s="41"/>
      <c r="BB32" s="67"/>
      <c r="BC32" s="72"/>
      <c r="BD32" s="119"/>
      <c r="BE32" s="124"/>
      <c r="BF32" s="113"/>
      <c r="BG32" s="41"/>
      <c r="BH32" s="67"/>
      <c r="BI32" s="104"/>
      <c r="BJ32" s="119"/>
      <c r="BK32" s="124"/>
      <c r="BL32" s="113"/>
      <c r="BM32" s="87">
        <v>-8.7899999999999991</v>
      </c>
      <c r="BN32" s="67"/>
      <c r="BO32" s="72"/>
      <c r="BP32" s="119"/>
      <c r="BQ32" s="124"/>
      <c r="BR32" s="113"/>
      <c r="BS32" s="41"/>
      <c r="BT32" s="67">
        <v>-8.75</v>
      </c>
      <c r="BU32" s="104"/>
      <c r="BV32" s="119"/>
      <c r="BW32" s="124"/>
      <c r="BX32" s="113"/>
      <c r="BY32" s="41"/>
      <c r="BZ32" s="67"/>
      <c r="CA32" s="104"/>
      <c r="CB32" s="119"/>
      <c r="CC32" s="124"/>
      <c r="CD32" s="113"/>
      <c r="CE32" s="41"/>
      <c r="CF32" s="67"/>
      <c r="CG32" s="104"/>
      <c r="CH32" s="119"/>
      <c r="CI32" s="124"/>
      <c r="CJ32" s="113"/>
      <c r="CK32" s="41"/>
      <c r="CL32" s="67"/>
      <c r="CM32" s="72"/>
      <c r="CN32" s="119"/>
      <c r="CO32" s="124"/>
      <c r="CP32" s="113"/>
      <c r="CQ32" s="41"/>
      <c r="CR32" s="67"/>
      <c r="CS32" s="72"/>
      <c r="CT32" s="119"/>
      <c r="CU32" s="124"/>
      <c r="CV32" s="113"/>
      <c r="CW32" s="41"/>
      <c r="CX32" s="67"/>
      <c r="CY32" s="72"/>
      <c r="CZ32" s="119"/>
      <c r="DA32" s="124"/>
      <c r="DB32" s="113"/>
      <c r="DC32" s="41"/>
      <c r="DD32" s="67"/>
      <c r="DE32" s="72"/>
      <c r="DF32" s="119"/>
      <c r="DG32" s="124"/>
      <c r="DH32" s="113"/>
      <c r="DI32" s="41"/>
      <c r="DJ32" s="67"/>
      <c r="DK32" s="72"/>
      <c r="DL32" s="119"/>
      <c r="DM32" s="148"/>
      <c r="DN32" s="41"/>
      <c r="DO32" s="67"/>
      <c r="DP32" s="72"/>
      <c r="DQ32" s="119"/>
      <c r="DR32" s="45"/>
      <c r="DS32" s="41"/>
      <c r="DT32" s="67"/>
      <c r="DU32" s="104"/>
      <c r="DV32" s="119"/>
      <c r="DW32" s="124"/>
      <c r="DX32" s="113"/>
      <c r="DY32" s="41"/>
      <c r="DZ32" s="67"/>
      <c r="EA32" s="72"/>
      <c r="EB32" s="119"/>
      <c r="EC32" s="124"/>
      <c r="ED32" s="113"/>
      <c r="EE32" s="41"/>
      <c r="EF32" s="67"/>
      <c r="EG32" s="72"/>
      <c r="EH32" s="192"/>
      <c r="EI32" s="148"/>
      <c r="EJ32" s="41"/>
      <c r="EK32" s="67"/>
      <c r="EL32" s="104"/>
      <c r="EM32" s="148"/>
      <c r="EN32" s="41"/>
      <c r="EO32" s="67"/>
      <c r="EP32" s="72"/>
      <c r="EQ32" s="45"/>
      <c r="ER32" s="41"/>
      <c r="ES32" s="67"/>
      <c r="ET32" s="104"/>
      <c r="EU32" s="124"/>
      <c r="EV32" s="169"/>
      <c r="EW32" s="87"/>
      <c r="EX32" s="248"/>
      <c r="EY32" s="87"/>
      <c r="EZ32" s="91"/>
      <c r="FA32" s="41"/>
      <c r="FB32" s="67"/>
      <c r="FC32" s="104"/>
      <c r="FD32" s="124"/>
      <c r="FE32" s="169"/>
      <c r="FF32" s="87"/>
      <c r="FG32" s="72"/>
      <c r="FH32" s="45"/>
      <c r="FI32" s="41"/>
      <c r="FJ32" s="67"/>
      <c r="FK32" s="104"/>
      <c r="FL32" s="45"/>
      <c r="FM32" s="41"/>
      <c r="FN32" s="148"/>
      <c r="FO32" s="208"/>
      <c r="FP32" s="208"/>
      <c r="FQ32" s="41"/>
      <c r="FR32" s="67"/>
      <c r="FS32" s="104"/>
      <c r="FT32" s="113"/>
      <c r="FU32" s="87"/>
      <c r="FV32" s="104"/>
      <c r="FW32" s="148"/>
      <c r="FX32" s="33"/>
      <c r="FY32" s="124"/>
      <c r="FZ32" s="113"/>
      <c r="GA32" s="87"/>
      <c r="GB32" s="104"/>
      <c r="GC32" s="155"/>
      <c r="GD32" s="113"/>
      <c r="GE32" s="87"/>
      <c r="GF32" s="148"/>
      <c r="GG32" s="208"/>
      <c r="GH32" s="104"/>
      <c r="GI32" s="248"/>
      <c r="GJ32" s="200"/>
      <c r="GK32" s="77"/>
      <c r="GL32" s="41"/>
      <c r="GM32" s="91"/>
      <c r="GN32" s="108"/>
      <c r="GO32" s="108"/>
      <c r="GP32" s="41"/>
      <c r="GQ32" s="91"/>
      <c r="GR32" s="49"/>
      <c r="GS32" s="108"/>
      <c r="GT32" s="108"/>
      <c r="GU32" s="108"/>
      <c r="GV32" s="41"/>
      <c r="GW32" s="91"/>
      <c r="GX32" s="104"/>
      <c r="GY32" s="41"/>
      <c r="GZ32" s="104"/>
      <c r="HA32" s="113"/>
      <c r="HB32" s="274"/>
      <c r="HC32" s="41"/>
      <c r="HD32" s="91"/>
      <c r="HE32" s="41"/>
      <c r="HF32" s="77"/>
      <c r="HG32" s="41"/>
      <c r="HH32" s="104"/>
      <c r="HI32" s="152"/>
      <c r="HJ32" s="77"/>
      <c r="HK32" s="49"/>
      <c r="HL32" s="41"/>
      <c r="HM32" s="104"/>
      <c r="HN32" s="113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1"/>
      <c r="IJ32" s="260"/>
      <c r="IK32" s="261"/>
    </row>
    <row r="33" spans="1:257" x14ac:dyDescent="0.25">
      <c r="A33" s="129">
        <v>44334</v>
      </c>
      <c r="B33" s="18" t="s">
        <v>3</v>
      </c>
      <c r="C33" s="21">
        <f t="shared" si="4"/>
        <v>5556.7049999999999</v>
      </c>
      <c r="D33" s="143"/>
      <c r="E33" s="143"/>
      <c r="F33" s="143"/>
      <c r="G33" s="143"/>
      <c r="H33" s="82"/>
      <c r="I33" s="82"/>
      <c r="J33" s="108"/>
      <c r="K33" s="41"/>
      <c r="L33" s="67"/>
      <c r="M33" s="91"/>
      <c r="N33" s="41"/>
      <c r="O33" s="372">
        <v>511.46</v>
      </c>
      <c r="P33" s="104"/>
      <c r="Q33" s="161"/>
      <c r="R33" s="113"/>
      <c r="S33" s="72"/>
      <c r="T33" s="41"/>
      <c r="U33" s="67"/>
      <c r="V33" s="72"/>
      <c r="W33" s="161"/>
      <c r="X33" s="41"/>
      <c r="Y33" s="67"/>
      <c r="Z33" s="77"/>
      <c r="AA33" s="41"/>
      <c r="AB33" s="67"/>
      <c r="AC33" s="72"/>
      <c r="AD33" s="113"/>
      <c r="AE33" s="41"/>
      <c r="AF33" s="67"/>
      <c r="AG33" s="104"/>
      <c r="AH33" s="119"/>
      <c r="AI33" s="124"/>
      <c r="AJ33" s="161"/>
      <c r="AK33" s="241"/>
      <c r="AL33" s="41"/>
      <c r="AM33" s="67"/>
      <c r="AN33" s="72"/>
      <c r="AO33" s="45"/>
      <c r="AP33" s="41"/>
      <c r="AQ33" s="67"/>
      <c r="AR33" s="72"/>
      <c r="AS33" s="119"/>
      <c r="AT33" s="45"/>
      <c r="AU33" s="41"/>
      <c r="AV33" s="67"/>
      <c r="AW33" s="72"/>
      <c r="AX33" s="119"/>
      <c r="AY33" s="124"/>
      <c r="AZ33" s="113"/>
      <c r="BA33" s="41"/>
      <c r="BB33" s="67">
        <v>1018.41</v>
      </c>
      <c r="BC33" s="72"/>
      <c r="BD33" s="119"/>
      <c r="BE33" s="124"/>
      <c r="BF33" s="113"/>
      <c r="BG33" s="41"/>
      <c r="BH33" s="67">
        <v>504.59500000000003</v>
      </c>
      <c r="BI33" s="104"/>
      <c r="BJ33" s="119"/>
      <c r="BK33" s="124"/>
      <c r="BL33" s="113"/>
      <c r="BM33" s="87"/>
      <c r="BN33" s="67">
        <v>499.01</v>
      </c>
      <c r="BO33" s="72"/>
      <c r="BP33" s="119"/>
      <c r="BQ33" s="124"/>
      <c r="BR33" s="113"/>
      <c r="BS33" s="41"/>
      <c r="BT33" s="67">
        <v>506.17</v>
      </c>
      <c r="BU33" s="104"/>
      <c r="BV33" s="119"/>
      <c r="BW33" s="124"/>
      <c r="BX33" s="113"/>
      <c r="BY33" s="41"/>
      <c r="BZ33" s="67"/>
      <c r="CA33" s="104"/>
      <c r="CB33" s="119"/>
      <c r="CC33" s="124"/>
      <c r="CD33" s="113"/>
      <c r="CE33" s="41"/>
      <c r="CF33" s="67">
        <v>506.935</v>
      </c>
      <c r="CG33" s="104"/>
      <c r="CH33" s="119"/>
      <c r="CI33" s="124"/>
      <c r="CJ33" s="113"/>
      <c r="CK33" s="41"/>
      <c r="CL33" s="67">
        <v>505.91500000000002</v>
      </c>
      <c r="CM33" s="72"/>
      <c r="CN33" s="119"/>
      <c r="CO33" s="124"/>
      <c r="CP33" s="113"/>
      <c r="CQ33" s="41"/>
      <c r="CR33" s="67"/>
      <c r="CS33" s="72"/>
      <c r="CT33" s="119"/>
      <c r="CU33" s="124"/>
      <c r="CV33" s="113"/>
      <c r="CW33" s="41"/>
      <c r="CX33" s="67">
        <v>502.16</v>
      </c>
      <c r="CY33" s="72"/>
      <c r="CZ33" s="119"/>
      <c r="DA33" s="124"/>
      <c r="DB33" s="113"/>
      <c r="DC33" s="41"/>
      <c r="DD33" s="67">
        <v>502.63499999999999</v>
      </c>
      <c r="DE33" s="72"/>
      <c r="DF33" s="119"/>
      <c r="DG33" s="124"/>
      <c r="DH33" s="113"/>
      <c r="DI33" s="41"/>
      <c r="DJ33" s="67">
        <v>499.41500000000002</v>
      </c>
      <c r="DK33" s="72"/>
      <c r="DL33" s="119"/>
      <c r="DM33" s="148"/>
      <c r="DN33" s="41"/>
      <c r="DO33" s="67"/>
      <c r="DP33" s="72"/>
      <c r="DQ33" s="119"/>
      <c r="DR33" s="45"/>
      <c r="DS33" s="41"/>
      <c r="DT33" s="67"/>
      <c r="DU33" s="104"/>
      <c r="DV33" s="119"/>
      <c r="DW33" s="124"/>
      <c r="DX33" s="113"/>
      <c r="DY33" s="41"/>
      <c r="DZ33" s="67"/>
      <c r="EA33" s="72"/>
      <c r="EB33" s="119"/>
      <c r="EC33" s="124"/>
      <c r="ED33" s="113"/>
      <c r="EE33" s="41"/>
      <c r="EF33" s="67"/>
      <c r="EG33" s="72"/>
      <c r="EH33" s="192"/>
      <c r="EI33" s="148"/>
      <c r="EJ33" s="41"/>
      <c r="EK33" s="67"/>
      <c r="EL33" s="104"/>
      <c r="EM33" s="148"/>
      <c r="EN33" s="41"/>
      <c r="EO33" s="67"/>
      <c r="EP33" s="72"/>
      <c r="EQ33" s="45"/>
      <c r="ER33" s="41"/>
      <c r="ES33" s="67"/>
      <c r="ET33" s="104"/>
      <c r="EU33" s="124"/>
      <c r="EV33" s="169"/>
      <c r="EW33" s="87"/>
      <c r="EX33" s="248"/>
      <c r="EY33" s="87"/>
      <c r="EZ33" s="91"/>
      <c r="FA33" s="41"/>
      <c r="FB33" s="67"/>
      <c r="FC33" s="104"/>
      <c r="FD33" s="124"/>
      <c r="FE33" s="169"/>
      <c r="FF33" s="87"/>
      <c r="FG33" s="72"/>
      <c r="FH33" s="45"/>
      <c r="FI33" s="41"/>
      <c r="FJ33" s="67"/>
      <c r="FK33" s="104"/>
      <c r="FL33" s="45"/>
      <c r="FM33" s="41"/>
      <c r="FN33" s="148"/>
      <c r="FO33" s="208"/>
      <c r="FP33" s="208"/>
      <c r="FQ33" s="41"/>
      <c r="FR33" s="67"/>
      <c r="FS33" s="104"/>
      <c r="FT33" s="113"/>
      <c r="FU33" s="87"/>
      <c r="FV33" s="104"/>
      <c r="FW33" s="148"/>
      <c r="FX33" s="33"/>
      <c r="FY33" s="124"/>
      <c r="FZ33" s="113"/>
      <c r="GA33" s="87"/>
      <c r="GB33" s="104"/>
      <c r="GC33" s="155"/>
      <c r="GD33" s="113"/>
      <c r="GE33" s="87"/>
      <c r="GF33" s="148"/>
      <c r="GG33" s="208"/>
      <c r="GH33" s="104"/>
      <c r="GI33" s="248"/>
      <c r="GJ33" s="200"/>
      <c r="GK33" s="77"/>
      <c r="GL33" s="41"/>
      <c r="GM33" s="91"/>
      <c r="GN33" s="108"/>
      <c r="GO33" s="108"/>
      <c r="GP33" s="41"/>
      <c r="GQ33" s="91"/>
      <c r="GR33" s="49"/>
      <c r="GS33" s="108"/>
      <c r="GT33" s="108"/>
      <c r="GU33" s="108"/>
      <c r="GV33" s="41"/>
      <c r="GW33" s="91"/>
      <c r="GX33" s="104"/>
      <c r="GY33" s="41"/>
      <c r="GZ33" s="104"/>
      <c r="HA33" s="113"/>
      <c r="HB33" s="274"/>
      <c r="HC33" s="41"/>
      <c r="HD33" s="91"/>
      <c r="HE33" s="41"/>
      <c r="HF33" s="77"/>
      <c r="HG33" s="41"/>
      <c r="HH33" s="104"/>
      <c r="HI33" s="152"/>
      <c r="HJ33" s="77"/>
      <c r="HK33" s="49"/>
      <c r="HL33" s="41"/>
      <c r="HM33" s="104"/>
      <c r="HN33" s="113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1"/>
      <c r="IJ33" s="260"/>
      <c r="IK33" s="261"/>
    </row>
    <row r="34" spans="1:257" x14ac:dyDescent="0.25">
      <c r="A34" s="129">
        <v>44334</v>
      </c>
      <c r="B34" s="18" t="s">
        <v>13</v>
      </c>
      <c r="C34" s="21">
        <f t="shared" si="4"/>
        <v>-268.12</v>
      </c>
      <c r="D34" s="143"/>
      <c r="E34" s="143"/>
      <c r="F34" s="143"/>
      <c r="G34" s="143"/>
      <c r="H34" s="82"/>
      <c r="I34" s="82"/>
      <c r="J34" s="108"/>
      <c r="K34" s="41"/>
      <c r="L34" s="67"/>
      <c r="M34" s="91"/>
      <c r="N34" s="41"/>
      <c r="O34" s="372"/>
      <c r="P34" s="104"/>
      <c r="Q34" s="161"/>
      <c r="R34" s="113"/>
      <c r="S34" s="72"/>
      <c r="T34" s="41"/>
      <c r="U34" s="67"/>
      <c r="V34" s="72"/>
      <c r="W34" s="161"/>
      <c r="X34" s="41"/>
      <c r="Y34" s="67"/>
      <c r="Z34" s="77"/>
      <c r="AA34" s="41"/>
      <c r="AB34" s="67"/>
      <c r="AC34" s="72"/>
      <c r="AD34" s="113"/>
      <c r="AE34" s="41"/>
      <c r="AF34" s="67"/>
      <c r="AG34" s="104"/>
      <c r="AH34" s="119"/>
      <c r="AI34" s="124"/>
      <c r="AJ34" s="161"/>
      <c r="AK34" s="241"/>
      <c r="AL34" s="41"/>
      <c r="AM34" s="67"/>
      <c r="AN34" s="72"/>
      <c r="AO34" s="45"/>
      <c r="AP34" s="41"/>
      <c r="AQ34" s="67"/>
      <c r="AR34" s="72"/>
      <c r="AS34" s="119"/>
      <c r="AT34" s="45"/>
      <c r="AU34" s="41"/>
      <c r="AV34" s="67"/>
      <c r="AW34" s="72"/>
      <c r="AX34" s="119"/>
      <c r="AY34" s="124"/>
      <c r="AZ34" s="113"/>
      <c r="BA34" s="41"/>
      <c r="BB34" s="67"/>
      <c r="BC34" s="72"/>
      <c r="BD34" s="119"/>
      <c r="BE34" s="124"/>
      <c r="BF34" s="113"/>
      <c r="BG34" s="41"/>
      <c r="BH34" s="67">
        <v>-32.704999999999998</v>
      </c>
      <c r="BI34" s="104"/>
      <c r="BJ34" s="119"/>
      <c r="BK34" s="124"/>
      <c r="BL34" s="113"/>
      <c r="BM34" s="87"/>
      <c r="BN34" s="67">
        <v>-33.340000000000003</v>
      </c>
      <c r="BO34" s="72"/>
      <c r="BP34" s="119"/>
      <c r="BQ34" s="124"/>
      <c r="BR34" s="113"/>
      <c r="BS34" s="41"/>
      <c r="BT34" s="67">
        <v>-33.375</v>
      </c>
      <c r="BU34" s="104"/>
      <c r="BV34" s="119"/>
      <c r="BW34" s="124"/>
      <c r="BX34" s="113"/>
      <c r="BY34" s="41"/>
      <c r="BZ34" s="67">
        <v>-33.744999999999997</v>
      </c>
      <c r="CA34" s="104"/>
      <c r="CB34" s="119"/>
      <c r="CC34" s="124"/>
      <c r="CD34" s="113"/>
      <c r="CE34" s="41"/>
      <c r="CF34" s="67"/>
      <c r="CG34" s="104"/>
      <c r="CH34" s="119"/>
      <c r="CI34" s="124"/>
      <c r="CJ34" s="113"/>
      <c r="CK34" s="41"/>
      <c r="CL34" s="67"/>
      <c r="CM34" s="72"/>
      <c r="CN34" s="119"/>
      <c r="CO34" s="124"/>
      <c r="CP34" s="113"/>
      <c r="CQ34" s="41"/>
      <c r="CR34" s="67">
        <v>-67.555000000000007</v>
      </c>
      <c r="CS34" s="72"/>
      <c r="CT34" s="119"/>
      <c r="CU34" s="124"/>
      <c r="CV34" s="113"/>
      <c r="CW34" s="41"/>
      <c r="CX34" s="67">
        <v>-33.725000000000001</v>
      </c>
      <c r="CY34" s="72"/>
      <c r="CZ34" s="119"/>
      <c r="DA34" s="124"/>
      <c r="DB34" s="113"/>
      <c r="DC34" s="41"/>
      <c r="DD34" s="67"/>
      <c r="DE34" s="72"/>
      <c r="DF34" s="119"/>
      <c r="DG34" s="124"/>
      <c r="DH34" s="113"/>
      <c r="DI34" s="41"/>
      <c r="DJ34" s="67"/>
      <c r="DK34" s="72"/>
      <c r="DL34" s="119"/>
      <c r="DM34" s="148"/>
      <c r="DN34" s="41"/>
      <c r="DO34" s="67"/>
      <c r="DP34" s="72"/>
      <c r="DQ34" s="119"/>
      <c r="DR34" s="45"/>
      <c r="DS34" s="41"/>
      <c r="DT34" s="67">
        <v>-33.674999999999997</v>
      </c>
      <c r="DU34" s="104"/>
      <c r="DV34" s="119"/>
      <c r="DW34" s="124"/>
      <c r="DX34" s="113"/>
      <c r="DY34" s="41"/>
      <c r="DZ34" s="67"/>
      <c r="EA34" s="72"/>
      <c r="EB34" s="119"/>
      <c r="EC34" s="124"/>
      <c r="ED34" s="113"/>
      <c r="EE34" s="41"/>
      <c r="EF34" s="67"/>
      <c r="EG34" s="72"/>
      <c r="EH34" s="192"/>
      <c r="EI34" s="148"/>
      <c r="EJ34" s="41"/>
      <c r="EK34" s="67"/>
      <c r="EL34" s="104"/>
      <c r="EM34" s="148"/>
      <c r="EN34" s="41"/>
      <c r="EO34" s="67"/>
      <c r="EP34" s="72"/>
      <c r="EQ34" s="45"/>
      <c r="ER34" s="41"/>
      <c r="ES34" s="67"/>
      <c r="ET34" s="104"/>
      <c r="EU34" s="124"/>
      <c r="EV34" s="169"/>
      <c r="EW34" s="87"/>
      <c r="EX34" s="248"/>
      <c r="EY34" s="87"/>
      <c r="EZ34" s="91"/>
      <c r="FA34" s="41"/>
      <c r="FB34" s="67"/>
      <c r="FC34" s="104"/>
      <c r="FD34" s="124"/>
      <c r="FE34" s="169"/>
      <c r="FF34" s="87"/>
      <c r="FG34" s="72"/>
      <c r="FH34" s="45"/>
      <c r="FI34" s="41"/>
      <c r="FJ34" s="67"/>
      <c r="FK34" s="104"/>
      <c r="FL34" s="45"/>
      <c r="FM34" s="41"/>
      <c r="FN34" s="148"/>
      <c r="FO34" s="208"/>
      <c r="FP34" s="208"/>
      <c r="FQ34" s="41"/>
      <c r="FR34" s="67"/>
      <c r="FS34" s="104"/>
      <c r="FT34" s="113"/>
      <c r="FU34" s="87"/>
      <c r="FV34" s="104"/>
      <c r="FW34" s="148"/>
      <c r="FX34" s="33"/>
      <c r="FY34" s="124"/>
      <c r="FZ34" s="113"/>
      <c r="GA34" s="87"/>
      <c r="GB34" s="104"/>
      <c r="GC34" s="155"/>
      <c r="GD34" s="113"/>
      <c r="GE34" s="87"/>
      <c r="GF34" s="148"/>
      <c r="GG34" s="208"/>
      <c r="GH34" s="104"/>
      <c r="GI34" s="248"/>
      <c r="GJ34" s="200"/>
      <c r="GK34" s="77"/>
      <c r="GL34" s="41"/>
      <c r="GM34" s="91"/>
      <c r="GN34" s="108"/>
      <c r="GO34" s="108"/>
      <c r="GP34" s="41"/>
      <c r="GQ34" s="91"/>
      <c r="GR34" s="49"/>
      <c r="GS34" s="108"/>
      <c r="GT34" s="108"/>
      <c r="GU34" s="108"/>
      <c r="GV34" s="41"/>
      <c r="GW34" s="91"/>
      <c r="GX34" s="104"/>
      <c r="GY34" s="41"/>
      <c r="GZ34" s="104"/>
      <c r="HA34" s="113"/>
      <c r="HB34" s="274"/>
      <c r="HC34" s="41"/>
      <c r="HD34" s="91"/>
      <c r="HE34" s="41"/>
      <c r="HF34" s="77"/>
      <c r="HG34" s="41"/>
      <c r="HH34" s="104"/>
      <c r="HI34" s="152"/>
      <c r="HJ34" s="77"/>
      <c r="HK34" s="49"/>
      <c r="HL34" s="41"/>
      <c r="HM34" s="104"/>
      <c r="HN34" s="113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1"/>
      <c r="IJ34" s="260"/>
      <c r="IK34" s="261"/>
    </row>
    <row r="35" spans="1:257" x14ac:dyDescent="0.25">
      <c r="A35" s="129">
        <v>44334</v>
      </c>
      <c r="B35" s="18" t="s">
        <v>17</v>
      </c>
      <c r="C35" s="21">
        <f t="shared" si="4"/>
        <v>-200.83500000000001</v>
      </c>
      <c r="D35" s="143"/>
      <c r="E35" s="143"/>
      <c r="F35" s="143"/>
      <c r="G35" s="143"/>
      <c r="H35" s="82"/>
      <c r="I35" s="82"/>
      <c r="J35" s="108"/>
      <c r="K35" s="41"/>
      <c r="L35" s="67"/>
      <c r="M35" s="91"/>
      <c r="N35" s="41"/>
      <c r="O35" s="372"/>
      <c r="P35" s="104"/>
      <c r="Q35" s="161"/>
      <c r="R35" s="113"/>
      <c r="S35" s="72"/>
      <c r="T35" s="41"/>
      <c r="U35" s="67"/>
      <c r="V35" s="72"/>
      <c r="W35" s="161"/>
      <c r="X35" s="41"/>
      <c r="Y35" s="67"/>
      <c r="Z35" s="77"/>
      <c r="AA35" s="41"/>
      <c r="AB35" s="67"/>
      <c r="AC35" s="72"/>
      <c r="AD35" s="113"/>
      <c r="AE35" s="41"/>
      <c r="AF35" s="67"/>
      <c r="AG35" s="104"/>
      <c r="AH35" s="119"/>
      <c r="AI35" s="124"/>
      <c r="AJ35" s="161"/>
      <c r="AK35" s="241"/>
      <c r="AL35" s="41"/>
      <c r="AM35" s="67"/>
      <c r="AN35" s="72"/>
      <c r="AO35" s="45"/>
      <c r="AP35" s="41">
        <v>-32.28</v>
      </c>
      <c r="AQ35" s="67"/>
      <c r="AR35" s="72"/>
      <c r="AS35" s="119"/>
      <c r="AT35" s="45"/>
      <c r="AU35" s="41"/>
      <c r="AV35" s="67"/>
      <c r="AW35" s="72"/>
      <c r="AX35" s="119"/>
      <c r="AY35" s="124"/>
      <c r="AZ35" s="113"/>
      <c r="BA35" s="41"/>
      <c r="BB35" s="67">
        <v>-33.965000000000003</v>
      </c>
      <c r="BC35" s="72"/>
      <c r="BD35" s="119"/>
      <c r="BE35" s="124"/>
      <c r="BF35" s="113"/>
      <c r="BG35" s="41"/>
      <c r="BH35" s="67">
        <v>-33.695</v>
      </c>
      <c r="BI35" s="104"/>
      <c r="BJ35" s="119"/>
      <c r="BK35" s="124"/>
      <c r="BL35" s="113"/>
      <c r="BM35" s="87"/>
      <c r="BN35" s="67"/>
      <c r="BO35" s="72"/>
      <c r="BP35" s="119"/>
      <c r="BQ35" s="124"/>
      <c r="BR35" s="113"/>
      <c r="BS35" s="41"/>
      <c r="BT35" s="67">
        <v>-33.284999999999997</v>
      </c>
      <c r="BU35" s="104"/>
      <c r="BV35" s="119"/>
      <c r="BW35" s="124"/>
      <c r="BX35" s="113"/>
      <c r="BY35" s="41"/>
      <c r="BZ35" s="67">
        <v>-33.74</v>
      </c>
      <c r="CA35" s="104"/>
      <c r="CB35" s="119"/>
      <c r="CC35" s="124"/>
      <c r="CD35" s="113"/>
      <c r="CE35" s="41"/>
      <c r="CF35" s="67">
        <v>-33.869999999999997</v>
      </c>
      <c r="CG35" s="104"/>
      <c r="CH35" s="119"/>
      <c r="CI35" s="124"/>
      <c r="CJ35" s="113"/>
      <c r="CK35" s="41"/>
      <c r="CL35" s="67"/>
      <c r="CM35" s="72"/>
      <c r="CN35" s="119"/>
      <c r="CO35" s="124"/>
      <c r="CP35" s="113"/>
      <c r="CQ35" s="41"/>
      <c r="CR35" s="67"/>
      <c r="CS35" s="72"/>
      <c r="CT35" s="119"/>
      <c r="CU35" s="124"/>
      <c r="CV35" s="113"/>
      <c r="CW35" s="41"/>
      <c r="CX35" s="67"/>
      <c r="CY35" s="72"/>
      <c r="CZ35" s="119"/>
      <c r="DA35" s="124"/>
      <c r="DB35" s="113"/>
      <c r="DC35" s="41"/>
      <c r="DD35" s="67"/>
      <c r="DE35" s="72"/>
      <c r="DF35" s="119"/>
      <c r="DG35" s="124"/>
      <c r="DH35" s="113"/>
      <c r="DI35" s="41"/>
      <c r="DJ35" s="67"/>
      <c r="DK35" s="72"/>
      <c r="DL35" s="119"/>
      <c r="DM35" s="148"/>
      <c r="DN35" s="41"/>
      <c r="DO35" s="67"/>
      <c r="DP35" s="72"/>
      <c r="DQ35" s="119"/>
      <c r="DR35" s="45"/>
      <c r="DS35" s="41"/>
      <c r="DT35" s="67"/>
      <c r="DU35" s="104"/>
      <c r="DV35" s="119"/>
      <c r="DW35" s="124"/>
      <c r="DX35" s="113"/>
      <c r="DY35" s="41"/>
      <c r="DZ35" s="67"/>
      <c r="EA35" s="72"/>
      <c r="EB35" s="119"/>
      <c r="EC35" s="124"/>
      <c r="ED35" s="113"/>
      <c r="EE35" s="41"/>
      <c r="EF35" s="67"/>
      <c r="EG35" s="72"/>
      <c r="EH35" s="192"/>
      <c r="EI35" s="148"/>
      <c r="EJ35" s="41"/>
      <c r="EK35" s="67"/>
      <c r="EL35" s="104"/>
      <c r="EM35" s="148"/>
      <c r="EN35" s="41"/>
      <c r="EO35" s="67"/>
      <c r="EP35" s="72"/>
      <c r="EQ35" s="45"/>
      <c r="ER35" s="41"/>
      <c r="ES35" s="67"/>
      <c r="ET35" s="104"/>
      <c r="EU35" s="124"/>
      <c r="EV35" s="169"/>
      <c r="EW35" s="87"/>
      <c r="EX35" s="248"/>
      <c r="EY35" s="87"/>
      <c r="EZ35" s="91"/>
      <c r="FA35" s="41"/>
      <c r="FB35" s="67"/>
      <c r="FC35" s="104"/>
      <c r="FD35" s="124"/>
      <c r="FE35" s="169"/>
      <c r="FF35" s="87"/>
      <c r="FG35" s="72"/>
      <c r="FH35" s="45"/>
      <c r="FI35" s="41"/>
      <c r="FJ35" s="67"/>
      <c r="FK35" s="104"/>
      <c r="FL35" s="45"/>
      <c r="FM35" s="41"/>
      <c r="FN35" s="148"/>
      <c r="FO35" s="208"/>
      <c r="FP35" s="208"/>
      <c r="FQ35" s="41"/>
      <c r="FR35" s="67"/>
      <c r="FS35" s="104"/>
      <c r="FT35" s="113"/>
      <c r="FU35" s="87"/>
      <c r="FV35" s="104"/>
      <c r="FW35" s="148"/>
      <c r="FX35" s="33"/>
      <c r="FY35" s="124"/>
      <c r="FZ35" s="113"/>
      <c r="GA35" s="87"/>
      <c r="GB35" s="104"/>
      <c r="GC35" s="155"/>
      <c r="GD35" s="113"/>
      <c r="GE35" s="87"/>
      <c r="GF35" s="148"/>
      <c r="GG35" s="208"/>
      <c r="GH35" s="104"/>
      <c r="GI35" s="248"/>
      <c r="GJ35" s="200"/>
      <c r="GK35" s="77"/>
      <c r="GL35" s="41"/>
      <c r="GM35" s="91"/>
      <c r="GN35" s="108"/>
      <c r="GO35" s="108"/>
      <c r="GP35" s="41"/>
      <c r="GQ35" s="91"/>
      <c r="GR35" s="49"/>
      <c r="GS35" s="108"/>
      <c r="GT35" s="108"/>
      <c r="GU35" s="108"/>
      <c r="GV35" s="41"/>
      <c r="GW35" s="91"/>
      <c r="GX35" s="104"/>
      <c r="GY35" s="41"/>
      <c r="GZ35" s="104"/>
      <c r="HA35" s="113"/>
      <c r="HB35" s="274"/>
      <c r="HC35" s="41"/>
      <c r="HD35" s="91"/>
      <c r="HE35" s="41"/>
      <c r="HF35" s="77"/>
      <c r="HG35" s="41"/>
      <c r="HH35" s="104"/>
      <c r="HI35" s="152"/>
      <c r="HJ35" s="77"/>
      <c r="HK35" s="49"/>
      <c r="HL35" s="41"/>
      <c r="HM35" s="104"/>
      <c r="HN35" s="113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1"/>
      <c r="IJ35" s="260"/>
      <c r="IK35" s="261"/>
    </row>
    <row r="36" spans="1:257" x14ac:dyDescent="0.25">
      <c r="A36" s="129">
        <v>44334</v>
      </c>
      <c r="B36" s="18" t="s">
        <v>32</v>
      </c>
      <c r="C36" s="21">
        <f t="shared" si="4"/>
        <v>-243.85</v>
      </c>
      <c r="D36" s="143"/>
      <c r="E36" s="143"/>
      <c r="F36" s="143"/>
      <c r="G36" s="143"/>
      <c r="H36" s="82"/>
      <c r="I36" s="82"/>
      <c r="J36" s="108"/>
      <c r="K36" s="41"/>
      <c r="L36" s="67"/>
      <c r="M36" s="91"/>
      <c r="N36" s="41"/>
      <c r="O36" s="372"/>
      <c r="P36" s="104"/>
      <c r="Q36" s="161"/>
      <c r="R36" s="113"/>
      <c r="S36" s="72"/>
      <c r="T36" s="41"/>
      <c r="U36" s="67"/>
      <c r="V36" s="72"/>
      <c r="W36" s="161"/>
      <c r="X36" s="41"/>
      <c r="Y36" s="67"/>
      <c r="Z36" s="77"/>
      <c r="AA36" s="41"/>
      <c r="AB36" s="67"/>
      <c r="AC36" s="72"/>
      <c r="AD36" s="113"/>
      <c r="AE36" s="41"/>
      <c r="AF36" s="67"/>
      <c r="AG36" s="104"/>
      <c r="AH36" s="119"/>
      <c r="AI36" s="124"/>
      <c r="AJ36" s="161"/>
      <c r="AK36" s="241"/>
      <c r="AL36" s="41"/>
      <c r="AM36" s="67">
        <v>-16.84</v>
      </c>
      <c r="AN36" s="72"/>
      <c r="AO36" s="45"/>
      <c r="AP36" s="41">
        <v>-15.61</v>
      </c>
      <c r="AQ36" s="67"/>
      <c r="AR36" s="72"/>
      <c r="AS36" s="119"/>
      <c r="AT36" s="45"/>
      <c r="AU36" s="41"/>
      <c r="AV36" s="67"/>
      <c r="AW36" s="72"/>
      <c r="AX36" s="119"/>
      <c r="AY36" s="124"/>
      <c r="AZ36" s="113"/>
      <c r="BA36" s="41">
        <v>-35.08</v>
      </c>
      <c r="BB36" s="67"/>
      <c r="BC36" s="72"/>
      <c r="BD36" s="119"/>
      <c r="BE36" s="124"/>
      <c r="BF36" s="113"/>
      <c r="BG36" s="41"/>
      <c r="BH36" s="67">
        <v>-32.840000000000003</v>
      </c>
      <c r="BI36" s="104"/>
      <c r="BJ36" s="119"/>
      <c r="BK36" s="124"/>
      <c r="BL36" s="113"/>
      <c r="BM36" s="87"/>
      <c r="BN36" s="67"/>
      <c r="BO36" s="72"/>
      <c r="BP36" s="119"/>
      <c r="BQ36" s="124"/>
      <c r="BR36" s="113"/>
      <c r="BS36" s="41">
        <v>-34.57</v>
      </c>
      <c r="BT36" s="67"/>
      <c r="BU36" s="104"/>
      <c r="BV36" s="119"/>
      <c r="BW36" s="124"/>
      <c r="BX36" s="113"/>
      <c r="BY36" s="41">
        <v>-34.49</v>
      </c>
      <c r="BZ36" s="67"/>
      <c r="CA36" s="104"/>
      <c r="CB36" s="119"/>
      <c r="CC36" s="124"/>
      <c r="CD36" s="113"/>
      <c r="CE36" s="41"/>
      <c r="CF36" s="67"/>
      <c r="CG36" s="104"/>
      <c r="CH36" s="119"/>
      <c r="CI36" s="124"/>
      <c r="CJ36" s="113"/>
      <c r="CK36" s="41">
        <v>-14.58</v>
      </c>
      <c r="CL36" s="67"/>
      <c r="CM36" s="72"/>
      <c r="CN36" s="119"/>
      <c r="CO36" s="124"/>
      <c r="CP36" s="113"/>
      <c r="CQ36" s="41"/>
      <c r="CR36" s="67">
        <v>-8.1</v>
      </c>
      <c r="CS36" s="72"/>
      <c r="CT36" s="119"/>
      <c r="CU36" s="124"/>
      <c r="CV36" s="113"/>
      <c r="CW36" s="41"/>
      <c r="CX36" s="67"/>
      <c r="CY36" s="72"/>
      <c r="CZ36" s="119"/>
      <c r="DA36" s="124"/>
      <c r="DB36" s="113"/>
      <c r="DC36" s="41"/>
      <c r="DD36" s="67"/>
      <c r="DE36" s="72"/>
      <c r="DF36" s="119"/>
      <c r="DG36" s="124"/>
      <c r="DH36" s="113"/>
      <c r="DI36" s="41"/>
      <c r="DJ36" s="67">
        <v>-16.914999999999999</v>
      </c>
      <c r="DK36" s="72"/>
      <c r="DL36" s="119"/>
      <c r="DM36" s="148"/>
      <c r="DN36" s="41"/>
      <c r="DO36" s="67"/>
      <c r="DP36" s="72"/>
      <c r="DQ36" s="119"/>
      <c r="DR36" s="45"/>
      <c r="DS36" s="41"/>
      <c r="DT36" s="67"/>
      <c r="DU36" s="104"/>
      <c r="DV36" s="119"/>
      <c r="DW36" s="124"/>
      <c r="DX36" s="113"/>
      <c r="DY36" s="41"/>
      <c r="DZ36" s="67"/>
      <c r="EA36" s="72"/>
      <c r="EB36" s="119"/>
      <c r="EC36" s="124"/>
      <c r="ED36" s="113"/>
      <c r="EE36" s="41"/>
      <c r="EF36" s="67">
        <v>-17.055</v>
      </c>
      <c r="EG36" s="72"/>
      <c r="EH36" s="192"/>
      <c r="EI36" s="148"/>
      <c r="EJ36" s="41">
        <v>-17.77</v>
      </c>
      <c r="EK36" s="67"/>
      <c r="EL36" s="104"/>
      <c r="EM36" s="148"/>
      <c r="EN36" s="41"/>
      <c r="EO36" s="67"/>
      <c r="EP36" s="72"/>
      <c r="EQ36" s="45"/>
      <c r="ER36" s="41"/>
      <c r="ES36" s="67"/>
      <c r="ET36" s="104"/>
      <c r="EU36" s="124"/>
      <c r="EV36" s="169"/>
      <c r="EW36" s="87"/>
      <c r="EX36" s="248"/>
      <c r="EY36" s="87"/>
      <c r="EZ36" s="91"/>
      <c r="FA36" s="41"/>
      <c r="FB36" s="67"/>
      <c r="FC36" s="104"/>
      <c r="FD36" s="124"/>
      <c r="FE36" s="169"/>
      <c r="FF36" s="87"/>
      <c r="FG36" s="72"/>
      <c r="FH36" s="45"/>
      <c r="FI36" s="41"/>
      <c r="FJ36" s="67"/>
      <c r="FK36" s="104"/>
      <c r="FL36" s="45"/>
      <c r="FM36" s="41"/>
      <c r="FN36" s="148"/>
      <c r="FO36" s="208"/>
      <c r="FP36" s="208"/>
      <c r="FQ36" s="41"/>
      <c r="FR36" s="67"/>
      <c r="FS36" s="104"/>
      <c r="FT36" s="113"/>
      <c r="FU36" s="87"/>
      <c r="FV36" s="104"/>
      <c r="FW36" s="148"/>
      <c r="FX36" s="33"/>
      <c r="FY36" s="124"/>
      <c r="FZ36" s="113"/>
      <c r="GA36" s="87"/>
      <c r="GB36" s="104"/>
      <c r="GC36" s="155"/>
      <c r="GD36" s="113"/>
      <c r="GE36" s="87"/>
      <c r="GF36" s="148"/>
      <c r="GG36" s="208"/>
      <c r="GH36" s="104"/>
      <c r="GI36" s="248"/>
      <c r="GJ36" s="200"/>
      <c r="GK36" s="77"/>
      <c r="GL36" s="41"/>
      <c r="GM36" s="91"/>
      <c r="GN36" s="108"/>
      <c r="GO36" s="108"/>
      <c r="GP36" s="41"/>
      <c r="GQ36" s="91"/>
      <c r="GR36" s="49"/>
      <c r="GS36" s="108"/>
      <c r="GT36" s="108"/>
      <c r="GU36" s="108"/>
      <c r="GV36" s="41"/>
      <c r="GW36" s="91"/>
      <c r="GX36" s="104"/>
      <c r="GY36" s="41"/>
      <c r="GZ36" s="104"/>
      <c r="HA36" s="113"/>
      <c r="HB36" s="274"/>
      <c r="HC36" s="41"/>
      <c r="HD36" s="91"/>
      <c r="HE36" s="41"/>
      <c r="HF36" s="77"/>
      <c r="HG36" s="41"/>
      <c r="HH36" s="104"/>
      <c r="HI36" s="152"/>
      <c r="HJ36" s="77"/>
      <c r="HK36" s="49"/>
      <c r="HL36" s="41"/>
      <c r="HM36" s="104"/>
      <c r="HN36" s="113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1"/>
      <c r="IJ36" s="260"/>
      <c r="IK36" s="261"/>
    </row>
    <row r="37" spans="1:257" x14ac:dyDescent="0.25">
      <c r="A37" s="129">
        <v>44335</v>
      </c>
      <c r="B37" s="18" t="s">
        <v>17</v>
      </c>
      <c r="C37" s="21">
        <f t="shared" si="4"/>
        <v>-137.05500000000001</v>
      </c>
      <c r="D37" s="143"/>
      <c r="E37" s="143"/>
      <c r="F37" s="143"/>
      <c r="G37" s="143"/>
      <c r="H37" s="82"/>
      <c r="I37" s="82"/>
      <c r="J37" s="108"/>
      <c r="K37" s="41"/>
      <c r="L37" s="67"/>
      <c r="M37" s="91"/>
      <c r="N37" s="41"/>
      <c r="O37" s="372"/>
      <c r="P37" s="104"/>
      <c r="Q37" s="161"/>
      <c r="R37" s="113"/>
      <c r="S37" s="72"/>
      <c r="T37" s="41"/>
      <c r="U37" s="67"/>
      <c r="V37" s="72"/>
      <c r="W37" s="161"/>
      <c r="X37" s="41"/>
      <c r="Y37" s="67"/>
      <c r="Z37" s="77"/>
      <c r="AA37" s="41"/>
      <c r="AB37" s="67"/>
      <c r="AC37" s="72"/>
      <c r="AD37" s="113"/>
      <c r="AE37" s="41"/>
      <c r="AF37" s="67"/>
      <c r="AG37" s="104"/>
      <c r="AH37" s="119"/>
      <c r="AI37" s="124"/>
      <c r="AJ37" s="161"/>
      <c r="AK37" s="241"/>
      <c r="AL37" s="41"/>
      <c r="AM37" s="67"/>
      <c r="AN37" s="72"/>
      <c r="AO37" s="45"/>
      <c r="AP37" s="41"/>
      <c r="AQ37" s="67"/>
      <c r="AR37" s="72"/>
      <c r="AS37" s="119"/>
      <c r="AT37" s="45"/>
      <c r="AU37" s="41"/>
      <c r="AV37" s="67">
        <v>-34.185000000000002</v>
      </c>
      <c r="AW37" s="72"/>
      <c r="AX37" s="119"/>
      <c r="AY37" s="124"/>
      <c r="AZ37" s="113"/>
      <c r="BA37" s="41"/>
      <c r="BB37" s="67"/>
      <c r="BC37" s="72"/>
      <c r="BD37" s="119"/>
      <c r="BE37" s="124"/>
      <c r="BF37" s="113"/>
      <c r="BG37" s="41"/>
      <c r="BH37" s="67"/>
      <c r="BI37" s="104"/>
      <c r="BJ37" s="119"/>
      <c r="BK37" s="124"/>
      <c r="BL37" s="113"/>
      <c r="BM37" s="87"/>
      <c r="BN37" s="67">
        <v>-33.25</v>
      </c>
      <c r="BO37" s="72"/>
      <c r="BP37" s="119"/>
      <c r="BQ37" s="124"/>
      <c r="BR37" s="113"/>
      <c r="BS37" s="41"/>
      <c r="BT37" s="67"/>
      <c r="BU37" s="104"/>
      <c r="BV37" s="119"/>
      <c r="BW37" s="124"/>
      <c r="BX37" s="113"/>
      <c r="BY37" s="41"/>
      <c r="BZ37" s="67"/>
      <c r="CA37" s="104"/>
      <c r="CB37" s="119"/>
      <c r="CC37" s="124"/>
      <c r="CD37" s="113"/>
      <c r="CE37" s="41"/>
      <c r="CF37" s="67"/>
      <c r="CG37" s="104"/>
      <c r="CH37" s="119"/>
      <c r="CI37" s="124"/>
      <c r="CJ37" s="113"/>
      <c r="CK37" s="41"/>
      <c r="CL37" s="67"/>
      <c r="CM37" s="72"/>
      <c r="CN37" s="119"/>
      <c r="CO37" s="124"/>
      <c r="CP37" s="113"/>
      <c r="CQ37" s="41"/>
      <c r="CR37" s="67"/>
      <c r="CS37" s="72"/>
      <c r="CT37" s="119"/>
      <c r="CU37" s="124"/>
      <c r="CV37" s="113"/>
      <c r="CW37" s="41">
        <v>-34.5</v>
      </c>
      <c r="CX37" s="67"/>
      <c r="CY37" s="72"/>
      <c r="CZ37" s="119"/>
      <c r="DA37" s="124"/>
      <c r="DB37" s="113"/>
      <c r="DC37" s="41"/>
      <c r="DD37" s="67"/>
      <c r="DE37" s="72"/>
      <c r="DF37" s="119"/>
      <c r="DG37" s="124"/>
      <c r="DH37" s="113"/>
      <c r="DI37" s="41"/>
      <c r="DJ37" s="67"/>
      <c r="DK37" s="72"/>
      <c r="DL37" s="119"/>
      <c r="DM37" s="148"/>
      <c r="DN37" s="41">
        <v>-35.119999999999997</v>
      </c>
      <c r="DO37" s="67"/>
      <c r="DP37" s="72"/>
      <c r="DQ37" s="119"/>
      <c r="DR37" s="45"/>
      <c r="DS37" s="41"/>
      <c r="DT37" s="67"/>
      <c r="DU37" s="104"/>
      <c r="DV37" s="119"/>
      <c r="DW37" s="124"/>
      <c r="DX37" s="113"/>
      <c r="DY37" s="41"/>
      <c r="DZ37" s="67"/>
      <c r="EA37" s="72"/>
      <c r="EB37" s="119"/>
      <c r="EC37" s="124"/>
      <c r="ED37" s="113"/>
      <c r="EE37" s="41"/>
      <c r="EF37" s="67"/>
      <c r="EG37" s="72"/>
      <c r="EH37" s="192"/>
      <c r="EI37" s="148"/>
      <c r="EJ37" s="41"/>
      <c r="EK37" s="67"/>
      <c r="EL37" s="104"/>
      <c r="EM37" s="148"/>
      <c r="EN37" s="41"/>
      <c r="EO37" s="67"/>
      <c r="EP37" s="72"/>
      <c r="EQ37" s="45"/>
      <c r="ER37" s="41"/>
      <c r="ES37" s="67"/>
      <c r="ET37" s="104"/>
      <c r="EU37" s="124"/>
      <c r="EV37" s="169"/>
      <c r="EW37" s="87"/>
      <c r="EX37" s="248"/>
      <c r="EY37" s="87"/>
      <c r="EZ37" s="91"/>
      <c r="FA37" s="41"/>
      <c r="FB37" s="67"/>
      <c r="FC37" s="104"/>
      <c r="FD37" s="124"/>
      <c r="FE37" s="169"/>
      <c r="FF37" s="87"/>
      <c r="FG37" s="72"/>
      <c r="FH37" s="45"/>
      <c r="FI37" s="41"/>
      <c r="FJ37" s="67"/>
      <c r="FK37" s="104"/>
      <c r="FL37" s="45"/>
      <c r="FM37" s="41"/>
      <c r="FN37" s="148"/>
      <c r="FO37" s="208"/>
      <c r="FP37" s="208"/>
      <c r="FQ37" s="41"/>
      <c r="FR37" s="67"/>
      <c r="FS37" s="104"/>
      <c r="FT37" s="113"/>
      <c r="FU37" s="87"/>
      <c r="FV37" s="104"/>
      <c r="FW37" s="148"/>
      <c r="FX37" s="33"/>
      <c r="FY37" s="124"/>
      <c r="FZ37" s="113"/>
      <c r="GA37" s="87"/>
      <c r="GB37" s="104"/>
      <c r="GC37" s="155"/>
      <c r="GD37" s="113"/>
      <c r="GE37" s="87"/>
      <c r="GF37" s="148"/>
      <c r="GG37" s="208"/>
      <c r="GH37" s="104"/>
      <c r="GI37" s="248"/>
      <c r="GJ37" s="200"/>
      <c r="GK37" s="77"/>
      <c r="GL37" s="41"/>
      <c r="GM37" s="91"/>
      <c r="GN37" s="108"/>
      <c r="GO37" s="108"/>
      <c r="GP37" s="41"/>
      <c r="GQ37" s="91"/>
      <c r="GR37" s="49"/>
      <c r="GS37" s="108"/>
      <c r="GT37" s="108"/>
      <c r="GU37" s="108"/>
      <c r="GV37" s="41"/>
      <c r="GW37" s="91"/>
      <c r="GX37" s="104"/>
      <c r="GY37" s="41"/>
      <c r="GZ37" s="104"/>
      <c r="HA37" s="113"/>
      <c r="HB37" s="274"/>
      <c r="HC37" s="41"/>
      <c r="HD37" s="91"/>
      <c r="HE37" s="41"/>
      <c r="HF37" s="77"/>
      <c r="HG37" s="41"/>
      <c r="HH37" s="104"/>
      <c r="HI37" s="152"/>
      <c r="HJ37" s="77"/>
      <c r="HK37" s="49"/>
      <c r="HL37" s="41"/>
      <c r="HM37" s="104"/>
      <c r="HN37" s="113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1"/>
      <c r="IJ37" s="260"/>
      <c r="IK37" s="261"/>
    </row>
    <row r="38" spans="1:257" x14ac:dyDescent="0.25">
      <c r="A38" s="129">
        <v>44335</v>
      </c>
      <c r="B38" s="18" t="s">
        <v>14</v>
      </c>
      <c r="C38" s="21">
        <f t="shared" si="4"/>
        <v>0</v>
      </c>
      <c r="D38" s="143"/>
      <c r="E38" s="143"/>
      <c r="F38" s="143"/>
      <c r="G38" s="143"/>
      <c r="H38" s="82"/>
      <c r="I38" s="82"/>
      <c r="J38" s="108"/>
      <c r="K38" s="41"/>
      <c r="L38" s="67"/>
      <c r="M38" s="91"/>
      <c r="N38" s="41"/>
      <c r="O38" s="372"/>
      <c r="P38" s="104"/>
      <c r="Q38" s="161"/>
      <c r="R38" s="113"/>
      <c r="S38" s="72"/>
      <c r="T38" s="41"/>
      <c r="U38" s="67"/>
      <c r="V38" s="72"/>
      <c r="W38" s="161"/>
      <c r="X38" s="41"/>
      <c r="Y38" s="67"/>
      <c r="Z38" s="77"/>
      <c r="AA38" s="41"/>
      <c r="AB38" s="67"/>
      <c r="AC38" s="72"/>
      <c r="AD38" s="113"/>
      <c r="AE38" s="41"/>
      <c r="AF38" s="67"/>
      <c r="AG38" s="104"/>
      <c r="AH38" s="119"/>
      <c r="AI38" s="124"/>
      <c r="AJ38" s="161"/>
      <c r="AK38" s="241"/>
      <c r="AL38" s="41"/>
      <c r="AM38" s="67"/>
      <c r="AN38" s="72"/>
      <c r="AO38" s="45"/>
      <c r="AP38" s="41"/>
      <c r="AQ38" s="67"/>
      <c r="AR38" s="72"/>
      <c r="AS38" s="119"/>
      <c r="AT38" s="45"/>
      <c r="AU38" s="41"/>
      <c r="AV38" s="67"/>
      <c r="AW38" s="72"/>
      <c r="AX38" s="119"/>
      <c r="AY38" s="124"/>
      <c r="AZ38" s="113"/>
      <c r="BA38" s="41"/>
      <c r="BB38" s="67"/>
      <c r="BC38" s="72"/>
      <c r="BD38" s="119"/>
      <c r="BE38" s="124"/>
      <c r="BF38" s="113"/>
      <c r="BG38" s="41"/>
      <c r="BH38" s="67"/>
      <c r="BI38" s="104"/>
      <c r="BJ38" s="119"/>
      <c r="BK38" s="124"/>
      <c r="BL38" s="113"/>
      <c r="BM38" s="87"/>
      <c r="BN38" s="67"/>
      <c r="BO38" s="72"/>
      <c r="BP38" s="119"/>
      <c r="BQ38" s="124"/>
      <c r="BR38" s="113"/>
      <c r="BS38" s="41"/>
      <c r="BT38" s="67"/>
      <c r="BU38" s="104"/>
      <c r="BV38" s="119"/>
      <c r="BW38" s="124"/>
      <c r="BX38" s="113"/>
      <c r="BY38" s="41"/>
      <c r="BZ38" s="67"/>
      <c r="CA38" s="104"/>
      <c r="CB38" s="119"/>
      <c r="CC38" s="124"/>
      <c r="CD38" s="113"/>
      <c r="CE38" s="41"/>
      <c r="CF38" s="67"/>
      <c r="CG38" s="104"/>
      <c r="CH38" s="119"/>
      <c r="CI38" s="124"/>
      <c r="CJ38" s="113"/>
      <c r="CK38" s="41"/>
      <c r="CL38" s="67"/>
      <c r="CM38" s="72"/>
      <c r="CN38" s="119"/>
      <c r="CO38" s="124"/>
      <c r="CP38" s="113"/>
      <c r="CQ38" s="41"/>
      <c r="CR38" s="67"/>
      <c r="CS38" s="72"/>
      <c r="CT38" s="119"/>
      <c r="CU38" s="124"/>
      <c r="CV38" s="113"/>
      <c r="CW38" s="41"/>
      <c r="CX38" s="67"/>
      <c r="CY38" s="72"/>
      <c r="CZ38" s="119"/>
      <c r="DA38" s="124"/>
      <c r="DB38" s="113"/>
      <c r="DC38" s="41"/>
      <c r="DD38" s="67"/>
      <c r="DE38" s="72"/>
      <c r="DF38" s="119"/>
      <c r="DG38" s="124"/>
      <c r="DH38" s="113"/>
      <c r="DI38" s="41"/>
      <c r="DJ38" s="67"/>
      <c r="DK38" s="72"/>
      <c r="DL38" s="119"/>
      <c r="DM38" s="148"/>
      <c r="DN38" s="41"/>
      <c r="DO38" s="67"/>
      <c r="DP38" s="72"/>
      <c r="DQ38" s="119"/>
      <c r="DR38" s="45"/>
      <c r="DS38" s="41"/>
      <c r="DT38" s="67"/>
      <c r="DU38" s="104"/>
      <c r="DV38" s="119"/>
      <c r="DW38" s="124"/>
      <c r="DX38" s="113"/>
      <c r="DY38" s="41"/>
      <c r="DZ38" s="67"/>
      <c r="EA38" s="72"/>
      <c r="EB38" s="119"/>
      <c r="EC38" s="124"/>
      <c r="ED38" s="113"/>
      <c r="EE38" s="41"/>
      <c r="EF38" s="67"/>
      <c r="EG38" s="72"/>
      <c r="EH38" s="192"/>
      <c r="EI38" s="148"/>
      <c r="EJ38" s="41"/>
      <c r="EK38" s="67"/>
      <c r="EL38" s="104"/>
      <c r="EM38" s="148"/>
      <c r="EN38" s="41"/>
      <c r="EO38" s="67"/>
      <c r="EP38" s="72"/>
      <c r="EQ38" s="45"/>
      <c r="ER38" s="41"/>
      <c r="ES38" s="67"/>
      <c r="ET38" s="104"/>
      <c r="EU38" s="124"/>
      <c r="EV38" s="169"/>
      <c r="EW38" s="87"/>
      <c r="EX38" s="248"/>
      <c r="EY38" s="87"/>
      <c r="EZ38" s="91"/>
      <c r="FA38" s="41"/>
      <c r="FB38" s="67"/>
      <c r="FC38" s="104"/>
      <c r="FD38" s="124"/>
      <c r="FE38" s="169"/>
      <c r="FF38" s="87"/>
      <c r="FG38" s="72"/>
      <c r="FH38" s="45"/>
      <c r="FI38" s="41"/>
      <c r="FJ38" s="67"/>
      <c r="FK38" s="104"/>
      <c r="FL38" s="45"/>
      <c r="FM38" s="41"/>
      <c r="FN38" s="148"/>
      <c r="FO38" s="208"/>
      <c r="FP38" s="208"/>
      <c r="FQ38" s="41"/>
      <c r="FR38" s="67"/>
      <c r="FS38" s="104"/>
      <c r="FT38" s="113"/>
      <c r="FU38" s="87"/>
      <c r="FV38" s="104"/>
      <c r="FW38" s="148"/>
      <c r="FX38" s="33"/>
      <c r="FY38" s="124"/>
      <c r="FZ38" s="113"/>
      <c r="GA38" s="87"/>
      <c r="GB38" s="104"/>
      <c r="GC38" s="155"/>
      <c r="GD38" s="113"/>
      <c r="GE38" s="87"/>
      <c r="GF38" s="148"/>
      <c r="GG38" s="208"/>
      <c r="GH38" s="104"/>
      <c r="GI38" s="248"/>
      <c r="GJ38" s="200"/>
      <c r="GK38" s="77"/>
      <c r="GL38" s="41"/>
      <c r="GM38" s="91"/>
      <c r="GN38" s="108"/>
      <c r="GO38" s="108"/>
      <c r="GP38" s="41"/>
      <c r="GQ38" s="91"/>
      <c r="GR38" s="49"/>
      <c r="GS38" s="108"/>
      <c r="GT38" s="108"/>
      <c r="GU38" s="108"/>
      <c r="GV38" s="41"/>
      <c r="GW38" s="91"/>
      <c r="GX38" s="104"/>
      <c r="GY38" s="41"/>
      <c r="GZ38" s="104"/>
      <c r="HA38" s="113"/>
      <c r="HB38" s="274"/>
      <c r="HC38" s="41"/>
      <c r="HD38" s="91"/>
      <c r="HE38" s="41"/>
      <c r="HF38" s="77"/>
      <c r="HG38" s="41"/>
      <c r="HH38" s="104"/>
      <c r="HI38" s="152"/>
      <c r="HJ38" s="77"/>
      <c r="HK38" s="49"/>
      <c r="HL38" s="41"/>
      <c r="HM38" s="104"/>
      <c r="HN38" s="113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1"/>
      <c r="IJ38" s="260"/>
      <c r="IK38" s="261"/>
    </row>
    <row r="39" spans="1:257" x14ac:dyDescent="0.25">
      <c r="A39" s="129">
        <v>44335</v>
      </c>
      <c r="B39" s="18" t="s">
        <v>12</v>
      </c>
      <c r="C39" s="21">
        <f t="shared" si="4"/>
        <v>-135.22499999999999</v>
      </c>
      <c r="D39" s="143"/>
      <c r="E39" s="143"/>
      <c r="F39" s="143"/>
      <c r="G39" s="143"/>
      <c r="H39" s="82"/>
      <c r="I39" s="82"/>
      <c r="J39" s="108"/>
      <c r="K39" s="41"/>
      <c r="L39" s="67"/>
      <c r="M39" s="91"/>
      <c r="N39" s="41"/>
      <c r="O39" s="372"/>
      <c r="P39" s="104"/>
      <c r="Q39" s="161"/>
      <c r="R39" s="113"/>
      <c r="S39" s="72"/>
      <c r="T39" s="41"/>
      <c r="U39" s="67"/>
      <c r="V39" s="72"/>
      <c r="W39" s="161"/>
      <c r="X39" s="41"/>
      <c r="Y39" s="67"/>
      <c r="Z39" s="77"/>
      <c r="AA39" s="41"/>
      <c r="AB39" s="67"/>
      <c r="AC39" s="72"/>
      <c r="AD39" s="113"/>
      <c r="AE39" s="41"/>
      <c r="AF39" s="67"/>
      <c r="AG39" s="104"/>
      <c r="AH39" s="119"/>
      <c r="AI39" s="124"/>
      <c r="AJ39" s="161"/>
      <c r="AK39" s="241"/>
      <c r="AL39" s="41"/>
      <c r="AM39" s="67"/>
      <c r="AN39" s="72"/>
      <c r="AO39" s="45"/>
      <c r="AP39" s="41"/>
      <c r="AQ39" s="67"/>
      <c r="AR39" s="72"/>
      <c r="AS39" s="119"/>
      <c r="AT39" s="45"/>
      <c r="AU39" s="41"/>
      <c r="AV39" s="67">
        <v>-34.229999999999997</v>
      </c>
      <c r="AW39" s="72"/>
      <c r="AX39" s="119"/>
      <c r="AY39" s="124"/>
      <c r="AZ39" s="113"/>
      <c r="BA39" s="41"/>
      <c r="BB39" s="67">
        <v>-34.005000000000003</v>
      </c>
      <c r="BC39" s="72"/>
      <c r="BD39" s="119"/>
      <c r="BE39" s="124"/>
      <c r="BF39" s="113"/>
      <c r="BG39" s="41"/>
      <c r="BH39" s="67">
        <v>-33.68</v>
      </c>
      <c r="BI39" s="104"/>
      <c r="BJ39" s="119"/>
      <c r="BK39" s="124"/>
      <c r="BL39" s="113"/>
      <c r="BM39" s="87"/>
      <c r="BN39" s="67">
        <v>-33.31</v>
      </c>
      <c r="BO39" s="72"/>
      <c r="BP39" s="119"/>
      <c r="BQ39" s="124"/>
      <c r="BR39" s="113"/>
      <c r="BS39" s="41"/>
      <c r="BT39" s="67"/>
      <c r="BU39" s="104"/>
      <c r="BV39" s="119"/>
      <c r="BW39" s="124"/>
      <c r="BX39" s="113"/>
      <c r="BY39" s="41"/>
      <c r="BZ39" s="67"/>
      <c r="CA39" s="104"/>
      <c r="CB39" s="119"/>
      <c r="CC39" s="124"/>
      <c r="CD39" s="113"/>
      <c r="CE39" s="41"/>
      <c r="CF39" s="67"/>
      <c r="CG39" s="104"/>
      <c r="CH39" s="119"/>
      <c r="CI39" s="124"/>
      <c r="CJ39" s="113"/>
      <c r="CK39" s="41"/>
      <c r="CL39" s="67"/>
      <c r="CM39" s="72"/>
      <c r="CN39" s="119"/>
      <c r="CO39" s="124"/>
      <c r="CP39" s="113"/>
      <c r="CQ39" s="41"/>
      <c r="CR39" s="67"/>
      <c r="CS39" s="72"/>
      <c r="CT39" s="119"/>
      <c r="CU39" s="124"/>
      <c r="CV39" s="113"/>
      <c r="CW39" s="41"/>
      <c r="CX39" s="67"/>
      <c r="CY39" s="72"/>
      <c r="CZ39" s="119"/>
      <c r="DA39" s="124"/>
      <c r="DB39" s="113"/>
      <c r="DC39" s="41"/>
      <c r="DD39" s="67"/>
      <c r="DE39" s="72"/>
      <c r="DF39" s="119"/>
      <c r="DG39" s="124"/>
      <c r="DH39" s="113"/>
      <c r="DI39" s="41"/>
      <c r="DJ39" s="67"/>
      <c r="DK39" s="72"/>
      <c r="DL39" s="119"/>
      <c r="DM39" s="148"/>
      <c r="DN39" s="41"/>
      <c r="DO39" s="67"/>
      <c r="DP39" s="72"/>
      <c r="DQ39" s="119"/>
      <c r="DR39" s="45"/>
      <c r="DS39" s="41"/>
      <c r="DT39" s="67"/>
      <c r="DU39" s="104"/>
      <c r="DV39" s="119"/>
      <c r="DW39" s="124"/>
      <c r="DX39" s="113"/>
      <c r="DY39" s="41"/>
      <c r="DZ39" s="67"/>
      <c r="EA39" s="72"/>
      <c r="EB39" s="119"/>
      <c r="EC39" s="124"/>
      <c r="ED39" s="113"/>
      <c r="EE39" s="41"/>
      <c r="EF39" s="67"/>
      <c r="EG39" s="72"/>
      <c r="EH39" s="192"/>
      <c r="EI39" s="148"/>
      <c r="EJ39" s="41"/>
      <c r="EK39" s="67"/>
      <c r="EL39" s="104"/>
      <c r="EM39" s="148"/>
      <c r="EN39" s="41"/>
      <c r="EO39" s="67"/>
      <c r="EP39" s="72"/>
      <c r="EQ39" s="45"/>
      <c r="ER39" s="41"/>
      <c r="ES39" s="67"/>
      <c r="ET39" s="104"/>
      <c r="EU39" s="124"/>
      <c r="EV39" s="169"/>
      <c r="EW39" s="87"/>
      <c r="EX39" s="248"/>
      <c r="EY39" s="87"/>
      <c r="EZ39" s="91"/>
      <c r="FA39" s="41"/>
      <c r="FB39" s="67"/>
      <c r="FC39" s="104"/>
      <c r="FD39" s="124"/>
      <c r="FE39" s="169"/>
      <c r="FF39" s="87"/>
      <c r="FG39" s="72"/>
      <c r="FH39" s="45"/>
      <c r="FI39" s="41"/>
      <c r="FJ39" s="67"/>
      <c r="FK39" s="104"/>
      <c r="FL39" s="45"/>
      <c r="FM39" s="41"/>
      <c r="FN39" s="148"/>
      <c r="FO39" s="208"/>
      <c r="FP39" s="208"/>
      <c r="FQ39" s="41"/>
      <c r="FR39" s="67"/>
      <c r="FS39" s="104"/>
      <c r="FT39" s="113"/>
      <c r="FU39" s="87"/>
      <c r="FV39" s="104"/>
      <c r="FW39" s="148"/>
      <c r="FX39" s="33"/>
      <c r="FY39" s="124"/>
      <c r="FZ39" s="113"/>
      <c r="GA39" s="87"/>
      <c r="GB39" s="104"/>
      <c r="GC39" s="155"/>
      <c r="GD39" s="113"/>
      <c r="GE39" s="87"/>
      <c r="GF39" s="148"/>
      <c r="GG39" s="208"/>
      <c r="GH39" s="104"/>
      <c r="GI39" s="248"/>
      <c r="GJ39" s="200"/>
      <c r="GK39" s="77"/>
      <c r="GL39" s="41"/>
      <c r="GM39" s="91"/>
      <c r="GN39" s="108"/>
      <c r="GO39" s="108"/>
      <c r="GP39" s="41"/>
      <c r="GQ39" s="91"/>
      <c r="GR39" s="49"/>
      <c r="GS39" s="108"/>
      <c r="GT39" s="108"/>
      <c r="GU39" s="108"/>
      <c r="GV39" s="41"/>
      <c r="GW39" s="91"/>
      <c r="GX39" s="104"/>
      <c r="GY39" s="41"/>
      <c r="GZ39" s="104"/>
      <c r="HA39" s="113"/>
      <c r="HB39" s="274"/>
      <c r="HC39" s="41"/>
      <c r="HD39" s="91"/>
      <c r="HE39" s="41"/>
      <c r="HF39" s="77"/>
      <c r="HG39" s="41"/>
      <c r="HH39" s="104"/>
      <c r="HI39" s="152"/>
      <c r="HJ39" s="77"/>
      <c r="HK39" s="49"/>
      <c r="HL39" s="41"/>
      <c r="HM39" s="104"/>
      <c r="HN39" s="113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1"/>
      <c r="IJ39" s="260"/>
      <c r="IK39" s="261"/>
    </row>
    <row r="40" spans="1:257" x14ac:dyDescent="0.25">
      <c r="A40" s="129">
        <v>44335</v>
      </c>
      <c r="B40" s="18" t="s">
        <v>19</v>
      </c>
      <c r="C40" s="21">
        <f t="shared" si="4"/>
        <v>-43.155000000000001</v>
      </c>
      <c r="D40" s="143"/>
      <c r="E40" s="143"/>
      <c r="F40" s="143"/>
      <c r="G40" s="143"/>
      <c r="H40" s="82"/>
      <c r="I40" s="82"/>
      <c r="J40" s="108"/>
      <c r="K40" s="41"/>
      <c r="L40" s="67"/>
      <c r="M40" s="91"/>
      <c r="N40" s="41"/>
      <c r="O40" s="372"/>
      <c r="P40" s="104"/>
      <c r="Q40" s="161"/>
      <c r="R40" s="113"/>
      <c r="S40" s="72"/>
      <c r="T40" s="41"/>
      <c r="U40" s="67"/>
      <c r="V40" s="72"/>
      <c r="W40" s="161"/>
      <c r="X40" s="41"/>
      <c r="Y40" s="67"/>
      <c r="Z40" s="77"/>
      <c r="AA40" s="41"/>
      <c r="AB40" s="67"/>
      <c r="AC40" s="72"/>
      <c r="AD40" s="113"/>
      <c r="AE40" s="41"/>
      <c r="AF40" s="67"/>
      <c r="AG40" s="104"/>
      <c r="AH40" s="119"/>
      <c r="AI40" s="124"/>
      <c r="AJ40" s="161"/>
      <c r="AK40" s="241"/>
      <c r="AL40" s="41"/>
      <c r="AM40" s="67"/>
      <c r="AN40" s="72"/>
      <c r="AO40" s="45"/>
      <c r="AP40" s="41"/>
      <c r="AQ40" s="67"/>
      <c r="AR40" s="72"/>
      <c r="AS40" s="119"/>
      <c r="AT40" s="45"/>
      <c r="AU40" s="41"/>
      <c r="AV40" s="67"/>
      <c r="AW40" s="72"/>
      <c r="AX40" s="119"/>
      <c r="AY40" s="124"/>
      <c r="AZ40" s="113"/>
      <c r="BA40" s="41"/>
      <c r="BB40" s="67"/>
      <c r="BC40" s="72"/>
      <c r="BD40" s="119"/>
      <c r="BE40" s="124"/>
      <c r="BF40" s="113"/>
      <c r="BG40" s="41"/>
      <c r="BH40" s="67"/>
      <c r="BI40" s="104"/>
      <c r="BJ40" s="119"/>
      <c r="BK40" s="124"/>
      <c r="BL40" s="113"/>
      <c r="BM40" s="87"/>
      <c r="BN40" s="67"/>
      <c r="BO40" s="72"/>
      <c r="BP40" s="119"/>
      <c r="BQ40" s="124"/>
      <c r="BR40" s="113"/>
      <c r="BS40" s="41"/>
      <c r="BT40" s="67"/>
      <c r="BU40" s="104"/>
      <c r="BV40" s="119"/>
      <c r="BW40" s="124"/>
      <c r="BX40" s="113"/>
      <c r="BY40" s="41"/>
      <c r="BZ40" s="67"/>
      <c r="CA40" s="104"/>
      <c r="CB40" s="119"/>
      <c r="CC40" s="124"/>
      <c r="CD40" s="113"/>
      <c r="CE40" s="41"/>
      <c r="CF40" s="67"/>
      <c r="CG40" s="104"/>
      <c r="CH40" s="119"/>
      <c r="CI40" s="124"/>
      <c r="CJ40" s="113"/>
      <c r="CK40" s="41"/>
      <c r="CL40" s="67"/>
      <c r="CM40" s="72"/>
      <c r="CN40" s="119"/>
      <c r="CO40" s="124"/>
      <c r="CP40" s="113"/>
      <c r="CQ40" s="41"/>
      <c r="CR40" s="67"/>
      <c r="CS40" s="72"/>
      <c r="CT40" s="119"/>
      <c r="CU40" s="124"/>
      <c r="CV40" s="113"/>
      <c r="CW40" s="41"/>
      <c r="CX40" s="67"/>
      <c r="CY40" s="72"/>
      <c r="CZ40" s="119"/>
      <c r="DA40" s="124"/>
      <c r="DB40" s="113"/>
      <c r="DC40" s="41"/>
      <c r="DD40" s="67"/>
      <c r="DE40" s="72"/>
      <c r="DF40" s="119"/>
      <c r="DG40" s="124"/>
      <c r="DH40" s="113"/>
      <c r="DI40" s="41"/>
      <c r="DJ40" s="67"/>
      <c r="DK40" s="72"/>
      <c r="DL40" s="119"/>
      <c r="DM40" s="148"/>
      <c r="DN40" s="41"/>
      <c r="DO40" s="67"/>
      <c r="DP40" s="72"/>
      <c r="DQ40" s="119"/>
      <c r="DR40" s="45"/>
      <c r="DS40" s="41"/>
      <c r="DT40" s="67"/>
      <c r="DU40" s="104"/>
      <c r="DV40" s="119"/>
      <c r="DW40" s="124"/>
      <c r="DX40" s="113"/>
      <c r="DY40" s="41"/>
      <c r="DZ40" s="67"/>
      <c r="EA40" s="72"/>
      <c r="EB40" s="119"/>
      <c r="EC40" s="124"/>
      <c r="ED40" s="113"/>
      <c r="EE40" s="41"/>
      <c r="EF40" s="67"/>
      <c r="EG40" s="72"/>
      <c r="EH40" s="192"/>
      <c r="EI40" s="148"/>
      <c r="EJ40" s="41"/>
      <c r="EK40" s="67"/>
      <c r="EL40" s="104"/>
      <c r="EM40" s="148"/>
      <c r="EN40" s="41"/>
      <c r="EO40" s="67"/>
      <c r="EP40" s="72"/>
      <c r="EQ40" s="45"/>
      <c r="ER40" s="41"/>
      <c r="ES40" s="67"/>
      <c r="ET40" s="104"/>
      <c r="EU40" s="124"/>
      <c r="EV40" s="169"/>
      <c r="EW40" s="87"/>
      <c r="EX40" s="248"/>
      <c r="EY40" s="87"/>
      <c r="EZ40" s="91"/>
      <c r="FA40" s="41"/>
      <c r="FB40" s="67">
        <v>-43.155000000000001</v>
      </c>
      <c r="FC40" s="104"/>
      <c r="FD40" s="124"/>
      <c r="FE40" s="169"/>
      <c r="FF40" s="87"/>
      <c r="FG40" s="72"/>
      <c r="FH40" s="45"/>
      <c r="FI40" s="41"/>
      <c r="FJ40" s="67"/>
      <c r="FK40" s="104"/>
      <c r="FL40" s="45"/>
      <c r="FM40" s="41"/>
      <c r="FN40" s="148"/>
      <c r="FO40" s="208"/>
      <c r="FP40" s="208"/>
      <c r="FQ40" s="41"/>
      <c r="FR40" s="67"/>
      <c r="FS40" s="104"/>
      <c r="FT40" s="113"/>
      <c r="FU40" s="87"/>
      <c r="FV40" s="104"/>
      <c r="FW40" s="148"/>
      <c r="FX40" s="33"/>
      <c r="FY40" s="124"/>
      <c r="FZ40" s="113"/>
      <c r="GA40" s="87"/>
      <c r="GB40" s="104"/>
      <c r="GC40" s="155"/>
      <c r="GD40" s="113"/>
      <c r="GE40" s="87"/>
      <c r="GF40" s="148"/>
      <c r="GG40" s="208"/>
      <c r="GH40" s="104"/>
      <c r="GI40" s="248"/>
      <c r="GJ40" s="200"/>
      <c r="GK40" s="77"/>
      <c r="GL40" s="41"/>
      <c r="GM40" s="91"/>
      <c r="GN40" s="108"/>
      <c r="GO40" s="108"/>
      <c r="GP40" s="41"/>
      <c r="GQ40" s="91"/>
      <c r="GR40" s="49"/>
      <c r="GS40" s="108"/>
      <c r="GT40" s="108"/>
      <c r="GU40" s="108"/>
      <c r="GV40" s="41"/>
      <c r="GW40" s="91"/>
      <c r="GX40" s="104"/>
      <c r="GY40" s="41"/>
      <c r="GZ40" s="104"/>
      <c r="HA40" s="113"/>
      <c r="HB40" s="274"/>
      <c r="HC40" s="41"/>
      <c r="HD40" s="91"/>
      <c r="HE40" s="41"/>
      <c r="HF40" s="77"/>
      <c r="HG40" s="41"/>
      <c r="HH40" s="104"/>
      <c r="HI40" s="152"/>
      <c r="HJ40" s="77"/>
      <c r="HK40" s="49"/>
      <c r="HL40" s="41"/>
      <c r="HM40" s="104"/>
      <c r="HN40" s="113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1"/>
      <c r="IJ40" s="260"/>
      <c r="IK40" s="261"/>
    </row>
    <row r="41" spans="1:257" x14ac:dyDescent="0.25">
      <c r="A41" s="129">
        <v>44335</v>
      </c>
      <c r="B41" s="18" t="s">
        <v>35</v>
      </c>
      <c r="C41" s="21">
        <f t="shared" si="4"/>
        <v>-168.755</v>
      </c>
      <c r="D41" s="143"/>
      <c r="E41" s="143"/>
      <c r="F41" s="143"/>
      <c r="G41" s="143"/>
      <c r="H41" s="82"/>
      <c r="I41" s="82"/>
      <c r="J41" s="108"/>
      <c r="K41" s="41"/>
      <c r="L41" s="67"/>
      <c r="M41" s="91"/>
      <c r="N41" s="41"/>
      <c r="O41" s="372"/>
      <c r="P41" s="104"/>
      <c r="Q41" s="161"/>
      <c r="R41" s="113"/>
      <c r="S41" s="72"/>
      <c r="T41" s="41"/>
      <c r="U41" s="67"/>
      <c r="V41" s="72"/>
      <c r="W41" s="161"/>
      <c r="X41" s="41"/>
      <c r="Y41" s="67"/>
      <c r="Z41" s="77"/>
      <c r="AA41" s="41"/>
      <c r="AB41" s="67"/>
      <c r="AC41" s="72"/>
      <c r="AD41" s="113"/>
      <c r="AE41" s="41"/>
      <c r="AF41" s="67">
        <v>-33.484999999999999</v>
      </c>
      <c r="AG41" s="104"/>
      <c r="AH41" s="119"/>
      <c r="AI41" s="124"/>
      <c r="AJ41" s="161"/>
      <c r="AK41" s="241"/>
      <c r="AL41" s="41"/>
      <c r="AM41" s="67"/>
      <c r="AN41" s="72"/>
      <c r="AO41" s="45"/>
      <c r="AP41" s="41"/>
      <c r="AQ41" s="67"/>
      <c r="AR41" s="72"/>
      <c r="AS41" s="119"/>
      <c r="AT41" s="45"/>
      <c r="AU41" s="41"/>
      <c r="AV41" s="67">
        <v>-34.274999999999999</v>
      </c>
      <c r="AW41" s="72"/>
      <c r="AX41" s="119"/>
      <c r="AY41" s="124"/>
      <c r="AZ41" s="113"/>
      <c r="BA41" s="41"/>
      <c r="BB41" s="67">
        <v>-33.954999999999998</v>
      </c>
      <c r="BC41" s="72"/>
      <c r="BD41" s="119"/>
      <c r="BE41" s="124"/>
      <c r="BF41" s="113"/>
      <c r="BG41" s="41"/>
      <c r="BH41" s="67">
        <v>-33.585000000000001</v>
      </c>
      <c r="BI41" s="104"/>
      <c r="BJ41" s="119"/>
      <c r="BK41" s="124"/>
      <c r="BL41" s="113"/>
      <c r="BM41" s="87"/>
      <c r="BN41" s="67"/>
      <c r="BO41" s="72"/>
      <c r="BP41" s="119"/>
      <c r="BQ41" s="124"/>
      <c r="BR41" s="113"/>
      <c r="BS41" s="41"/>
      <c r="BT41" s="67">
        <v>-33.454999999999998</v>
      </c>
      <c r="BU41" s="104"/>
      <c r="BV41" s="119"/>
      <c r="BW41" s="124"/>
      <c r="BX41" s="113"/>
      <c r="BY41" s="41"/>
      <c r="BZ41" s="67"/>
      <c r="CA41" s="104"/>
      <c r="CB41" s="119"/>
      <c r="CC41" s="124"/>
      <c r="CD41" s="113"/>
      <c r="CE41" s="41"/>
      <c r="CF41" s="67"/>
      <c r="CG41" s="104"/>
      <c r="CH41" s="119"/>
      <c r="CI41" s="124"/>
      <c r="CJ41" s="113"/>
      <c r="CK41" s="41"/>
      <c r="CL41" s="67"/>
      <c r="CM41" s="72"/>
      <c r="CN41" s="119"/>
      <c r="CO41" s="124"/>
      <c r="CP41" s="113"/>
      <c r="CQ41" s="41"/>
      <c r="CR41" s="67"/>
      <c r="CS41" s="72"/>
      <c r="CT41" s="119"/>
      <c r="CU41" s="124"/>
      <c r="CV41" s="113"/>
      <c r="CW41" s="41"/>
      <c r="CX41" s="67"/>
      <c r="CY41" s="72"/>
      <c r="CZ41" s="119"/>
      <c r="DA41" s="124"/>
      <c r="DB41" s="113"/>
      <c r="DC41" s="41"/>
      <c r="DD41" s="67"/>
      <c r="DE41" s="72"/>
      <c r="DF41" s="119"/>
      <c r="DG41" s="124"/>
      <c r="DH41" s="113"/>
      <c r="DI41" s="41"/>
      <c r="DJ41" s="67"/>
      <c r="DK41" s="72"/>
      <c r="DL41" s="119"/>
      <c r="DM41" s="148"/>
      <c r="DN41" s="41"/>
      <c r="DO41" s="67"/>
      <c r="DP41" s="72"/>
      <c r="DQ41" s="119"/>
      <c r="DR41" s="45"/>
      <c r="DS41" s="41"/>
      <c r="DT41" s="67"/>
      <c r="DU41" s="104"/>
      <c r="DV41" s="119"/>
      <c r="DW41" s="124"/>
      <c r="DX41" s="113"/>
      <c r="DY41" s="41"/>
      <c r="DZ41" s="67"/>
      <c r="EA41" s="72"/>
      <c r="EB41" s="119"/>
      <c r="EC41" s="124"/>
      <c r="ED41" s="113"/>
      <c r="EE41" s="41"/>
      <c r="EF41" s="67"/>
      <c r="EG41" s="72"/>
      <c r="EH41" s="192"/>
      <c r="EI41" s="148"/>
      <c r="EJ41" s="41"/>
      <c r="EK41" s="67"/>
      <c r="EL41" s="104"/>
      <c r="EM41" s="148"/>
      <c r="EN41" s="41"/>
      <c r="EO41" s="67"/>
      <c r="EP41" s="72"/>
      <c r="EQ41" s="45"/>
      <c r="ER41" s="41"/>
      <c r="ES41" s="67"/>
      <c r="ET41" s="104"/>
      <c r="EU41" s="124"/>
      <c r="EV41" s="169"/>
      <c r="EW41" s="87"/>
      <c r="EX41" s="248"/>
      <c r="EY41" s="87"/>
      <c r="EZ41" s="91"/>
      <c r="FA41" s="41"/>
      <c r="FB41" s="67"/>
      <c r="FC41" s="104"/>
      <c r="FD41" s="124"/>
      <c r="FE41" s="169"/>
      <c r="FF41" s="87"/>
      <c r="FG41" s="72"/>
      <c r="FH41" s="45"/>
      <c r="FI41" s="41"/>
      <c r="FJ41" s="67"/>
      <c r="FK41" s="104"/>
      <c r="FL41" s="45"/>
      <c r="FM41" s="41"/>
      <c r="FN41" s="148"/>
      <c r="FO41" s="208"/>
      <c r="FP41" s="208"/>
      <c r="FQ41" s="41"/>
      <c r="FR41" s="67"/>
      <c r="FS41" s="104"/>
      <c r="FT41" s="113"/>
      <c r="FU41" s="87"/>
      <c r="FV41" s="104"/>
      <c r="FW41" s="148"/>
      <c r="FX41" s="33"/>
      <c r="FY41" s="124"/>
      <c r="FZ41" s="113"/>
      <c r="GA41" s="87"/>
      <c r="GB41" s="104"/>
      <c r="GC41" s="155"/>
      <c r="GD41" s="113"/>
      <c r="GE41" s="87"/>
      <c r="GF41" s="148"/>
      <c r="GG41" s="208"/>
      <c r="GH41" s="104"/>
      <c r="GI41" s="248"/>
      <c r="GJ41" s="200"/>
      <c r="GK41" s="77"/>
      <c r="GL41" s="41"/>
      <c r="GM41" s="91"/>
      <c r="GN41" s="108"/>
      <c r="GO41" s="108"/>
      <c r="GP41" s="41"/>
      <c r="GQ41" s="91"/>
      <c r="GR41" s="49"/>
      <c r="GS41" s="108"/>
      <c r="GT41" s="108"/>
      <c r="GU41" s="108"/>
      <c r="GV41" s="41"/>
      <c r="GW41" s="91"/>
      <c r="GX41" s="104"/>
      <c r="GY41" s="41"/>
      <c r="GZ41" s="104"/>
      <c r="HA41" s="113"/>
      <c r="HB41" s="274"/>
      <c r="HC41" s="41"/>
      <c r="HD41" s="91"/>
      <c r="HE41" s="41"/>
      <c r="HF41" s="77"/>
      <c r="HG41" s="41"/>
      <c r="HH41" s="104"/>
      <c r="HI41" s="152"/>
      <c r="HJ41" s="77"/>
      <c r="HK41" s="49"/>
      <c r="HL41" s="41"/>
      <c r="HM41" s="104"/>
      <c r="HN41" s="113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1"/>
      <c r="IJ41" s="260"/>
      <c r="IK41" s="261"/>
    </row>
    <row r="42" spans="1:257" x14ac:dyDescent="0.25">
      <c r="A42" s="129">
        <v>44335</v>
      </c>
      <c r="B42" s="18" t="s">
        <v>15</v>
      </c>
      <c r="C42" s="21">
        <f t="shared" si="4"/>
        <v>-742.01</v>
      </c>
      <c r="D42" s="143"/>
      <c r="E42" s="143"/>
      <c r="F42" s="143"/>
      <c r="G42" s="143"/>
      <c r="H42" s="82"/>
      <c r="I42" s="82"/>
      <c r="J42" s="108"/>
      <c r="K42" s="41"/>
      <c r="L42" s="67"/>
      <c r="M42" s="91"/>
      <c r="N42" s="41"/>
      <c r="O42" s="372"/>
      <c r="P42" s="104"/>
      <c r="Q42" s="161"/>
      <c r="R42" s="113"/>
      <c r="S42" s="72"/>
      <c r="T42" s="41"/>
      <c r="U42" s="67">
        <v>-34.094999999999999</v>
      </c>
      <c r="V42" s="72"/>
      <c r="W42" s="161"/>
      <c r="X42" s="41"/>
      <c r="Y42" s="67">
        <v>-34.465000000000003</v>
      </c>
      <c r="Z42" s="77"/>
      <c r="AA42" s="41"/>
      <c r="AB42" s="67">
        <v>-33.795000000000002</v>
      </c>
      <c r="AC42" s="72"/>
      <c r="AD42" s="113"/>
      <c r="AE42" s="41"/>
      <c r="AF42" s="67">
        <v>-33.47</v>
      </c>
      <c r="AG42" s="104"/>
      <c r="AH42" s="119"/>
      <c r="AI42" s="124"/>
      <c r="AJ42" s="161"/>
      <c r="AK42" s="241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19"/>
      <c r="AT42" s="45"/>
      <c r="AU42" s="41"/>
      <c r="AV42" s="67"/>
      <c r="AW42" s="72"/>
      <c r="AX42" s="119"/>
      <c r="AY42" s="124"/>
      <c r="AZ42" s="113"/>
      <c r="BA42" s="41"/>
      <c r="BB42" s="67">
        <v>-101.89</v>
      </c>
      <c r="BC42" s="72"/>
      <c r="BD42" s="119"/>
      <c r="BE42" s="124"/>
      <c r="BF42" s="113"/>
      <c r="BG42" s="41"/>
      <c r="BH42" s="67"/>
      <c r="BI42" s="104"/>
      <c r="BJ42" s="119"/>
      <c r="BK42" s="124"/>
      <c r="BL42" s="113"/>
      <c r="BM42" s="87"/>
      <c r="BN42" s="67">
        <v>-33.28</v>
      </c>
      <c r="BO42" s="72"/>
      <c r="BP42" s="119"/>
      <c r="BQ42" s="124"/>
      <c r="BR42" s="113"/>
      <c r="BS42" s="41">
        <v>-70.09</v>
      </c>
      <c r="BT42" s="67"/>
      <c r="BU42" s="104"/>
      <c r="BV42" s="119"/>
      <c r="BW42" s="124"/>
      <c r="BX42" s="113"/>
      <c r="BY42" s="41"/>
      <c r="BZ42" s="67">
        <v>-67.36</v>
      </c>
      <c r="CA42" s="104"/>
      <c r="CB42" s="119"/>
      <c r="CC42" s="124"/>
      <c r="CD42" s="113"/>
      <c r="CE42" s="41"/>
      <c r="CF42" s="67">
        <v>-101.49</v>
      </c>
      <c r="CG42" s="104"/>
      <c r="CH42" s="119"/>
      <c r="CI42" s="124"/>
      <c r="CJ42" s="113"/>
      <c r="CK42" s="41"/>
      <c r="CL42" s="67">
        <v>-33.56</v>
      </c>
      <c r="CM42" s="72"/>
      <c r="CN42" s="119"/>
      <c r="CO42" s="124"/>
      <c r="CP42" s="113"/>
      <c r="CQ42" s="41"/>
      <c r="CR42" s="67">
        <v>-66.594999999999999</v>
      </c>
      <c r="CS42" s="72"/>
      <c r="CT42" s="119"/>
      <c r="CU42" s="124"/>
      <c r="CV42" s="113"/>
      <c r="CW42" s="41"/>
      <c r="CX42" s="67"/>
      <c r="CY42" s="72"/>
      <c r="CZ42" s="119"/>
      <c r="DA42" s="124"/>
      <c r="DB42" s="113"/>
      <c r="DC42" s="41"/>
      <c r="DD42" s="67"/>
      <c r="DE42" s="72"/>
      <c r="DF42" s="119"/>
      <c r="DG42" s="124"/>
      <c r="DH42" s="113"/>
      <c r="DI42" s="41"/>
      <c r="DJ42" s="67"/>
      <c r="DK42" s="72"/>
      <c r="DL42" s="119"/>
      <c r="DM42" s="148"/>
      <c r="DN42" s="41"/>
      <c r="DO42" s="67"/>
      <c r="DP42" s="72"/>
      <c r="DQ42" s="119"/>
      <c r="DR42" s="45"/>
      <c r="DS42" s="41"/>
      <c r="DT42" s="67"/>
      <c r="DU42" s="104"/>
      <c r="DV42" s="119"/>
      <c r="DW42" s="124"/>
      <c r="DX42" s="113"/>
      <c r="DY42" s="41"/>
      <c r="DZ42" s="67"/>
      <c r="EA42" s="72"/>
      <c r="EB42" s="119"/>
      <c r="EC42" s="124"/>
      <c r="ED42" s="113"/>
      <c r="EE42" s="41"/>
      <c r="EF42" s="67"/>
      <c r="EG42" s="72"/>
      <c r="EH42" s="192"/>
      <c r="EI42" s="148"/>
      <c r="EJ42" s="41"/>
      <c r="EK42" s="67"/>
      <c r="EL42" s="104"/>
      <c r="EM42" s="148"/>
      <c r="EN42" s="41"/>
      <c r="EO42" s="67"/>
      <c r="EP42" s="72"/>
      <c r="EQ42" s="45"/>
      <c r="ER42" s="41"/>
      <c r="ES42" s="67"/>
      <c r="ET42" s="104"/>
      <c r="EU42" s="124"/>
      <c r="EV42" s="169"/>
      <c r="EW42" s="87"/>
      <c r="EX42" s="248"/>
      <c r="EY42" s="87"/>
      <c r="EZ42" s="91"/>
      <c r="FA42" s="41"/>
      <c r="FB42" s="67"/>
      <c r="FC42" s="104"/>
      <c r="FD42" s="124"/>
      <c r="FE42" s="169"/>
      <c r="FF42" s="87"/>
      <c r="FG42" s="72"/>
      <c r="FH42" s="45"/>
      <c r="FI42" s="41"/>
      <c r="FJ42" s="67"/>
      <c r="FK42" s="104"/>
      <c r="FL42" s="45"/>
      <c r="FM42" s="41"/>
      <c r="FN42" s="148"/>
      <c r="FO42" s="208"/>
      <c r="FP42" s="208"/>
      <c r="FQ42" s="41"/>
      <c r="FR42" s="67"/>
      <c r="FS42" s="104"/>
      <c r="FT42" s="113"/>
      <c r="FU42" s="87"/>
      <c r="FV42" s="104"/>
      <c r="FW42" s="148"/>
      <c r="FX42" s="33"/>
      <c r="FY42" s="124"/>
      <c r="FZ42" s="113"/>
      <c r="GA42" s="87"/>
      <c r="GB42" s="104"/>
      <c r="GC42" s="155"/>
      <c r="GD42" s="113"/>
      <c r="GE42" s="87"/>
      <c r="GF42" s="148"/>
      <c r="GG42" s="208"/>
      <c r="GH42" s="104"/>
      <c r="GI42" s="248"/>
      <c r="GJ42" s="200"/>
      <c r="GK42" s="77"/>
      <c r="GL42" s="41"/>
      <c r="GM42" s="91"/>
      <c r="GN42" s="108"/>
      <c r="GO42" s="108"/>
      <c r="GP42" s="41"/>
      <c r="GQ42" s="91"/>
      <c r="GR42" s="49"/>
      <c r="GS42" s="108"/>
      <c r="GT42" s="108"/>
      <c r="GU42" s="108"/>
      <c r="GV42" s="41"/>
      <c r="GW42" s="91"/>
      <c r="GX42" s="104"/>
      <c r="GY42" s="41"/>
      <c r="GZ42" s="104"/>
      <c r="HA42" s="113"/>
      <c r="HB42" s="274"/>
      <c r="HC42" s="41"/>
      <c r="HD42" s="91"/>
      <c r="HE42" s="41"/>
      <c r="HF42" s="77"/>
      <c r="HG42" s="41"/>
      <c r="HH42" s="104"/>
      <c r="HI42" s="152"/>
      <c r="HJ42" s="77"/>
      <c r="HK42" s="49"/>
      <c r="HL42" s="41"/>
      <c r="HM42" s="104"/>
      <c r="HN42" s="113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1"/>
      <c r="IJ42" s="260"/>
      <c r="IK42" s="261"/>
    </row>
    <row r="43" spans="1:257" s="27" customFormat="1" ht="15" customHeight="1" x14ac:dyDescent="0.25">
      <c r="A43" s="130">
        <v>44336</v>
      </c>
      <c r="B43" s="20" t="s">
        <v>33</v>
      </c>
      <c r="C43" s="22">
        <f t="shared" si="4"/>
        <v>-8.5350000000000001</v>
      </c>
      <c r="D43" s="143"/>
      <c r="E43" s="143"/>
      <c r="F43" s="143"/>
      <c r="G43" s="143"/>
      <c r="H43" s="82"/>
      <c r="I43" s="82"/>
      <c r="J43" s="108"/>
      <c r="K43" s="41"/>
      <c r="L43" s="67"/>
      <c r="M43" s="91"/>
      <c r="N43" s="41"/>
      <c r="O43" s="372"/>
      <c r="P43" s="104"/>
      <c r="Q43" s="161"/>
      <c r="R43" s="113"/>
      <c r="S43" s="72"/>
      <c r="T43" s="41"/>
      <c r="U43" s="67"/>
      <c r="V43" s="72"/>
      <c r="W43" s="161"/>
      <c r="X43" s="41"/>
      <c r="Y43" s="67"/>
      <c r="Z43" s="77"/>
      <c r="AA43" s="41"/>
      <c r="AB43" s="67"/>
      <c r="AC43" s="72"/>
      <c r="AD43" s="113"/>
      <c r="AE43" s="41"/>
      <c r="AF43" s="67"/>
      <c r="AG43" s="104"/>
      <c r="AH43" s="119"/>
      <c r="AI43" s="124"/>
      <c r="AJ43" s="161"/>
      <c r="AK43" s="241"/>
      <c r="AL43" s="41"/>
      <c r="AM43" s="67"/>
      <c r="AN43" s="72"/>
      <c r="AO43" s="45"/>
      <c r="AP43" s="41"/>
      <c r="AQ43" s="67"/>
      <c r="AR43" s="72"/>
      <c r="AS43" s="119"/>
      <c r="AT43" s="45"/>
      <c r="AU43" s="41"/>
      <c r="AV43" s="67">
        <v>-8.5350000000000001</v>
      </c>
      <c r="AW43" s="72"/>
      <c r="AX43" s="119"/>
      <c r="AY43" s="124"/>
      <c r="AZ43" s="113"/>
      <c r="BA43" s="41"/>
      <c r="BB43" s="67"/>
      <c r="BC43" s="72"/>
      <c r="BD43" s="119"/>
      <c r="BE43" s="124"/>
      <c r="BF43" s="113"/>
      <c r="BG43" s="41"/>
      <c r="BH43" s="67"/>
      <c r="BI43" s="104"/>
      <c r="BJ43" s="119"/>
      <c r="BK43" s="124"/>
      <c r="BL43" s="113"/>
      <c r="BM43" s="87"/>
      <c r="BN43" s="67"/>
      <c r="BO43" s="72"/>
      <c r="BP43" s="119"/>
      <c r="BQ43" s="124"/>
      <c r="BR43" s="113"/>
      <c r="BS43" s="41"/>
      <c r="BT43" s="67"/>
      <c r="BU43" s="104"/>
      <c r="BV43" s="119"/>
      <c r="BW43" s="124"/>
      <c r="BX43" s="113"/>
      <c r="BY43" s="41"/>
      <c r="BZ43" s="67"/>
      <c r="CA43" s="104"/>
      <c r="CB43" s="119"/>
      <c r="CC43" s="124"/>
      <c r="CD43" s="113"/>
      <c r="CE43" s="41"/>
      <c r="CF43" s="67"/>
      <c r="CG43" s="104"/>
      <c r="CH43" s="119"/>
      <c r="CI43" s="124"/>
      <c r="CJ43" s="113"/>
      <c r="CK43" s="41"/>
      <c r="CL43" s="67"/>
      <c r="CM43" s="72"/>
      <c r="CN43" s="119"/>
      <c r="CO43" s="124"/>
      <c r="CP43" s="113"/>
      <c r="CQ43" s="41"/>
      <c r="CR43" s="67"/>
      <c r="CS43" s="72"/>
      <c r="CT43" s="119"/>
      <c r="CU43" s="124"/>
      <c r="CV43" s="113"/>
      <c r="CW43" s="41"/>
      <c r="CX43" s="67"/>
      <c r="CY43" s="72"/>
      <c r="CZ43" s="119"/>
      <c r="DA43" s="124"/>
      <c r="DB43" s="113"/>
      <c r="DC43" s="41"/>
      <c r="DD43" s="67"/>
      <c r="DE43" s="72"/>
      <c r="DF43" s="119"/>
      <c r="DG43" s="124"/>
      <c r="DH43" s="113"/>
      <c r="DI43" s="41"/>
      <c r="DJ43" s="67"/>
      <c r="DK43" s="72"/>
      <c r="DL43" s="119"/>
      <c r="DM43" s="148"/>
      <c r="DN43" s="41"/>
      <c r="DO43" s="67"/>
      <c r="DP43" s="72"/>
      <c r="DQ43" s="119"/>
      <c r="DR43" s="45"/>
      <c r="DS43" s="41"/>
      <c r="DT43" s="67"/>
      <c r="DU43" s="104"/>
      <c r="DV43" s="119"/>
      <c r="DW43" s="124"/>
      <c r="DX43" s="113"/>
      <c r="DY43" s="41"/>
      <c r="DZ43" s="67"/>
      <c r="EA43" s="72"/>
      <c r="EB43" s="119"/>
      <c r="EC43" s="124"/>
      <c r="ED43" s="113"/>
      <c r="EE43" s="41"/>
      <c r="EF43" s="67"/>
      <c r="EG43" s="72"/>
      <c r="EH43" s="192"/>
      <c r="EI43" s="148"/>
      <c r="EJ43" s="41"/>
      <c r="EK43" s="67"/>
      <c r="EL43" s="104"/>
      <c r="EM43" s="148"/>
      <c r="EN43" s="41"/>
      <c r="EO43" s="67"/>
      <c r="EP43" s="72"/>
      <c r="EQ43" s="45"/>
      <c r="ER43" s="41"/>
      <c r="ES43" s="67"/>
      <c r="ET43" s="104"/>
      <c r="EU43" s="124"/>
      <c r="EV43" s="169"/>
      <c r="EW43" s="87"/>
      <c r="EX43" s="248"/>
      <c r="EY43" s="87"/>
      <c r="EZ43" s="91"/>
      <c r="FA43" s="41"/>
      <c r="FB43" s="67"/>
      <c r="FC43" s="104"/>
      <c r="FD43" s="124"/>
      <c r="FE43" s="169"/>
      <c r="FF43" s="87"/>
      <c r="FG43" s="72"/>
      <c r="FH43" s="45"/>
      <c r="FI43" s="41"/>
      <c r="FJ43" s="67"/>
      <c r="FK43" s="104"/>
      <c r="FL43" s="45"/>
      <c r="FM43" s="41"/>
      <c r="FN43" s="148"/>
      <c r="FO43" s="208"/>
      <c r="FP43" s="208"/>
      <c r="FQ43" s="41"/>
      <c r="FR43" s="67"/>
      <c r="FS43" s="104"/>
      <c r="FT43" s="113"/>
      <c r="FU43" s="87"/>
      <c r="FV43" s="104"/>
      <c r="FW43" s="148"/>
      <c r="FX43" s="33"/>
      <c r="FY43" s="124"/>
      <c r="FZ43" s="113"/>
      <c r="GA43" s="87"/>
      <c r="GB43" s="104"/>
      <c r="GC43" s="155"/>
      <c r="GD43" s="113"/>
      <c r="GE43" s="87"/>
      <c r="GF43" s="148"/>
      <c r="GG43" s="208"/>
      <c r="GH43" s="104"/>
      <c r="GI43" s="248"/>
      <c r="GJ43" s="200"/>
      <c r="GK43" s="77"/>
      <c r="GL43" s="41"/>
      <c r="GM43" s="91"/>
      <c r="GN43" s="108"/>
      <c r="GO43" s="108"/>
      <c r="GP43" s="41"/>
      <c r="GQ43" s="91"/>
      <c r="GR43" s="49"/>
      <c r="GS43" s="108"/>
      <c r="GT43" s="108"/>
      <c r="GU43" s="108"/>
      <c r="GV43" s="41"/>
      <c r="GW43" s="91"/>
      <c r="GX43" s="104"/>
      <c r="GY43" s="41"/>
      <c r="GZ43" s="104"/>
      <c r="HA43" s="113"/>
      <c r="HB43" s="274"/>
      <c r="HC43" s="41"/>
      <c r="HD43" s="91"/>
      <c r="HE43" s="41"/>
      <c r="HF43" s="77"/>
      <c r="HG43" s="41"/>
      <c r="HH43" s="104"/>
      <c r="HI43" s="152"/>
      <c r="HJ43" s="77"/>
      <c r="HK43" s="49"/>
      <c r="HL43" s="41"/>
      <c r="HM43" s="104"/>
      <c r="HN43" s="113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1"/>
      <c r="IJ43" s="260"/>
      <c r="IK43" s="261"/>
      <c r="IL43" s="267"/>
      <c r="IM43" s="363"/>
      <c r="IN43" s="364"/>
      <c r="IO43" s="288"/>
      <c r="IP43" s="267"/>
      <c r="IQ43" s="267"/>
      <c r="IR43" s="267"/>
      <c r="IS43" s="267"/>
      <c r="IT43" s="267"/>
      <c r="IU43" s="267"/>
      <c r="IV43" s="267"/>
      <c r="IW43" s="269"/>
    </row>
    <row r="44" spans="1:257" s="27" customFormat="1" ht="15" customHeight="1" x14ac:dyDescent="0.25">
      <c r="A44" s="130">
        <v>44336</v>
      </c>
      <c r="B44" s="20" t="s">
        <v>32</v>
      </c>
      <c r="C44" s="22">
        <f t="shared" si="4"/>
        <v>-134.60499999999999</v>
      </c>
      <c r="D44" s="143"/>
      <c r="E44" s="143"/>
      <c r="F44" s="143"/>
      <c r="G44" s="143"/>
      <c r="H44" s="82"/>
      <c r="I44" s="82"/>
      <c r="J44" s="108"/>
      <c r="K44" s="41"/>
      <c r="L44" s="67"/>
      <c r="M44" s="91"/>
      <c r="N44" s="41"/>
      <c r="O44" s="372"/>
      <c r="P44" s="104"/>
      <c r="Q44" s="161"/>
      <c r="R44" s="113"/>
      <c r="S44" s="72"/>
      <c r="T44" s="41"/>
      <c r="U44" s="67"/>
      <c r="V44" s="72"/>
      <c r="W44" s="161"/>
      <c r="X44" s="41"/>
      <c r="Y44" s="67"/>
      <c r="Z44" s="77"/>
      <c r="AA44" s="41"/>
      <c r="AB44" s="67"/>
      <c r="AC44" s="72"/>
      <c r="AD44" s="113"/>
      <c r="AE44" s="41"/>
      <c r="AF44" s="67"/>
      <c r="AG44" s="104"/>
      <c r="AH44" s="119"/>
      <c r="AI44" s="124"/>
      <c r="AJ44" s="161"/>
      <c r="AK44" s="241"/>
      <c r="AL44" s="41"/>
      <c r="AM44" s="67"/>
      <c r="AN44" s="72"/>
      <c r="AO44" s="45"/>
      <c r="AP44" s="41"/>
      <c r="AQ44" s="67"/>
      <c r="AR44" s="72"/>
      <c r="AS44" s="119"/>
      <c r="AT44" s="45"/>
      <c r="AU44" s="41"/>
      <c r="AV44" s="67"/>
      <c r="AW44" s="72"/>
      <c r="AX44" s="119"/>
      <c r="AY44" s="124"/>
      <c r="AZ44" s="113"/>
      <c r="BA44" s="41"/>
      <c r="BB44" s="67">
        <v>-33.975000000000001</v>
      </c>
      <c r="BC44" s="72"/>
      <c r="BD44" s="119"/>
      <c r="BE44" s="124"/>
      <c r="BF44" s="113"/>
      <c r="BG44" s="41"/>
      <c r="BH44" s="67"/>
      <c r="BI44" s="104"/>
      <c r="BJ44" s="119"/>
      <c r="BK44" s="124"/>
      <c r="BL44" s="113"/>
      <c r="BM44" s="87"/>
      <c r="BN44" s="67"/>
      <c r="BO44" s="72"/>
      <c r="BP44" s="119"/>
      <c r="BQ44" s="124"/>
      <c r="BR44" s="113"/>
      <c r="BS44" s="41"/>
      <c r="BT44" s="67">
        <v>-100.63</v>
      </c>
      <c r="BU44" s="104"/>
      <c r="BV44" s="119"/>
      <c r="BW44" s="124"/>
      <c r="BX44" s="113"/>
      <c r="BY44" s="41"/>
      <c r="BZ44" s="67"/>
      <c r="CA44" s="104"/>
      <c r="CB44" s="119"/>
      <c r="CC44" s="124"/>
      <c r="CD44" s="113"/>
      <c r="CE44" s="41"/>
      <c r="CF44" s="67"/>
      <c r="CG44" s="104"/>
      <c r="CH44" s="119"/>
      <c r="CI44" s="124"/>
      <c r="CJ44" s="113"/>
      <c r="CK44" s="41"/>
      <c r="CL44" s="67"/>
      <c r="CM44" s="72"/>
      <c r="CN44" s="119"/>
      <c r="CO44" s="124"/>
      <c r="CP44" s="113"/>
      <c r="CQ44" s="41"/>
      <c r="CR44" s="67"/>
      <c r="CS44" s="72"/>
      <c r="CT44" s="119"/>
      <c r="CU44" s="124"/>
      <c r="CV44" s="113"/>
      <c r="CW44" s="41"/>
      <c r="CX44" s="67"/>
      <c r="CY44" s="72"/>
      <c r="CZ44" s="119"/>
      <c r="DA44" s="124"/>
      <c r="DB44" s="113"/>
      <c r="DC44" s="41"/>
      <c r="DD44" s="67"/>
      <c r="DE44" s="72"/>
      <c r="DF44" s="119"/>
      <c r="DG44" s="124"/>
      <c r="DH44" s="113"/>
      <c r="DI44" s="41"/>
      <c r="DJ44" s="67"/>
      <c r="DK44" s="72"/>
      <c r="DL44" s="119"/>
      <c r="DM44" s="148"/>
      <c r="DN44" s="41"/>
      <c r="DO44" s="67"/>
      <c r="DP44" s="72"/>
      <c r="DQ44" s="119"/>
      <c r="DR44" s="45"/>
      <c r="DS44" s="41"/>
      <c r="DT44" s="67"/>
      <c r="DU44" s="104"/>
      <c r="DV44" s="119"/>
      <c r="DW44" s="124"/>
      <c r="DX44" s="113"/>
      <c r="DY44" s="41"/>
      <c r="DZ44" s="67"/>
      <c r="EA44" s="72"/>
      <c r="EB44" s="119"/>
      <c r="EC44" s="124"/>
      <c r="ED44" s="113"/>
      <c r="EE44" s="41"/>
      <c r="EF44" s="67"/>
      <c r="EG44" s="72"/>
      <c r="EH44" s="192"/>
      <c r="EI44" s="148"/>
      <c r="EJ44" s="41"/>
      <c r="EK44" s="67"/>
      <c r="EL44" s="104"/>
      <c r="EM44" s="148"/>
      <c r="EN44" s="41"/>
      <c r="EO44" s="67"/>
      <c r="EP44" s="72"/>
      <c r="EQ44" s="45"/>
      <c r="ER44" s="41"/>
      <c r="ES44" s="67"/>
      <c r="ET44" s="104"/>
      <c r="EU44" s="124"/>
      <c r="EV44" s="169"/>
      <c r="EW44" s="87"/>
      <c r="EX44" s="248"/>
      <c r="EY44" s="87"/>
      <c r="EZ44" s="91"/>
      <c r="FA44" s="41"/>
      <c r="FB44" s="67"/>
      <c r="FC44" s="104"/>
      <c r="FD44" s="124"/>
      <c r="FE44" s="169"/>
      <c r="FF44" s="87"/>
      <c r="FG44" s="72"/>
      <c r="FH44" s="45"/>
      <c r="FI44" s="41"/>
      <c r="FJ44" s="67"/>
      <c r="FK44" s="104"/>
      <c r="FL44" s="45"/>
      <c r="FM44" s="41"/>
      <c r="FN44" s="148"/>
      <c r="FO44" s="208"/>
      <c r="FP44" s="208"/>
      <c r="FQ44" s="41"/>
      <c r="FR44" s="67"/>
      <c r="FS44" s="104"/>
      <c r="FT44" s="113"/>
      <c r="FU44" s="87"/>
      <c r="FV44" s="104"/>
      <c r="FW44" s="148"/>
      <c r="FX44" s="33"/>
      <c r="FY44" s="124"/>
      <c r="FZ44" s="113"/>
      <c r="GA44" s="87"/>
      <c r="GB44" s="104"/>
      <c r="GC44" s="155"/>
      <c r="GD44" s="113"/>
      <c r="GE44" s="87"/>
      <c r="GF44" s="148"/>
      <c r="GG44" s="208"/>
      <c r="GH44" s="104"/>
      <c r="GI44" s="248"/>
      <c r="GJ44" s="200"/>
      <c r="GK44" s="77"/>
      <c r="GL44" s="41"/>
      <c r="GM44" s="91"/>
      <c r="GN44" s="108"/>
      <c r="GO44" s="108"/>
      <c r="GP44" s="41"/>
      <c r="GQ44" s="91"/>
      <c r="GR44" s="49"/>
      <c r="GS44" s="108"/>
      <c r="GT44" s="108"/>
      <c r="GU44" s="108"/>
      <c r="GV44" s="41"/>
      <c r="GW44" s="91"/>
      <c r="GX44" s="104"/>
      <c r="GY44" s="41"/>
      <c r="GZ44" s="104"/>
      <c r="HA44" s="113"/>
      <c r="HB44" s="274"/>
      <c r="HC44" s="41"/>
      <c r="HD44" s="91"/>
      <c r="HE44" s="41"/>
      <c r="HF44" s="77"/>
      <c r="HG44" s="41"/>
      <c r="HH44" s="104"/>
      <c r="HI44" s="152"/>
      <c r="HJ44" s="77"/>
      <c r="HK44" s="49"/>
      <c r="HL44" s="41"/>
      <c r="HM44" s="104"/>
      <c r="HN44" s="113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1"/>
      <c r="IJ44" s="260"/>
      <c r="IK44" s="261"/>
      <c r="IL44" s="267"/>
      <c r="IM44" s="363"/>
      <c r="IN44" s="364"/>
      <c r="IO44" s="288"/>
      <c r="IP44" s="267"/>
      <c r="IQ44" s="267"/>
      <c r="IR44" s="267"/>
      <c r="IS44" s="267"/>
      <c r="IT44" s="267"/>
      <c r="IU44" s="267"/>
      <c r="IV44" s="267"/>
      <c r="IW44" s="269"/>
    </row>
    <row r="45" spans="1:257" x14ac:dyDescent="0.25">
      <c r="A45" s="130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0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0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0">
        <v>44337</v>
      </c>
      <c r="B48" s="23" t="s">
        <v>26</v>
      </c>
      <c r="C48" s="21">
        <f t="shared" si="4"/>
        <v>-42.225000000000001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0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0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0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27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27">
        <v>44340</v>
      </c>
      <c r="B53" s="23" t="s">
        <v>40</v>
      </c>
      <c r="C53" s="21">
        <f t="shared" si="4"/>
        <v>-500.53</v>
      </c>
      <c r="HL53" s="42">
        <v>-343.73</v>
      </c>
      <c r="HU53" s="42">
        <v>-156.80000000000001</v>
      </c>
    </row>
    <row r="54" spans="1:229" x14ac:dyDescent="0.25">
      <c r="A54" s="127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27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27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27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27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27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27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27">
        <v>44341</v>
      </c>
      <c r="B61" s="23" t="s">
        <v>27</v>
      </c>
      <c r="C61" s="21">
        <f t="shared" si="4"/>
        <v>-58.22</v>
      </c>
      <c r="AZ61" s="115">
        <v>-8.06</v>
      </c>
      <c r="BF61" s="115">
        <v>-8.32</v>
      </c>
      <c r="BL61" s="115">
        <v>-8.19</v>
      </c>
      <c r="BR61" s="115">
        <v>-8.3000000000000007</v>
      </c>
      <c r="BT61" s="69">
        <v>-8.51</v>
      </c>
      <c r="CC61" s="126">
        <v>-8.41</v>
      </c>
      <c r="CF61" s="69">
        <v>-8.43</v>
      </c>
    </row>
    <row r="62" spans="1:229" x14ac:dyDescent="0.25">
      <c r="A62" s="127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27">
        <v>44341</v>
      </c>
      <c r="B63" s="23" t="s">
        <v>32</v>
      </c>
      <c r="C63" s="21">
        <f t="shared" si="4"/>
        <v>-135.72499999999999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27">
        <v>44341</v>
      </c>
      <c r="B64" s="23" t="s">
        <v>18</v>
      </c>
      <c r="C64" s="21">
        <f t="shared" si="4"/>
        <v>-1410.35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27">
        <v>44342</v>
      </c>
      <c r="B65" s="23" t="s">
        <v>13</v>
      </c>
      <c r="C65" s="21">
        <f t="shared" si="4"/>
        <v>-838.375</v>
      </c>
      <c r="L65" s="69">
        <v>-8.44</v>
      </c>
      <c r="O65" s="375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27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27">
        <v>44342</v>
      </c>
      <c r="B67" s="23" t="s">
        <v>44</v>
      </c>
      <c r="C67" s="21">
        <f t="shared" si="4"/>
        <v>0</v>
      </c>
    </row>
    <row r="68" spans="1:241" x14ac:dyDescent="0.25">
      <c r="A68" s="127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27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27">
        <v>44343</v>
      </c>
      <c r="B70" s="23" t="s">
        <v>38</v>
      </c>
      <c r="C70" s="21">
        <f t="shared" si="4"/>
        <v>0</v>
      </c>
    </row>
    <row r="71" spans="1:241" x14ac:dyDescent="0.25">
      <c r="A71" s="127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27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27">
        <v>44343</v>
      </c>
      <c r="B73" s="23" t="s">
        <v>13</v>
      </c>
      <c r="C73" s="21">
        <f t="shared" si="5"/>
        <v>-186.83500000000001</v>
      </c>
      <c r="DZ73" s="69">
        <v>-33.51</v>
      </c>
      <c r="FU73" s="88">
        <v>-153.32499999999999</v>
      </c>
    </row>
    <row r="74" spans="1:241" x14ac:dyDescent="0.25">
      <c r="A74" s="127">
        <v>44344</v>
      </c>
      <c r="B74" s="23" t="s">
        <v>27</v>
      </c>
      <c r="C74" s="21">
        <f t="shared" si="5"/>
        <v>-49.85</v>
      </c>
      <c r="DM74" s="150">
        <v>-17.27</v>
      </c>
      <c r="DR74" s="46">
        <v>-15.44</v>
      </c>
      <c r="DW74" s="126">
        <v>-17.14</v>
      </c>
    </row>
    <row r="75" spans="1:241" x14ac:dyDescent="0.25">
      <c r="A75" s="127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27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27">
        <v>44344</v>
      </c>
      <c r="B77" s="23" t="s">
        <v>29</v>
      </c>
      <c r="C77" s="21">
        <f t="shared" si="5"/>
        <v>-16.88</v>
      </c>
      <c r="BH77" s="69">
        <v>-8.42</v>
      </c>
      <c r="BT77" s="69">
        <v>-8.4600000000000009</v>
      </c>
    </row>
    <row r="78" spans="1:241" x14ac:dyDescent="0.25">
      <c r="A78" s="127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27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27">
        <v>44344</v>
      </c>
      <c r="B80" s="23" t="s">
        <v>48</v>
      </c>
      <c r="C80" s="21">
        <f t="shared" si="5"/>
        <v>-33.479999999999997</v>
      </c>
      <c r="BT80" s="69">
        <v>-16.725000000000001</v>
      </c>
      <c r="BZ80" s="69">
        <v>-16.754999999999999</v>
      </c>
    </row>
    <row r="81" spans="1:241" x14ac:dyDescent="0.25">
      <c r="A81" s="127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27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27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27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27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27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27">
        <v>44347</v>
      </c>
      <c r="B87" s="23" t="s">
        <v>15</v>
      </c>
      <c r="C87" s="21">
        <f t="shared" si="5"/>
        <v>-1225.76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27">
        <v>44347</v>
      </c>
      <c r="B88" s="23" t="s">
        <v>19</v>
      </c>
      <c r="C88" s="21">
        <f t="shared" si="5"/>
        <v>-234.535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27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27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27">
        <v>44347</v>
      </c>
      <c r="B91" s="23" t="s">
        <v>20</v>
      </c>
      <c r="C91" s="21">
        <f t="shared" si="5"/>
        <v>-67.930000000000007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27">
        <v>44347</v>
      </c>
      <c r="B92" s="23" t="s">
        <v>38</v>
      </c>
      <c r="C92" s="21">
        <f t="shared" si="5"/>
        <v>0</v>
      </c>
    </row>
    <row r="93" spans="1:241" x14ac:dyDescent="0.25">
      <c r="A93" s="127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27">
        <v>44347</v>
      </c>
      <c r="B94" s="23" t="s">
        <v>13</v>
      </c>
      <c r="C94" s="21">
        <f t="shared" si="5"/>
        <v>-1079.7750000000001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27">
        <v>44349</v>
      </c>
      <c r="B95" s="23" t="s">
        <v>19</v>
      </c>
      <c r="C95" s="21">
        <f t="shared" si="5"/>
        <v>-250.76</v>
      </c>
      <c r="EJ95" s="42">
        <v>-244.96</v>
      </c>
      <c r="EK95" s="69">
        <v>-5.8</v>
      </c>
    </row>
    <row r="96" spans="1:241" x14ac:dyDescent="0.25">
      <c r="A96" s="127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27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27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27">
        <v>44350</v>
      </c>
      <c r="B99" s="23" t="s">
        <v>32</v>
      </c>
      <c r="C99" s="21">
        <f t="shared" si="5"/>
        <v>-6.29</v>
      </c>
      <c r="AS99" s="121">
        <v>-6.29</v>
      </c>
    </row>
    <row r="100" spans="1:241" x14ac:dyDescent="0.25">
      <c r="A100" s="127">
        <v>44350</v>
      </c>
      <c r="B100" s="23" t="s">
        <v>50</v>
      </c>
      <c r="C100" s="21">
        <f t="shared" si="5"/>
        <v>-571.30999999999995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27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27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27">
        <v>44351</v>
      </c>
      <c r="B103" s="23" t="s">
        <v>18</v>
      </c>
      <c r="C103" s="21">
        <f t="shared" si="5"/>
        <v>-707.80499999999995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27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27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27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27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27">
        <v>44355</v>
      </c>
      <c r="B108" s="23" t="s">
        <v>32</v>
      </c>
      <c r="C108" s="21">
        <f t="shared" si="5"/>
        <v>-34.225000000000001</v>
      </c>
      <c r="AZ108" s="115">
        <v>-9.02</v>
      </c>
      <c r="BB108" s="69">
        <v>-8.42</v>
      </c>
      <c r="BR108" s="115">
        <v>-8.39</v>
      </c>
      <c r="DO108" s="69">
        <v>-8.3949999999999996</v>
      </c>
    </row>
    <row r="109" spans="1:241" x14ac:dyDescent="0.25">
      <c r="A109" s="127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27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27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27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27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27">
        <v>44356</v>
      </c>
      <c r="B114" s="23" t="s">
        <v>14</v>
      </c>
      <c r="C114" s="21">
        <f t="shared" si="5"/>
        <v>-169.58500000000001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27">
        <v>44356</v>
      </c>
      <c r="B115" s="23" t="s">
        <v>19</v>
      </c>
      <c r="C115" s="21">
        <f t="shared" si="5"/>
        <v>-1223.2750000000001</v>
      </c>
      <c r="O115" s="375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27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27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27">
        <v>44357</v>
      </c>
      <c r="B118" s="23" t="s">
        <v>19</v>
      </c>
      <c r="C118" s="21">
        <f t="shared" si="5"/>
        <v>302.20999999999998</v>
      </c>
      <c r="AT118" s="46">
        <v>31.27</v>
      </c>
      <c r="AZ118" s="115">
        <v>33.54</v>
      </c>
      <c r="BF118" s="115">
        <v>34.25</v>
      </c>
      <c r="BL118" s="115">
        <v>33.520000000000003</v>
      </c>
      <c r="BX118" s="115">
        <v>33.69</v>
      </c>
      <c r="CC118" s="126">
        <v>33.96</v>
      </c>
      <c r="CJ118" s="115">
        <v>34.32</v>
      </c>
      <c r="CV118" s="115">
        <v>32.880000000000003</v>
      </c>
      <c r="EC118" s="126">
        <v>34.78</v>
      </c>
    </row>
    <row r="119" spans="1:233" x14ac:dyDescent="0.25">
      <c r="A119" s="127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27">
        <v>44358</v>
      </c>
      <c r="B120" s="23" t="s">
        <v>19</v>
      </c>
      <c r="C120" s="21">
        <f t="shared" si="5"/>
        <v>-240.345</v>
      </c>
      <c r="EJ120" s="42">
        <v>-229.11</v>
      </c>
      <c r="EK120" s="69">
        <v>-11.234999999999999</v>
      </c>
    </row>
    <row r="121" spans="1:233" x14ac:dyDescent="0.25">
      <c r="A121" s="127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27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27">
        <v>44358</v>
      </c>
      <c r="B123" s="23" t="s">
        <v>54</v>
      </c>
      <c r="C123" s="21">
        <f t="shared" si="5"/>
        <v>-1008.595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27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27">
        <v>44358</v>
      </c>
      <c r="B125" s="23" t="s">
        <v>19</v>
      </c>
      <c r="C125" s="21">
        <f t="shared" si="5"/>
        <v>-1863.65</v>
      </c>
      <c r="O125" s="375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27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27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-25.1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27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27">
        <v>44361</v>
      </c>
      <c r="B129" s="23" t="s">
        <v>56</v>
      </c>
      <c r="C129" s="21">
        <f t="shared" si="5"/>
        <v>-361.42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27">
        <v>44362</v>
      </c>
      <c r="B130" s="23" t="s">
        <v>57</v>
      </c>
      <c r="C130" s="21">
        <f t="shared" si="5"/>
        <v>-100.55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27">
        <v>44362</v>
      </c>
      <c r="B131" s="23" t="s">
        <v>27</v>
      </c>
      <c r="C131" s="21">
        <f t="shared" si="5"/>
        <v>-8.34</v>
      </c>
      <c r="BR131" s="115">
        <v>-8.34</v>
      </c>
    </row>
    <row r="132" spans="1:234" x14ac:dyDescent="0.25">
      <c r="A132" s="127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27">
        <v>44362</v>
      </c>
      <c r="B133" s="23" t="s">
        <v>50</v>
      </c>
      <c r="C133" s="21">
        <f t="shared" si="5"/>
        <v>-209.69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27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27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27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27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27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27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27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27">
        <v>44363</v>
      </c>
      <c r="B141" s="23" t="s">
        <v>12</v>
      </c>
      <c r="C141" s="21">
        <f t="shared" si="6"/>
        <v>0</v>
      </c>
    </row>
    <row r="142" spans="1:234" x14ac:dyDescent="0.25">
      <c r="A142" s="127">
        <v>44363</v>
      </c>
      <c r="B142" s="23" t="s">
        <v>57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27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27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27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27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27">
        <v>44363</v>
      </c>
      <c r="B147" s="23" t="s">
        <v>20</v>
      </c>
      <c r="C147" s="21">
        <f t="shared" si="6"/>
        <v>-104.16500000000001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27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27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27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27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27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27">
        <v>44364</v>
      </c>
      <c r="B153" s="23" t="s">
        <v>64</v>
      </c>
      <c r="C153" s="21">
        <f t="shared" si="6"/>
        <v>0</v>
      </c>
    </row>
    <row r="154" spans="1:241" x14ac:dyDescent="0.25">
      <c r="A154" s="127">
        <v>44364</v>
      </c>
      <c r="B154" s="23" t="s">
        <v>2</v>
      </c>
      <c r="C154" s="21">
        <f t="shared" si="6"/>
        <v>1007.17</v>
      </c>
      <c r="IB154" s="42">
        <v>496.13</v>
      </c>
      <c r="IG154" s="38">
        <v>511.04</v>
      </c>
    </row>
    <row r="155" spans="1:241" x14ac:dyDescent="0.25">
      <c r="A155" s="127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27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27">
        <v>44368</v>
      </c>
      <c r="B157" s="23" t="s">
        <v>27</v>
      </c>
      <c r="C157" s="21">
        <f t="shared" si="6"/>
        <v>-41.33</v>
      </c>
      <c r="BF157" s="115">
        <v>-8.68</v>
      </c>
      <c r="BL157" s="115">
        <v>-7.96</v>
      </c>
      <c r="BR157" s="115">
        <v>-8.23</v>
      </c>
      <c r="CC157" s="126">
        <v>-7.86</v>
      </c>
      <c r="CP157" s="115">
        <v>-8.6</v>
      </c>
    </row>
    <row r="158" spans="1:241" x14ac:dyDescent="0.25">
      <c r="A158" s="127">
        <v>44368</v>
      </c>
      <c r="B158" s="23" t="s">
        <v>2</v>
      </c>
      <c r="C158" s="21">
        <f t="shared" si="6"/>
        <v>0</v>
      </c>
    </row>
    <row r="159" spans="1:241" x14ac:dyDescent="0.25">
      <c r="A159" s="127">
        <v>44368</v>
      </c>
      <c r="B159" s="23" t="s">
        <v>12</v>
      </c>
      <c r="C159" s="21">
        <f t="shared" si="6"/>
        <v>0</v>
      </c>
    </row>
    <row r="160" spans="1:241" x14ac:dyDescent="0.25">
      <c r="A160" s="127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27">
        <v>44369</v>
      </c>
      <c r="B161" s="23" t="s">
        <v>39</v>
      </c>
      <c r="C161" s="21">
        <f t="shared" si="6"/>
        <v>-67.265000000000001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27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27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27">
        <v>44369</v>
      </c>
      <c r="B164" s="23" t="s">
        <v>45</v>
      </c>
      <c r="C164" s="21">
        <f t="shared" si="6"/>
        <v>-16.670000000000002</v>
      </c>
      <c r="CV164" s="115">
        <v>-16.670000000000002</v>
      </c>
    </row>
    <row r="165" spans="1:236" x14ac:dyDescent="0.25">
      <c r="A165" s="127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27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27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27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27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27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27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27">
        <v>44370</v>
      </c>
      <c r="B172" s="23" t="s">
        <v>19</v>
      </c>
      <c r="C172" s="21">
        <f t="shared" si="6"/>
        <v>-420.66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27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27">
        <v>44370</v>
      </c>
      <c r="B174" s="23" t="s">
        <v>15</v>
      </c>
      <c r="C174" s="21">
        <f t="shared" si="6"/>
        <v>-200.46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27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27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27">
        <v>44370</v>
      </c>
      <c r="B177" s="23" t="s">
        <v>14</v>
      </c>
      <c r="C177" s="21">
        <f t="shared" si="6"/>
        <v>-1070.9100000000001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27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27">
        <v>44370</v>
      </c>
      <c r="B179" s="23" t="s">
        <v>47</v>
      </c>
      <c r="C179" s="21">
        <f t="shared" si="6"/>
        <v>-162.43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27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27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2">
        <v>173.51</v>
      </c>
      <c r="HQ181" s="42">
        <v>506.71</v>
      </c>
      <c r="ID181" s="42">
        <v>508.9</v>
      </c>
    </row>
    <row r="182" spans="1:238" x14ac:dyDescent="0.25">
      <c r="A182" s="127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27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27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27">
        <v>44371</v>
      </c>
      <c r="B185" s="23" t="s">
        <v>12</v>
      </c>
      <c r="C185" s="21">
        <f t="shared" si="6"/>
        <v>0</v>
      </c>
    </row>
    <row r="186" spans="1:238" x14ac:dyDescent="0.25">
      <c r="A186" s="127">
        <v>44371</v>
      </c>
      <c r="B186" s="23" t="s">
        <v>23</v>
      </c>
      <c r="C186" s="21">
        <f t="shared" si="6"/>
        <v>0</v>
      </c>
    </row>
    <row r="187" spans="1:238" x14ac:dyDescent="0.25">
      <c r="A187" s="127">
        <v>44371</v>
      </c>
      <c r="B187" s="23" t="s">
        <v>38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27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27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27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27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27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27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27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5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27">
        <v>44373</v>
      </c>
      <c r="B195" s="23" t="s">
        <v>19</v>
      </c>
      <c r="C195" s="21">
        <f t="shared" si="6"/>
        <v>631.24</v>
      </c>
      <c r="AI195" s="126">
        <v>32.79</v>
      </c>
      <c r="AO195" s="46">
        <v>34.799999999999997</v>
      </c>
      <c r="AZ195" s="115">
        <v>68.11</v>
      </c>
      <c r="BL195" s="115">
        <v>50.25</v>
      </c>
      <c r="BR195" s="115">
        <v>66.290000000000006</v>
      </c>
      <c r="BX195" s="115">
        <v>68.959999999999994</v>
      </c>
      <c r="CC195" s="126">
        <v>84.74</v>
      </c>
      <c r="CJ195" s="115">
        <v>101.37</v>
      </c>
      <c r="CP195" s="115">
        <v>68.650000000000006</v>
      </c>
      <c r="DB195" s="115">
        <v>70.5</v>
      </c>
      <c r="HO195" s="42">
        <v>-15.22</v>
      </c>
    </row>
    <row r="196" spans="1:223" x14ac:dyDescent="0.25">
      <c r="A196" s="127">
        <v>44373</v>
      </c>
      <c r="B196" s="23" t="s">
        <v>44</v>
      </c>
      <c r="C196" s="21">
        <f t="shared" si="6"/>
        <v>-263.55</v>
      </c>
      <c r="GJ196" s="202">
        <v>-28.6</v>
      </c>
      <c r="GP196" s="42">
        <v>-234.95</v>
      </c>
    </row>
    <row r="197" spans="1:223" x14ac:dyDescent="0.25">
      <c r="A197" s="127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15">
        <v>-8.27</v>
      </c>
      <c r="CP197" s="115">
        <v>-8.23</v>
      </c>
    </row>
    <row r="198" spans="1:223" x14ac:dyDescent="0.25">
      <c r="A198" s="127">
        <v>44373</v>
      </c>
      <c r="B198" s="23" t="s">
        <v>12</v>
      </c>
      <c r="C198" s="21">
        <f t="shared" si="6"/>
        <v>0</v>
      </c>
    </row>
    <row r="199" spans="1:223" x14ac:dyDescent="0.25">
      <c r="A199" s="127">
        <v>44375</v>
      </c>
      <c r="B199" s="23" t="s">
        <v>15</v>
      </c>
      <c r="C199" s="21">
        <f t="shared" si="6"/>
        <v>-447.55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27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27">
        <v>44375</v>
      </c>
      <c r="B201" s="23" t="s">
        <v>67</v>
      </c>
      <c r="C201" s="21">
        <f t="shared" si="7"/>
        <v>-376.14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27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27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27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27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27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27">
        <v>44376</v>
      </c>
      <c r="B207" s="23" t="s">
        <v>27</v>
      </c>
      <c r="C207" s="21">
        <f t="shared" si="7"/>
        <v>-17.32</v>
      </c>
      <c r="BX207" s="115">
        <v>-8.7100000000000009</v>
      </c>
      <c r="CJ207" s="115">
        <v>-8.61</v>
      </c>
    </row>
    <row r="208" spans="1:223" x14ac:dyDescent="0.25">
      <c r="A208" s="127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27">
        <v>44376</v>
      </c>
      <c r="B209" s="23" t="s">
        <v>29</v>
      </c>
      <c r="C209" s="21">
        <f t="shared" si="7"/>
        <v>-24.855</v>
      </c>
      <c r="AV209" s="69">
        <v>-8.3849999999999998</v>
      </c>
      <c r="BR209" s="115">
        <v>-8.1199999999999992</v>
      </c>
      <c r="BS209" s="42">
        <v>-8.35</v>
      </c>
    </row>
    <row r="210" spans="1:242" x14ac:dyDescent="0.25">
      <c r="A210" s="127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27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27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27">
        <v>44377</v>
      </c>
      <c r="B213" s="23" t="s">
        <v>18</v>
      </c>
      <c r="C213" s="21">
        <f t="shared" si="7"/>
        <v>-815.53499999999997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27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27">
        <v>44377</v>
      </c>
      <c r="B215" s="23" t="s">
        <v>15</v>
      </c>
      <c r="C215" s="21">
        <f t="shared" si="7"/>
        <v>-170.38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27">
        <v>44377</v>
      </c>
      <c r="B216" s="23" t="s">
        <v>54</v>
      </c>
      <c r="C216" s="21">
        <f t="shared" si="7"/>
        <v>-343.57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27">
        <v>44377</v>
      </c>
      <c r="B217" s="23" t="s">
        <v>15</v>
      </c>
      <c r="C217" s="21">
        <f t="shared" si="7"/>
        <v>-168.51</v>
      </c>
      <c r="BF217" s="115">
        <v>-34.25</v>
      </c>
      <c r="BH217" s="69">
        <v>-34.119999999999997</v>
      </c>
      <c r="BR217" s="115">
        <v>-32.14</v>
      </c>
      <c r="BX217" s="115">
        <v>-68</v>
      </c>
    </row>
    <row r="218" spans="1:242" x14ac:dyDescent="0.25">
      <c r="A218" s="127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1">
        <v>-6.36</v>
      </c>
      <c r="AU218" s="42">
        <v>-8.0399999999999991</v>
      </c>
      <c r="BH218" s="69">
        <v>-8.5399999999999991</v>
      </c>
      <c r="BR218" s="115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27">
        <v>44377</v>
      </c>
      <c r="B219" s="23" t="s">
        <v>41</v>
      </c>
      <c r="C219" s="21">
        <f t="shared" si="7"/>
        <v>-17.21</v>
      </c>
      <c r="BR219" s="115">
        <v>-17.21</v>
      </c>
    </row>
    <row r="220" spans="1:242" x14ac:dyDescent="0.25">
      <c r="A220" s="127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27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27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27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1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27">
        <v>44377</v>
      </c>
      <c r="B224" s="23" t="s">
        <v>2</v>
      </c>
      <c r="C224" s="21">
        <f t="shared" si="7"/>
        <v>1030.8900000000001</v>
      </c>
      <c r="HZ224" s="42">
        <v>515.85</v>
      </c>
      <c r="IH224" s="34">
        <v>515.04</v>
      </c>
    </row>
    <row r="225" spans="1:236" x14ac:dyDescent="0.25">
      <c r="A225" s="127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27">
        <v>44377</v>
      </c>
      <c r="B226" s="23" t="s">
        <v>45</v>
      </c>
      <c r="C226" s="21">
        <f t="shared" si="7"/>
        <v>-34.270000000000003</v>
      </c>
      <c r="AL226" s="42">
        <v>-8.64</v>
      </c>
      <c r="AT226" s="46">
        <v>-7.57</v>
      </c>
      <c r="BR226" s="115">
        <v>-9.1999999999999993</v>
      </c>
      <c r="BX226" s="115">
        <v>-8.86</v>
      </c>
    </row>
    <row r="227" spans="1:236" x14ac:dyDescent="0.25">
      <c r="A227" s="127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27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27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27">
        <v>44377</v>
      </c>
      <c r="B230" s="23" t="s">
        <v>58</v>
      </c>
      <c r="C230" s="21">
        <f t="shared" si="7"/>
        <v>0</v>
      </c>
    </row>
    <row r="231" spans="1:236" x14ac:dyDescent="0.25">
      <c r="A231" s="127">
        <v>44377</v>
      </c>
      <c r="B231" s="23" t="s">
        <v>15</v>
      </c>
      <c r="C231" s="21">
        <f t="shared" si="7"/>
        <v>-33.56</v>
      </c>
      <c r="BX231" s="115">
        <v>-17.079999999999998</v>
      </c>
      <c r="CC231" s="126">
        <v>-16.48</v>
      </c>
    </row>
    <row r="232" spans="1:236" x14ac:dyDescent="0.25">
      <c r="A232" s="131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1">
        <v>44382</v>
      </c>
      <c r="B233" s="23" t="s">
        <v>45</v>
      </c>
      <c r="C233" s="21">
        <f t="shared" si="7"/>
        <v>-15.23</v>
      </c>
      <c r="DB233" s="115">
        <v>-15.23</v>
      </c>
    </row>
    <row r="234" spans="1:236" x14ac:dyDescent="0.25">
      <c r="A234" s="127">
        <v>44384</v>
      </c>
      <c r="B234" s="23" t="s">
        <v>44</v>
      </c>
      <c r="C234" s="21">
        <f t="shared" si="7"/>
        <v>-256.86</v>
      </c>
      <c r="GJ234" s="202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27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27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27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27">
        <v>44385</v>
      </c>
      <c r="B238" s="23" t="s">
        <v>19</v>
      </c>
      <c r="C238" s="21">
        <f t="shared" si="7"/>
        <v>396.38</v>
      </c>
      <c r="BF238" s="115">
        <v>96.4</v>
      </c>
      <c r="BL238" s="115">
        <v>104.71</v>
      </c>
      <c r="BR238" s="115">
        <v>95.59</v>
      </c>
      <c r="BX238" s="115">
        <v>99.68</v>
      </c>
    </row>
    <row r="239" spans="1:236" x14ac:dyDescent="0.25">
      <c r="A239" s="127">
        <v>44385</v>
      </c>
      <c r="B239" s="23" t="s">
        <v>12</v>
      </c>
      <c r="C239" s="21">
        <f t="shared" si="7"/>
        <v>0</v>
      </c>
    </row>
    <row r="240" spans="1:236" x14ac:dyDescent="0.25">
      <c r="A240" s="127">
        <v>44385</v>
      </c>
      <c r="B240" s="23" t="s">
        <v>2</v>
      </c>
      <c r="C240" s="21">
        <f t="shared" si="7"/>
        <v>1014.91</v>
      </c>
      <c r="GY240" s="42">
        <v>494.8</v>
      </c>
      <c r="HY240" s="38">
        <v>520.11</v>
      </c>
    </row>
    <row r="241" spans="1:241" x14ac:dyDescent="0.25">
      <c r="A241" s="127">
        <v>44385</v>
      </c>
      <c r="B241" s="23" t="s">
        <v>41</v>
      </c>
      <c r="C241" s="21">
        <f t="shared" si="7"/>
        <v>-16.3</v>
      </c>
      <c r="BX241" s="115">
        <v>-16.3</v>
      </c>
    </row>
    <row r="242" spans="1:241" x14ac:dyDescent="0.25">
      <c r="A242" s="127">
        <v>44385</v>
      </c>
      <c r="B242" s="23" t="s">
        <v>45</v>
      </c>
      <c r="C242" s="21">
        <f t="shared" si="7"/>
        <v>-16.12</v>
      </c>
      <c r="BF242" s="115">
        <v>-8</v>
      </c>
      <c r="BL242" s="115">
        <v>-8.1199999999999992</v>
      </c>
    </row>
    <row r="243" spans="1:241" x14ac:dyDescent="0.25">
      <c r="A243" s="127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27">
        <v>44386</v>
      </c>
      <c r="B244" s="23" t="s">
        <v>20</v>
      </c>
      <c r="C244" s="21">
        <f t="shared" si="7"/>
        <v>-59.75</v>
      </c>
      <c r="AL244" s="42">
        <v>-8.66</v>
      </c>
      <c r="BF244" s="115">
        <v>-7.98</v>
      </c>
      <c r="BG244" s="42">
        <v>-7.15</v>
      </c>
      <c r="BR244" s="115">
        <v>-9.7799999999999994</v>
      </c>
      <c r="BX244" s="115">
        <v>-8</v>
      </c>
      <c r="CC244" s="126">
        <v>-8.76</v>
      </c>
      <c r="CK244" s="42">
        <v>-9.42</v>
      </c>
    </row>
    <row r="245" spans="1:241" x14ac:dyDescent="0.25">
      <c r="A245" s="127">
        <v>44386</v>
      </c>
      <c r="B245" s="23" t="s">
        <v>27</v>
      </c>
      <c r="C245" s="21">
        <f t="shared" si="7"/>
        <v>-56.77</v>
      </c>
      <c r="BF245" s="115">
        <v>-8.06</v>
      </c>
      <c r="BL245" s="115">
        <v>-8.4700000000000006</v>
      </c>
      <c r="BX245" s="115">
        <v>-7.53</v>
      </c>
      <c r="CP245" s="115">
        <v>-16.2</v>
      </c>
      <c r="CV245" s="115">
        <v>-16.510000000000002</v>
      </c>
    </row>
    <row r="246" spans="1:241" x14ac:dyDescent="0.25">
      <c r="A246" s="127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27">
        <v>44389</v>
      </c>
      <c r="B247" s="23" t="s">
        <v>58</v>
      </c>
      <c r="C247" s="21">
        <f t="shared" si="7"/>
        <v>0</v>
      </c>
    </row>
    <row r="248" spans="1:241" x14ac:dyDescent="0.25">
      <c r="A248" s="127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27">
        <v>44389</v>
      </c>
      <c r="B249" s="23" t="s">
        <v>54</v>
      </c>
      <c r="C249" s="21">
        <f t="shared" si="7"/>
        <v>-170.83</v>
      </c>
      <c r="CF249" s="69">
        <v>-137.29499999999999</v>
      </c>
      <c r="CL249" s="69">
        <v>-33.534999999999997</v>
      </c>
    </row>
    <row r="250" spans="1:241" x14ac:dyDescent="0.25">
      <c r="A250" s="127">
        <v>44389</v>
      </c>
      <c r="B250" s="23" t="s">
        <v>45</v>
      </c>
      <c r="C250" s="21">
        <f t="shared" si="7"/>
        <v>-34.090000000000003</v>
      </c>
      <c r="BL250" s="115">
        <v>-8.35</v>
      </c>
      <c r="BR250" s="115">
        <v>-8.85</v>
      </c>
      <c r="BX250" s="115">
        <v>-8.41</v>
      </c>
      <c r="CC250" s="126">
        <v>-8.48</v>
      </c>
    </row>
    <row r="251" spans="1:241" x14ac:dyDescent="0.25">
      <c r="A251" s="127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27">
        <v>44390</v>
      </c>
      <c r="B252" s="23" t="s">
        <v>41</v>
      </c>
      <c r="C252" s="21">
        <f t="shared" si="7"/>
        <v>-52.41</v>
      </c>
      <c r="BR252" s="115">
        <v>-9.5500000000000007</v>
      </c>
      <c r="DO252" s="69">
        <v>-17.03</v>
      </c>
      <c r="DS252" s="42">
        <v>-17.29</v>
      </c>
      <c r="DV252" s="121">
        <v>-8.5399999999999991</v>
      </c>
    </row>
    <row r="253" spans="1:241" x14ac:dyDescent="0.25">
      <c r="A253" s="127">
        <v>44390</v>
      </c>
      <c r="B253" s="23" t="s">
        <v>15</v>
      </c>
      <c r="C253" s="21">
        <f t="shared" si="7"/>
        <v>-16.739999999999998</v>
      </c>
      <c r="BF253" s="115">
        <v>-8.01</v>
      </c>
      <c r="BL253" s="115">
        <v>-8.73</v>
      </c>
    </row>
    <row r="254" spans="1:241" x14ac:dyDescent="0.25">
      <c r="A254" s="127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27">
        <v>44390</v>
      </c>
      <c r="B255" s="23" t="s">
        <v>26</v>
      </c>
      <c r="C255" s="21">
        <f t="shared" si="7"/>
        <v>-25.05</v>
      </c>
      <c r="AE255" s="42">
        <v>-8.65</v>
      </c>
      <c r="BF255" s="115">
        <v>-8.0299999999999994</v>
      </c>
      <c r="BX255" s="115">
        <v>-8.3699999999999992</v>
      </c>
    </row>
    <row r="256" spans="1:241" x14ac:dyDescent="0.25">
      <c r="A256" s="127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27">
        <v>44391</v>
      </c>
      <c r="B257" s="23" t="s">
        <v>18</v>
      </c>
      <c r="C257" s="21">
        <f t="shared" si="7"/>
        <v>-369.62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27">
        <v>44392</v>
      </c>
      <c r="B258" s="23" t="s">
        <v>15</v>
      </c>
      <c r="C258" s="21">
        <f t="shared" si="7"/>
        <v>-34.68</v>
      </c>
      <c r="BF258" s="115">
        <v>-16.059999999999999</v>
      </c>
      <c r="BL258" s="115">
        <v>-9.83</v>
      </c>
      <c r="BR258" s="115">
        <v>-8.7899999999999991</v>
      </c>
    </row>
    <row r="259" spans="1:229" x14ac:dyDescent="0.25">
      <c r="A259" s="127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27">
        <v>44393</v>
      </c>
      <c r="B260" s="23" t="s">
        <v>57</v>
      </c>
      <c r="C260" s="21">
        <f t="shared" si="7"/>
        <v>-66.540000000000006</v>
      </c>
      <c r="O260" s="375">
        <v>-8.61</v>
      </c>
      <c r="AQ260" s="69">
        <v>-8.52</v>
      </c>
      <c r="AV260" s="69">
        <v>-8.39</v>
      </c>
      <c r="BF260" s="115">
        <v>-8.07</v>
      </c>
      <c r="BL260" s="115">
        <v>-16.38</v>
      </c>
      <c r="BR260" s="115">
        <v>-7.94</v>
      </c>
      <c r="CK260" s="42">
        <v>-8.6300000000000008</v>
      </c>
    </row>
    <row r="261" spans="1:229" x14ac:dyDescent="0.25">
      <c r="A261" s="127">
        <v>44393</v>
      </c>
      <c r="B261" s="23" t="s">
        <v>38</v>
      </c>
      <c r="C261" s="21">
        <f t="shared" si="7"/>
        <v>-271.8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27">
        <v>44403</v>
      </c>
      <c r="B262" s="23" t="s">
        <v>58</v>
      </c>
      <c r="C262" s="21">
        <f t="shared" si="7"/>
        <v>0</v>
      </c>
    </row>
    <row r="263" spans="1:229" x14ac:dyDescent="0.25">
      <c r="A263" s="127">
        <v>44403</v>
      </c>
      <c r="B263" s="23" t="s">
        <v>45</v>
      </c>
      <c r="C263" s="21">
        <f t="shared" si="7"/>
        <v>-16.079999999999998</v>
      </c>
      <c r="DB263" s="115">
        <v>-8.23</v>
      </c>
      <c r="DG263" s="126">
        <v>-7.85</v>
      </c>
    </row>
    <row r="264" spans="1:229" x14ac:dyDescent="0.25">
      <c r="A264" s="127">
        <v>44404</v>
      </c>
      <c r="B264" s="23" t="s">
        <v>68</v>
      </c>
      <c r="C264" s="21">
        <f t="shared" ref="C264:C327" si="8">SUM(I264:JT264)</f>
        <v>-134.77000000000001</v>
      </c>
      <c r="AF264" s="69">
        <v>-33.265000000000001</v>
      </c>
      <c r="AV264" s="69">
        <v>-33.284999999999997</v>
      </c>
      <c r="BF264" s="115">
        <v>-32.19</v>
      </c>
      <c r="BR264" s="115">
        <v>-36.03</v>
      </c>
    </row>
    <row r="265" spans="1:229" x14ac:dyDescent="0.25">
      <c r="A265" s="127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27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27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27">
        <v>44404</v>
      </c>
      <c r="B268" s="23" t="s">
        <v>38</v>
      </c>
      <c r="C268" s="21">
        <f t="shared" si="8"/>
        <v>-74.614999999999995</v>
      </c>
      <c r="EW268" s="88">
        <v>-32.625</v>
      </c>
      <c r="FB268" s="69">
        <v>-41.99</v>
      </c>
    </row>
    <row r="269" spans="1:229" x14ac:dyDescent="0.25">
      <c r="A269" s="127">
        <v>44404</v>
      </c>
      <c r="B269" s="23" t="s">
        <v>29</v>
      </c>
      <c r="C269" s="21">
        <f t="shared" si="8"/>
        <v>-17.36</v>
      </c>
      <c r="BL269" s="115">
        <v>-8.81</v>
      </c>
      <c r="CC269" s="126">
        <v>-8.5500000000000007</v>
      </c>
    </row>
    <row r="270" spans="1:229" x14ac:dyDescent="0.25">
      <c r="A270" s="127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27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27">
        <v>44405</v>
      </c>
      <c r="B272" s="23" t="s">
        <v>15</v>
      </c>
      <c r="C272" s="21">
        <f t="shared" si="8"/>
        <v>-406.23500000000001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27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27">
        <v>44405</v>
      </c>
      <c r="B274" s="23" t="s">
        <v>19</v>
      </c>
      <c r="C274" s="21">
        <f t="shared" si="8"/>
        <v>-598.59500000000003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27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27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27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27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27">
        <v>44406</v>
      </c>
      <c r="B279" s="23" t="s">
        <v>57</v>
      </c>
      <c r="C279" s="21">
        <f t="shared" si="8"/>
        <v>-16.739999999999998</v>
      </c>
      <c r="CC279" s="126">
        <v>-16.739999999999998</v>
      </c>
    </row>
    <row r="280" spans="1:225" x14ac:dyDescent="0.25">
      <c r="A280" s="127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27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27">
        <v>44406</v>
      </c>
      <c r="B282" s="23" t="s">
        <v>15</v>
      </c>
      <c r="C282" s="21">
        <f t="shared" si="8"/>
        <v>-172.76</v>
      </c>
      <c r="AZ282" s="115">
        <v>-16.95</v>
      </c>
      <c r="BL282" s="115">
        <v>-16.68</v>
      </c>
      <c r="BR282" s="115">
        <v>-14.65</v>
      </c>
      <c r="BX282" s="115">
        <v>-34.39</v>
      </c>
      <c r="CC282" s="126">
        <v>-17.22</v>
      </c>
      <c r="CX282" s="69">
        <v>-8.33</v>
      </c>
      <c r="DV282" s="121">
        <v>-23.84</v>
      </c>
      <c r="DW282" s="126">
        <v>-40.700000000000003</v>
      </c>
    </row>
    <row r="283" spans="1:225" x14ac:dyDescent="0.25">
      <c r="A283" s="127">
        <v>44407</v>
      </c>
      <c r="B283" s="23" t="s">
        <v>38</v>
      </c>
      <c r="C283" s="21">
        <f t="shared" si="8"/>
        <v>305.26499999999999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27">
        <v>44407</v>
      </c>
      <c r="B284" s="30" t="s">
        <v>44</v>
      </c>
      <c r="C284" s="21">
        <f t="shared" si="8"/>
        <v>-305.66000000000003</v>
      </c>
      <c r="GJ284" s="202">
        <v>-30.15</v>
      </c>
      <c r="GP284" s="42">
        <v>-211.8</v>
      </c>
      <c r="HE284" s="42">
        <v>-63.71</v>
      </c>
    </row>
    <row r="285" spans="1:225" x14ac:dyDescent="0.25">
      <c r="A285" s="127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27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27">
        <v>44407</v>
      </c>
      <c r="B287" s="30" t="s">
        <v>70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27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27">
        <v>44407</v>
      </c>
      <c r="B289" s="30" t="s">
        <v>27</v>
      </c>
      <c r="C289" s="21">
        <f t="shared" si="8"/>
        <v>-49.26</v>
      </c>
      <c r="AD289" s="115">
        <v>-8.24</v>
      </c>
      <c r="AT289" s="46">
        <v>-7.58</v>
      </c>
      <c r="AZ289" s="115">
        <v>-8.35</v>
      </c>
      <c r="BN289" s="69">
        <v>-8.52</v>
      </c>
      <c r="BX289" s="115">
        <v>-8.34</v>
      </c>
      <c r="CJ289" s="115">
        <v>-8.23</v>
      </c>
    </row>
    <row r="290" spans="1:177" x14ac:dyDescent="0.25">
      <c r="A290" s="127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6">
        <v>-8.2899999999999991</v>
      </c>
      <c r="CF290" s="69">
        <v>-8.5</v>
      </c>
      <c r="CQ290" s="42">
        <v>-8.49</v>
      </c>
    </row>
    <row r="291" spans="1:177" x14ac:dyDescent="0.25">
      <c r="A291" s="127">
        <v>44407</v>
      </c>
      <c r="B291" s="23" t="s">
        <v>25</v>
      </c>
      <c r="C291" s="21">
        <f t="shared" si="8"/>
        <v>-59.244999999999997</v>
      </c>
      <c r="AZ291" s="115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6">
        <v>-8.33</v>
      </c>
      <c r="CF291" s="69">
        <v>-8.5399999999999991</v>
      </c>
    </row>
    <row r="292" spans="1:177" x14ac:dyDescent="0.25">
      <c r="A292" s="127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27">
        <v>44408</v>
      </c>
      <c r="B293" s="23" t="s">
        <v>3</v>
      </c>
      <c r="C293" s="21">
        <f t="shared" si="8"/>
        <v>5774.1850000000004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27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27">
        <v>44408</v>
      </c>
      <c r="B295" s="23" t="s">
        <v>54</v>
      </c>
      <c r="C295" s="21">
        <f t="shared" si="8"/>
        <v>-204.655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27">
        <v>44408</v>
      </c>
      <c r="B296" s="23" t="s">
        <v>15</v>
      </c>
      <c r="C296" s="21">
        <f t="shared" si="8"/>
        <v>-408.65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27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27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27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27">
        <v>44408</v>
      </c>
      <c r="B300" s="23" t="s">
        <v>12</v>
      </c>
      <c r="C300" s="21">
        <f t="shared" si="8"/>
        <v>0</v>
      </c>
    </row>
    <row r="301" spans="1:177" x14ac:dyDescent="0.25">
      <c r="A301" s="127">
        <v>44408</v>
      </c>
      <c r="B301" s="23" t="s">
        <v>44</v>
      </c>
      <c r="C301" s="21">
        <f t="shared" si="8"/>
        <v>0</v>
      </c>
    </row>
    <row r="302" spans="1:177" x14ac:dyDescent="0.25">
      <c r="A302" s="127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27">
        <v>44408</v>
      </c>
      <c r="B303" s="23" t="s">
        <v>27</v>
      </c>
      <c r="C303" s="21">
        <f t="shared" si="8"/>
        <v>-61.85</v>
      </c>
      <c r="EC303" s="126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27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27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27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27">
        <v>44408</v>
      </c>
      <c r="B307" s="23" t="s">
        <v>20</v>
      </c>
      <c r="C307" s="21">
        <f t="shared" si="8"/>
        <v>-46.204999999999998</v>
      </c>
      <c r="Q307" s="163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27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27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27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27">
        <v>44412</v>
      </c>
      <c r="B311" s="23" t="s">
        <v>18</v>
      </c>
      <c r="C311" s="21">
        <f t="shared" si="8"/>
        <v>-951.71500000000003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27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27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27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27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27">
        <v>44413</v>
      </c>
      <c r="B316" s="23" t="s">
        <v>37</v>
      </c>
      <c r="C316" s="21">
        <f t="shared" si="8"/>
        <v>1.42</v>
      </c>
      <c r="GL316" s="42">
        <f>8.04+7.77+8.96+7.07</f>
        <v>31.84</v>
      </c>
      <c r="HG316" s="42">
        <f>7.8+8.35+7.86+7.74+31.7+31.54</f>
        <v>94.99</v>
      </c>
      <c r="HK316" s="50">
        <v>-63.5</v>
      </c>
      <c r="HO316" s="42">
        <v>-61.91</v>
      </c>
    </row>
    <row r="317" spans="1:223" x14ac:dyDescent="0.25">
      <c r="A317" s="127">
        <v>44413</v>
      </c>
      <c r="B317" s="23" t="s">
        <v>32</v>
      </c>
      <c r="C317" s="21">
        <f t="shared" si="8"/>
        <v>-52.77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27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15">
        <v>-8.34</v>
      </c>
      <c r="CC318" s="126">
        <v>-8.39</v>
      </c>
      <c r="DG318" s="126">
        <v>-8.9</v>
      </c>
    </row>
    <row r="319" spans="1:223" x14ac:dyDescent="0.25">
      <c r="A319" s="127">
        <v>44414</v>
      </c>
      <c r="B319" s="23" t="s">
        <v>59</v>
      </c>
      <c r="C319" s="21">
        <f t="shared" si="8"/>
        <v>-124.73</v>
      </c>
      <c r="CJ319" s="115">
        <v>-16.8</v>
      </c>
      <c r="CV319" s="115">
        <v>-16.239999999999998</v>
      </c>
      <c r="DB319" s="115">
        <v>-17.23</v>
      </c>
      <c r="DG319" s="126">
        <v>-25.6</v>
      </c>
      <c r="DM319" s="150">
        <v>-16.510000000000002</v>
      </c>
      <c r="DR319" s="46">
        <v>-15.66</v>
      </c>
      <c r="EC319" s="126">
        <v>-16.690000000000001</v>
      </c>
    </row>
    <row r="320" spans="1:223" x14ac:dyDescent="0.25">
      <c r="A320" s="127">
        <v>44415</v>
      </c>
      <c r="B320" s="23" t="s">
        <v>72</v>
      </c>
      <c r="C320" s="21">
        <f t="shared" si="8"/>
        <v>-51.104999999999997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27">
        <v>44415</v>
      </c>
      <c r="B321" s="23" t="s">
        <v>23</v>
      </c>
      <c r="C321" s="21">
        <f t="shared" si="8"/>
        <v>0</v>
      </c>
    </row>
    <row r="322" spans="1:223" x14ac:dyDescent="0.25">
      <c r="A322" s="127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27">
        <v>44415</v>
      </c>
      <c r="B323" s="23" t="s">
        <v>72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27">
        <v>44417</v>
      </c>
      <c r="B324" s="23" t="s">
        <v>20</v>
      </c>
      <c r="C324" s="21">
        <f t="shared" si="8"/>
        <v>-107.86499999999999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27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27">
        <v>44417</v>
      </c>
      <c r="B326" s="23" t="s">
        <v>2</v>
      </c>
      <c r="C326" s="21">
        <f t="shared" si="8"/>
        <v>5619.12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27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27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27">
        <v>44418</v>
      </c>
      <c r="B329" s="23" t="s">
        <v>12</v>
      </c>
      <c r="C329" s="21">
        <f t="shared" si="9"/>
        <v>-99.74</v>
      </c>
      <c r="O329" s="375">
        <v>-66.185000000000002</v>
      </c>
      <c r="BH329" s="69">
        <v>-33.555</v>
      </c>
    </row>
    <row r="330" spans="1:223" x14ac:dyDescent="0.25">
      <c r="A330" s="127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27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27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27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27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27">
        <v>44419</v>
      </c>
      <c r="B335" s="23" t="s">
        <v>27</v>
      </c>
      <c r="C335" s="21">
        <f t="shared" si="9"/>
        <v>-58.89</v>
      </c>
      <c r="AZ335" s="115">
        <v>-8.02</v>
      </c>
      <c r="BA335" s="42">
        <v>-7.45</v>
      </c>
      <c r="BL335" s="115">
        <v>-9.81</v>
      </c>
      <c r="BM335" s="88">
        <v>-8.64</v>
      </c>
      <c r="CC335" s="126">
        <v>-8.73</v>
      </c>
      <c r="CQ335" s="42">
        <v>-7.26</v>
      </c>
      <c r="DB335" s="115">
        <v>-8.98</v>
      </c>
    </row>
    <row r="336" spans="1:223" x14ac:dyDescent="0.25">
      <c r="A336" s="127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27">
        <v>44419</v>
      </c>
      <c r="B337" s="23" t="s">
        <v>45</v>
      </c>
      <c r="C337" s="21">
        <f t="shared" si="9"/>
        <v>-17.170000000000002</v>
      </c>
      <c r="CT337" s="121">
        <v>-7.85</v>
      </c>
      <c r="DB337" s="115">
        <v>-9.32</v>
      </c>
    </row>
    <row r="338" spans="1:229" x14ac:dyDescent="0.25">
      <c r="A338" s="127">
        <v>44419</v>
      </c>
      <c r="B338" s="23" t="s">
        <v>32</v>
      </c>
      <c r="C338" s="21">
        <f t="shared" si="9"/>
        <v>-3.63</v>
      </c>
      <c r="Q338" s="163">
        <v>-3.63</v>
      </c>
    </row>
    <row r="339" spans="1:229" x14ac:dyDescent="0.25">
      <c r="A339" s="127">
        <v>44419</v>
      </c>
      <c r="B339" s="23" t="s">
        <v>58</v>
      </c>
      <c r="C339" s="21">
        <f t="shared" si="9"/>
        <v>0</v>
      </c>
    </row>
    <row r="340" spans="1:229" x14ac:dyDescent="0.25">
      <c r="A340" s="127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27">
        <v>44420</v>
      </c>
      <c r="B341" s="23" t="s">
        <v>32</v>
      </c>
      <c r="C341" s="21">
        <f t="shared" si="9"/>
        <v>-123.52</v>
      </c>
      <c r="Q341" s="163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27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27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27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27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27">
        <v>44420</v>
      </c>
      <c r="B346" s="23" t="s">
        <v>18</v>
      </c>
      <c r="C346" s="21">
        <f t="shared" si="9"/>
        <v>-621.69500000000005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27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27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27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27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27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27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27">
        <v>44424</v>
      </c>
      <c r="B353" s="29" t="s">
        <v>15</v>
      </c>
      <c r="C353" s="21">
        <f t="shared" si="9"/>
        <v>-52.07</v>
      </c>
      <c r="CE353" s="42">
        <v>-17.12</v>
      </c>
      <c r="CK353" s="42">
        <v>-34.950000000000003</v>
      </c>
    </row>
    <row r="354" spans="1:236" x14ac:dyDescent="0.25">
      <c r="A354" s="127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27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27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27">
        <v>44425</v>
      </c>
      <c r="B357" s="23" t="s">
        <v>15</v>
      </c>
      <c r="C357" s="21">
        <f t="shared" si="9"/>
        <v>-850.87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27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27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27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27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27">
        <v>44426</v>
      </c>
      <c r="B362" s="23" t="s">
        <v>15</v>
      </c>
      <c r="C362" s="21">
        <f t="shared" si="9"/>
        <v>-99.38</v>
      </c>
      <c r="BA362" s="42">
        <v>-49.41</v>
      </c>
      <c r="BL362" s="115">
        <v>-49.97</v>
      </c>
    </row>
    <row r="363" spans="1:236" x14ac:dyDescent="0.25">
      <c r="A363" s="127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27">
        <v>44426</v>
      </c>
      <c r="B364" s="23" t="s">
        <v>12</v>
      </c>
      <c r="C364" s="21">
        <f t="shared" si="9"/>
        <v>-171.86500000000001</v>
      </c>
      <c r="O364" s="375">
        <v>-171.86500000000001</v>
      </c>
    </row>
    <row r="365" spans="1:236" x14ac:dyDescent="0.25">
      <c r="A365" s="127">
        <v>44426</v>
      </c>
      <c r="B365" s="23" t="s">
        <v>13</v>
      </c>
      <c r="C365" s="21">
        <f t="shared" si="9"/>
        <v>-8.5150000000000006</v>
      </c>
      <c r="O365" s="375">
        <v>-8.5150000000000006</v>
      </c>
    </row>
    <row r="366" spans="1:236" x14ac:dyDescent="0.25">
      <c r="A366" s="127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27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27">
        <v>44426</v>
      </c>
      <c r="B368" s="29" t="s">
        <v>18</v>
      </c>
      <c r="C368" s="21">
        <f t="shared" si="9"/>
        <v>-443.94499999999999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27">
        <v>44427</v>
      </c>
      <c r="B369" s="29" t="s">
        <v>19</v>
      </c>
      <c r="C369" s="21">
        <f t="shared" si="9"/>
        <v>93.99</v>
      </c>
      <c r="BP369" s="121">
        <v>30.71</v>
      </c>
      <c r="BV369" s="121">
        <v>29.63</v>
      </c>
      <c r="CB369" s="121">
        <v>33.65</v>
      </c>
    </row>
    <row r="370" spans="1:220" ht="15" customHeight="1" x14ac:dyDescent="0.25">
      <c r="A370" s="127">
        <v>44427</v>
      </c>
      <c r="B370" s="23" t="s">
        <v>27</v>
      </c>
      <c r="C370" s="21">
        <f t="shared" si="9"/>
        <v>-49.06</v>
      </c>
      <c r="BA370" s="42">
        <v>-6.86</v>
      </c>
      <c r="BL370" s="115">
        <v>-9.39</v>
      </c>
      <c r="BV370" s="121">
        <v>-7.39</v>
      </c>
      <c r="CB370" s="121">
        <v>-8.26</v>
      </c>
      <c r="CJ370" s="115">
        <v>-8.81</v>
      </c>
      <c r="CP370" s="115">
        <v>-8.35</v>
      </c>
    </row>
    <row r="371" spans="1:220" ht="15" customHeight="1" x14ac:dyDescent="0.25">
      <c r="A371" s="127">
        <v>44427</v>
      </c>
      <c r="B371" s="23" t="s">
        <v>20</v>
      </c>
      <c r="C371" s="21">
        <f t="shared" si="9"/>
        <v>-73.17</v>
      </c>
      <c r="AU371" s="42">
        <v>-7.53</v>
      </c>
      <c r="BA371" s="42">
        <v>-7.06</v>
      </c>
      <c r="BH371" s="69">
        <v>-8.49</v>
      </c>
      <c r="BV371" s="121">
        <v>-7.44</v>
      </c>
      <c r="CB371" s="121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27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27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27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27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27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27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1">
        <v>-8.86</v>
      </c>
    </row>
    <row r="378" spans="1:220" ht="15" customHeight="1" x14ac:dyDescent="0.25">
      <c r="A378" s="127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27">
        <v>44428</v>
      </c>
      <c r="B379" s="23" t="s">
        <v>48</v>
      </c>
      <c r="C379" s="21">
        <f t="shared" si="9"/>
        <v>-39.840000000000003</v>
      </c>
      <c r="BL379" s="115">
        <v>-8.73</v>
      </c>
      <c r="BP379" s="121">
        <v>-7.95</v>
      </c>
      <c r="BV379" s="121">
        <v>-14.8</v>
      </c>
      <c r="CB379" s="121">
        <v>-8.36</v>
      </c>
    </row>
    <row r="380" spans="1:220" x14ac:dyDescent="0.25">
      <c r="A380" s="127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27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27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27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27">
        <v>44431</v>
      </c>
      <c r="B384" s="23" t="s">
        <v>43</v>
      </c>
      <c r="C384" s="21">
        <f t="shared" si="9"/>
        <v>-102.46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27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27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27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27">
        <v>44432</v>
      </c>
      <c r="B388" s="23" t="s">
        <v>44</v>
      </c>
      <c r="C388" s="21">
        <f t="shared" si="9"/>
        <v>-149.85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27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27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27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27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27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27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27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27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27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27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27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27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27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5">
        <v>-9.14</v>
      </c>
      <c r="BN401" s="69">
        <v>-8.2650000000000006</v>
      </c>
      <c r="BS401" s="42">
        <v>-8.73</v>
      </c>
      <c r="CP401" s="115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27">
        <v>44434</v>
      </c>
      <c r="B402" s="23" t="s">
        <v>25</v>
      </c>
      <c r="C402" s="21">
        <f t="shared" si="10"/>
        <v>-61.145000000000003</v>
      </c>
      <c r="AP402" s="42">
        <v>-8.32</v>
      </c>
      <c r="BL402" s="115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27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27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5">
        <v>-8.42</v>
      </c>
    </row>
    <row r="405" spans="1:223" x14ac:dyDescent="0.25">
      <c r="A405" s="127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27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27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27">
        <v>44435</v>
      </c>
      <c r="B408" s="23" t="s">
        <v>23</v>
      </c>
      <c r="C408" s="21">
        <f t="shared" si="10"/>
        <v>0</v>
      </c>
    </row>
    <row r="409" spans="1:223" x14ac:dyDescent="0.25">
      <c r="A409" s="127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27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1">
        <v>-7.47</v>
      </c>
    </row>
    <row r="411" spans="1:223" x14ac:dyDescent="0.25">
      <c r="A411" s="127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27">
        <v>44435</v>
      </c>
      <c r="B412" s="23" t="s">
        <v>15</v>
      </c>
      <c r="C412" s="21">
        <f t="shared" si="10"/>
        <v>-24.405000000000001</v>
      </c>
      <c r="BL412" s="115">
        <v>-7.68</v>
      </c>
      <c r="BN412" s="69">
        <v>-16.725000000000001</v>
      </c>
    </row>
    <row r="413" spans="1:223" x14ac:dyDescent="0.25">
      <c r="A413" s="127">
        <v>44435</v>
      </c>
      <c r="B413" s="23" t="s">
        <v>38</v>
      </c>
      <c r="C413" s="21">
        <f t="shared" si="10"/>
        <v>235.72499999999999</v>
      </c>
      <c r="BZ413" s="69">
        <v>134.02500000000001</v>
      </c>
      <c r="DZ413" s="69">
        <v>101.7</v>
      </c>
    </row>
    <row r="414" spans="1:223" x14ac:dyDescent="0.25">
      <c r="A414" s="127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27">
        <v>44435</v>
      </c>
      <c r="B415" s="23" t="s">
        <v>19</v>
      </c>
      <c r="C415" s="21">
        <f t="shared" si="10"/>
        <v>376.05</v>
      </c>
      <c r="BD415" s="121">
        <v>65.760000000000005</v>
      </c>
      <c r="BJ415" s="121">
        <v>23.15</v>
      </c>
      <c r="BL415" s="115">
        <v>33.08</v>
      </c>
      <c r="BP415" s="121">
        <v>59.39</v>
      </c>
      <c r="BV415" s="121">
        <v>31.44</v>
      </c>
      <c r="BX415" s="115">
        <v>32.619999999999997</v>
      </c>
      <c r="CB415" s="121">
        <v>66.430000000000007</v>
      </c>
      <c r="CT415" s="121">
        <v>64.180000000000007</v>
      </c>
    </row>
    <row r="416" spans="1:223" x14ac:dyDescent="0.25">
      <c r="A416" s="127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27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27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27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27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27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27">
        <v>44439</v>
      </c>
      <c r="B422" s="23" t="s">
        <v>12</v>
      </c>
      <c r="C422" s="21">
        <f t="shared" si="10"/>
        <v>0</v>
      </c>
    </row>
    <row r="423" spans="1:158" x14ac:dyDescent="0.25">
      <c r="A423" s="127">
        <v>44439</v>
      </c>
      <c r="B423" s="23" t="s">
        <v>68</v>
      </c>
      <c r="C423" s="21">
        <f t="shared" si="10"/>
        <v>-98.46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27">
        <v>44439</v>
      </c>
      <c r="B424" s="23" t="s">
        <v>12</v>
      </c>
      <c r="C424" s="21">
        <f t="shared" si="10"/>
        <v>0</v>
      </c>
    </row>
    <row r="425" spans="1:158" x14ac:dyDescent="0.25">
      <c r="A425" s="127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27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5">
        <v>-35.229999999999997</v>
      </c>
      <c r="CR426" s="69">
        <v>-97.385000000000005</v>
      </c>
    </row>
    <row r="427" spans="1:158" x14ac:dyDescent="0.25">
      <c r="A427" s="127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27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27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27">
        <v>44440</v>
      </c>
      <c r="B430" s="23" t="s">
        <v>76</v>
      </c>
      <c r="C430" s="21">
        <f t="shared" si="10"/>
        <v>223.51499999999999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27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27">
        <v>44441</v>
      </c>
      <c r="B432" s="23" t="s">
        <v>20</v>
      </c>
      <c r="C432" s="21">
        <f t="shared" si="10"/>
        <v>-25.3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27">
        <v>44441</v>
      </c>
      <c r="B433" s="23" t="s">
        <v>27</v>
      </c>
      <c r="C433" s="21">
        <f t="shared" si="10"/>
        <v>-32.97</v>
      </c>
      <c r="Y433" s="69">
        <v>-8.52</v>
      </c>
      <c r="AI433" s="126">
        <v>-7.88</v>
      </c>
      <c r="AO433" s="46">
        <v>-8.76</v>
      </c>
      <c r="AT433" s="46">
        <v>-7.81</v>
      </c>
    </row>
    <row r="434" spans="1:242" x14ac:dyDescent="0.25">
      <c r="A434" s="127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27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27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27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27">
        <v>44442</v>
      </c>
      <c r="B438" s="23" t="s">
        <v>41</v>
      </c>
      <c r="C438" s="21">
        <f t="shared" si="10"/>
        <v>-24.63</v>
      </c>
      <c r="BD438" s="121">
        <v>-8.16</v>
      </c>
      <c r="BN438" s="69">
        <v>-8.32</v>
      </c>
      <c r="BS438" s="42">
        <v>-8.15</v>
      </c>
    </row>
    <row r="439" spans="1:242" x14ac:dyDescent="0.25">
      <c r="A439" s="127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27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27">
        <v>44445</v>
      </c>
      <c r="B441" s="23" t="s">
        <v>34</v>
      </c>
      <c r="C441" s="21">
        <f t="shared" si="10"/>
        <v>-16.940000000000001</v>
      </c>
      <c r="CJ441" s="115">
        <v>-16.940000000000001</v>
      </c>
    </row>
    <row r="442" spans="1:242" x14ac:dyDescent="0.25">
      <c r="A442" s="127">
        <v>44445</v>
      </c>
      <c r="B442" s="23" t="s">
        <v>38</v>
      </c>
      <c r="C442" s="21">
        <f t="shared" si="10"/>
        <v>-101.38500000000001</v>
      </c>
      <c r="DD442" s="69">
        <v>-16.835000000000001</v>
      </c>
      <c r="ES442" s="69">
        <v>-84.55</v>
      </c>
    </row>
    <row r="443" spans="1:242" x14ac:dyDescent="0.25">
      <c r="A443" s="127">
        <v>44445</v>
      </c>
      <c r="B443" s="23" t="s">
        <v>50</v>
      </c>
      <c r="C443" s="21">
        <f t="shared" si="10"/>
        <v>-221.64</v>
      </c>
      <c r="HW443" s="42">
        <v>-92.9</v>
      </c>
      <c r="IB443" s="42">
        <v>-128.74</v>
      </c>
    </row>
    <row r="444" spans="1:242" x14ac:dyDescent="0.25">
      <c r="A444" s="127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27">
        <v>44445</v>
      </c>
      <c r="B445" s="23" t="s">
        <v>2</v>
      </c>
      <c r="C445" s="21">
        <f t="shared" si="10"/>
        <v>4952.96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27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27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27">
        <v>44446</v>
      </c>
      <c r="B448" s="23" t="s">
        <v>20</v>
      </c>
      <c r="C448" s="21">
        <f t="shared" si="10"/>
        <v>-41.79</v>
      </c>
      <c r="AP448" s="42">
        <v>-8.36</v>
      </c>
      <c r="AU448" s="42">
        <v>-8.43</v>
      </c>
      <c r="BA448" s="42">
        <v>-8.74</v>
      </c>
      <c r="BJ448" s="121">
        <v>-7.88</v>
      </c>
      <c r="BM448" s="88">
        <v>-8.3800000000000008</v>
      </c>
    </row>
    <row r="449" spans="1:236" x14ac:dyDescent="0.25">
      <c r="A449" s="127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27">
        <v>44446</v>
      </c>
      <c r="B450" s="23" t="s">
        <v>32</v>
      </c>
      <c r="C450" s="21">
        <f t="shared" si="10"/>
        <v>-8.1199999999999992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27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27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27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27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27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27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27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27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27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27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27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27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27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27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27">
        <v>44448</v>
      </c>
      <c r="B465" s="23" t="s">
        <v>12</v>
      </c>
      <c r="C465" s="21">
        <f t="shared" si="11"/>
        <v>0</v>
      </c>
    </row>
    <row r="466" spans="1:225" x14ac:dyDescent="0.25">
      <c r="A466" s="127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27">
        <v>44448</v>
      </c>
      <c r="B467" s="23" t="s">
        <v>27</v>
      </c>
      <c r="C467" s="21">
        <f t="shared" si="11"/>
        <v>-66.42</v>
      </c>
      <c r="AZ467" s="115">
        <v>-8.8000000000000007</v>
      </c>
      <c r="BJ467" s="121">
        <v>-7.3</v>
      </c>
      <c r="CB467" s="121">
        <v>-8.26</v>
      </c>
      <c r="CK467" s="42">
        <v>-8.44</v>
      </c>
      <c r="DY467" s="42">
        <v>-8.3699999999999992</v>
      </c>
      <c r="EB467" s="121">
        <v>-8.32</v>
      </c>
      <c r="EF467" s="69">
        <v>-16.93</v>
      </c>
    </row>
    <row r="468" spans="1:225" x14ac:dyDescent="0.25">
      <c r="A468" s="127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27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27">
        <v>44448</v>
      </c>
      <c r="B470" s="23" t="s">
        <v>32</v>
      </c>
      <c r="C470" s="21">
        <f t="shared" si="11"/>
        <v>-348.08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27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27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27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27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27">
        <v>44449</v>
      </c>
      <c r="B475" s="23" t="s">
        <v>18</v>
      </c>
      <c r="C475" s="21">
        <f t="shared" si="11"/>
        <v>-307.52499999999998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1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1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1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1">
        <v>44450</v>
      </c>
      <c r="B479" s="23" t="s">
        <v>79</v>
      </c>
      <c r="C479" s="21">
        <f t="shared" si="11"/>
        <v>-58.05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1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1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1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1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1">
        <v>44453</v>
      </c>
      <c r="B484" s="23" t="s">
        <v>41</v>
      </c>
      <c r="C484" s="21">
        <f t="shared" si="11"/>
        <v>-51.96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1">
        <v>44453</v>
      </c>
      <c r="B485" s="23" t="s">
        <v>15</v>
      </c>
      <c r="C485" s="21">
        <f t="shared" si="11"/>
        <v>-69.355000000000004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1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1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1">
        <v>44454</v>
      </c>
      <c r="B488" s="23" t="s">
        <v>27</v>
      </c>
      <c r="C488" s="21">
        <f t="shared" si="11"/>
        <v>-40.06</v>
      </c>
      <c r="AZ488" s="115">
        <v>-8.4600000000000009</v>
      </c>
      <c r="BD488" s="121">
        <v>-8.34</v>
      </c>
      <c r="BJ488" s="121">
        <v>-7.97</v>
      </c>
      <c r="BP488" s="121">
        <v>-15.29</v>
      </c>
    </row>
    <row r="489" spans="1:231" x14ac:dyDescent="0.25">
      <c r="A489" s="131">
        <v>44454</v>
      </c>
      <c r="B489" s="23" t="s">
        <v>28</v>
      </c>
      <c r="C489" s="21">
        <f t="shared" si="11"/>
        <v>-29.1</v>
      </c>
      <c r="BM489" s="88">
        <v>-21.72</v>
      </c>
      <c r="BS489" s="42">
        <v>-7.38</v>
      </c>
    </row>
    <row r="490" spans="1:231" x14ac:dyDescent="0.25">
      <c r="A490" s="131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1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1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1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1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1">
        <v>44455</v>
      </c>
      <c r="B495" s="23" t="s">
        <v>13</v>
      </c>
      <c r="C495" s="21">
        <f t="shared" si="11"/>
        <v>-42.494999999999997</v>
      </c>
      <c r="O495" s="375">
        <v>-8.6150000000000002</v>
      </c>
      <c r="AQ495" s="69">
        <v>-33.880000000000003</v>
      </c>
    </row>
    <row r="496" spans="1:231" x14ac:dyDescent="0.25">
      <c r="A496" s="131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1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1">
        <v>44456</v>
      </c>
      <c r="B498" s="23" t="s">
        <v>60</v>
      </c>
      <c r="C498" s="21">
        <f t="shared" si="11"/>
        <v>-68.790000000000006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1">
        <v>44456</v>
      </c>
      <c r="B499" s="23" t="s">
        <v>38</v>
      </c>
      <c r="C499" s="21">
        <f t="shared" si="11"/>
        <v>510.87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1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5">
        <v>-8.89</v>
      </c>
      <c r="BY500" s="42">
        <v>-8.6999999999999993</v>
      </c>
      <c r="DD500" s="69">
        <v>-8.26</v>
      </c>
    </row>
    <row r="501" spans="1:223" x14ac:dyDescent="0.25">
      <c r="A501" s="131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1">
        <v>44456</v>
      </c>
      <c r="B502" s="23" t="s">
        <v>25</v>
      </c>
      <c r="C502" s="21">
        <f t="shared" si="11"/>
        <v>-66.58</v>
      </c>
      <c r="BG502" s="42">
        <v>-8.66</v>
      </c>
      <c r="BL502" s="115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27">
        <v>44456</v>
      </c>
      <c r="B503" s="23" t="s">
        <v>44</v>
      </c>
      <c r="C503" s="21">
        <f t="shared" si="11"/>
        <v>-231.2</v>
      </c>
      <c r="GJ503" s="202">
        <v>-29.98</v>
      </c>
      <c r="GP503" s="42">
        <v>-169.8</v>
      </c>
      <c r="HE503" s="42">
        <v>-31.42</v>
      </c>
    </row>
    <row r="504" spans="1:223" x14ac:dyDescent="0.25">
      <c r="A504" s="127">
        <v>44456</v>
      </c>
      <c r="B504" s="23" t="s">
        <v>81</v>
      </c>
      <c r="C504" s="21">
        <f t="shared" si="11"/>
        <v>-195.17500000000001</v>
      </c>
      <c r="Q504" s="163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1">
        <v>-8.89</v>
      </c>
      <c r="BL504" s="115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27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27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1">
        <v>-31.44</v>
      </c>
      <c r="CK506" s="42">
        <v>-16.760000000000002</v>
      </c>
      <c r="CL506" s="69">
        <v>-34.01</v>
      </c>
      <c r="CW506" s="42">
        <v>-25.74</v>
      </c>
      <c r="CZ506" s="121">
        <v>-9</v>
      </c>
    </row>
    <row r="507" spans="1:223" x14ac:dyDescent="0.25">
      <c r="A507" s="127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27">
        <v>44459</v>
      </c>
      <c r="B508" s="23" t="s">
        <v>17</v>
      </c>
      <c r="C508" s="21">
        <f t="shared" si="11"/>
        <v>-76.525000000000006</v>
      </c>
      <c r="BN508" s="69">
        <v>-8.5350000000000001</v>
      </c>
      <c r="CR508" s="69">
        <v>-67.989999999999995</v>
      </c>
    </row>
    <row r="509" spans="1:223" x14ac:dyDescent="0.25">
      <c r="A509" s="127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27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27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27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27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375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27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27">
        <v>44461</v>
      </c>
      <c r="B515" s="23" t="s">
        <v>27</v>
      </c>
      <c r="C515" s="21">
        <f t="shared" si="11"/>
        <v>-23.91</v>
      </c>
      <c r="BD515" s="121">
        <v>-8.74</v>
      </c>
      <c r="BX515" s="115">
        <v>-7.97</v>
      </c>
      <c r="CT515" s="121">
        <v>-7.2</v>
      </c>
    </row>
    <row r="516" spans="1:238" x14ac:dyDescent="0.25">
      <c r="A516" s="127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5">
        <v>-9.16</v>
      </c>
    </row>
    <row r="517" spans="1:238" x14ac:dyDescent="0.25">
      <c r="A517" s="127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27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27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27">
        <v>44461</v>
      </c>
      <c r="B520" s="23" t="s">
        <v>13</v>
      </c>
      <c r="C520" s="21">
        <f t="shared" ref="C520:C583" si="12">SUM(I520:JT520)</f>
        <v>-141.095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27">
        <v>44461</v>
      </c>
      <c r="B521" s="23" t="s">
        <v>32</v>
      </c>
      <c r="C521" s="21">
        <f t="shared" si="12"/>
        <v>-17.135000000000002</v>
      </c>
      <c r="EF521" s="69">
        <v>-8.4350000000000005</v>
      </c>
      <c r="EJ521" s="42">
        <v>-8.6999999999999993</v>
      </c>
    </row>
    <row r="522" spans="1:238" x14ac:dyDescent="0.25">
      <c r="A522" s="127">
        <v>44461</v>
      </c>
      <c r="B522" s="23" t="s">
        <v>47</v>
      </c>
      <c r="C522" s="21">
        <f t="shared" si="12"/>
        <v>-133.94999999999999</v>
      </c>
      <c r="AM522" s="69">
        <v>-8.4600000000000009</v>
      </c>
      <c r="AU522" s="42">
        <v>-8.6300000000000008</v>
      </c>
      <c r="BD522" s="121">
        <v>-16.37</v>
      </c>
      <c r="BL522" s="115">
        <v>-17.579999999999998</v>
      </c>
      <c r="BS522" s="42">
        <v>-24.01</v>
      </c>
      <c r="BY522" s="42">
        <v>-26.31</v>
      </c>
      <c r="CJ522" s="115">
        <v>-24.2</v>
      </c>
      <c r="CL522" s="69">
        <v>-8.39</v>
      </c>
    </row>
    <row r="523" spans="1:238" x14ac:dyDescent="0.25">
      <c r="A523" s="127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27">
        <v>44461</v>
      </c>
      <c r="B524" s="23" t="s">
        <v>19</v>
      </c>
      <c r="C524" s="21">
        <f t="shared" si="12"/>
        <v>928.79</v>
      </c>
      <c r="AT524" s="46">
        <v>36.119999999999997</v>
      </c>
      <c r="AZ524" s="115">
        <v>67.650000000000006</v>
      </c>
      <c r="BD524" s="121">
        <v>23.13</v>
      </c>
      <c r="BF524" s="115">
        <v>70.53</v>
      </c>
      <c r="BL524" s="115">
        <v>70.19</v>
      </c>
      <c r="BP524" s="121">
        <v>32.1</v>
      </c>
      <c r="BR524" s="115">
        <v>62.03</v>
      </c>
      <c r="BX524" s="115">
        <v>35.39</v>
      </c>
      <c r="CB524" s="121">
        <v>33.54</v>
      </c>
      <c r="CC524" s="126">
        <v>66.150000000000006</v>
      </c>
      <c r="CJ524" s="115">
        <v>66.42</v>
      </c>
      <c r="CP524" s="115">
        <v>66.23</v>
      </c>
      <c r="CV524" s="115">
        <v>63.86</v>
      </c>
      <c r="DB524" s="115">
        <v>32.72</v>
      </c>
      <c r="DG524" s="126">
        <v>32.49</v>
      </c>
      <c r="DM524" s="150">
        <v>33.1</v>
      </c>
      <c r="DR524" s="46">
        <v>33.24</v>
      </c>
      <c r="DW524" s="126">
        <v>36.729999999999997</v>
      </c>
      <c r="EC524" s="126">
        <v>67.17</v>
      </c>
    </row>
    <row r="525" spans="1:238" x14ac:dyDescent="0.25">
      <c r="A525" s="127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27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27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27">
        <v>44463</v>
      </c>
      <c r="B528" s="23" t="s">
        <v>15</v>
      </c>
      <c r="C528" s="21">
        <f t="shared" si="12"/>
        <v>-106.395</v>
      </c>
      <c r="BD528" s="121">
        <v>-7.85</v>
      </c>
      <c r="BL528" s="115">
        <v>-26.29</v>
      </c>
      <c r="CJ528" s="115">
        <v>-16.86</v>
      </c>
      <c r="CT528" s="121">
        <v>-17.579999999999998</v>
      </c>
      <c r="FJ528" s="69">
        <v>-16.350000000000001</v>
      </c>
      <c r="GA528" s="88">
        <v>-21.465</v>
      </c>
    </row>
    <row r="529" spans="1:223" x14ac:dyDescent="0.25">
      <c r="A529" s="127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27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27">
        <v>44466</v>
      </c>
      <c r="B531" s="23" t="s">
        <v>75</v>
      </c>
      <c r="C531" s="21">
        <f t="shared" si="12"/>
        <v>-50.725000000000001</v>
      </c>
      <c r="BL531" s="115">
        <v>-8.77</v>
      </c>
      <c r="CL531" s="69">
        <v>-8.5399999999999991</v>
      </c>
      <c r="CR531" s="69">
        <v>-8.9149999999999991</v>
      </c>
      <c r="DB531" s="115">
        <v>-16.84</v>
      </c>
      <c r="DD531" s="69">
        <v>-7.66</v>
      </c>
    </row>
    <row r="532" spans="1:223" x14ac:dyDescent="0.25">
      <c r="A532" s="127">
        <v>44466</v>
      </c>
      <c r="B532" s="23" t="s">
        <v>27</v>
      </c>
      <c r="C532" s="21">
        <f t="shared" si="12"/>
        <v>-33.25</v>
      </c>
      <c r="BL532" s="115">
        <v>-8.6999999999999993</v>
      </c>
      <c r="CB532" s="121">
        <v>-8.17</v>
      </c>
      <c r="CP532" s="115">
        <v>-7.86</v>
      </c>
      <c r="CT532" s="121">
        <v>-8.52</v>
      </c>
    </row>
    <row r="533" spans="1:223" x14ac:dyDescent="0.25">
      <c r="A533" s="127">
        <v>44466</v>
      </c>
      <c r="B533" s="23" t="s">
        <v>15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27">
        <v>44466</v>
      </c>
      <c r="B534" s="23" t="s">
        <v>59</v>
      </c>
      <c r="C534" s="21">
        <f t="shared" si="12"/>
        <v>-7.59</v>
      </c>
      <c r="CJ534" s="115">
        <v>-7.59</v>
      </c>
    </row>
    <row r="535" spans="1:223" x14ac:dyDescent="0.25">
      <c r="A535" s="127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27">
        <v>44467</v>
      </c>
      <c r="B536" s="29" t="s">
        <v>20</v>
      </c>
      <c r="C536" s="21">
        <f t="shared" si="12"/>
        <v>-66.290000000000006</v>
      </c>
      <c r="BD536" s="121">
        <v>-7.41</v>
      </c>
      <c r="BL536" s="115">
        <v>-8.7799999999999994</v>
      </c>
      <c r="BN536" s="69">
        <v>-8.5350000000000001</v>
      </c>
      <c r="BX536" s="115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27">
        <v>44467</v>
      </c>
      <c r="B537" s="29" t="s">
        <v>57</v>
      </c>
      <c r="C537" s="21">
        <f t="shared" si="12"/>
        <v>-17.010000000000002</v>
      </c>
      <c r="AB537" s="69">
        <v>-8.5399999999999991</v>
      </c>
      <c r="AE537" s="42">
        <v>-8.4700000000000006</v>
      </c>
    </row>
    <row r="538" spans="1:223" x14ac:dyDescent="0.25">
      <c r="A538" s="127">
        <v>44467</v>
      </c>
      <c r="B538" s="29" t="s">
        <v>32</v>
      </c>
      <c r="C538" s="21">
        <f t="shared" si="12"/>
        <v>-7.58</v>
      </c>
      <c r="BD538" s="121">
        <v>-7.58</v>
      </c>
    </row>
    <row r="539" spans="1:223" x14ac:dyDescent="0.25">
      <c r="A539" s="127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27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27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27">
        <v>44468</v>
      </c>
      <c r="B542" s="23" t="s">
        <v>25</v>
      </c>
      <c r="C542" s="21">
        <f t="shared" si="12"/>
        <v>-40.03</v>
      </c>
      <c r="BL542" s="115">
        <v>-7.0000000000000007E-2</v>
      </c>
      <c r="BP542" s="121">
        <v>-7.16</v>
      </c>
      <c r="BX542" s="115">
        <v>-16.68</v>
      </c>
      <c r="CJ542" s="115">
        <v>-7.74</v>
      </c>
      <c r="CL542" s="69">
        <v>-8.3800000000000008</v>
      </c>
    </row>
    <row r="543" spans="1:223" x14ac:dyDescent="0.25">
      <c r="A543" s="127">
        <v>44468</v>
      </c>
      <c r="B543" s="23" t="s">
        <v>79</v>
      </c>
      <c r="C543" s="21">
        <f t="shared" si="12"/>
        <v>-8.43</v>
      </c>
      <c r="CJ543" s="115">
        <v>-8.43</v>
      </c>
    </row>
    <row r="544" spans="1:223" x14ac:dyDescent="0.25">
      <c r="A544" s="127">
        <v>44468</v>
      </c>
      <c r="B544" s="23" t="s">
        <v>15</v>
      </c>
      <c r="C544" s="21">
        <f t="shared" si="12"/>
        <v>-80.989999999999995</v>
      </c>
      <c r="CV544" s="115">
        <v>-48.27</v>
      </c>
      <c r="DB544" s="115">
        <v>-32.72</v>
      </c>
    </row>
    <row r="545" spans="1:242" x14ac:dyDescent="0.25">
      <c r="A545" s="127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27">
        <v>44468</v>
      </c>
      <c r="B546" s="23" t="s">
        <v>50</v>
      </c>
      <c r="C546" s="21">
        <f t="shared" si="12"/>
        <v>-252.01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27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27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27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27">
        <v>44469</v>
      </c>
      <c r="B550" s="23" t="s">
        <v>82</v>
      </c>
      <c r="C550" s="21">
        <f t="shared" si="12"/>
        <v>-125.29</v>
      </c>
      <c r="HG550" s="42">
        <v>-61.85</v>
      </c>
      <c r="HQ550" s="42">
        <v>-63.44</v>
      </c>
    </row>
    <row r="551" spans="1:242" x14ac:dyDescent="0.25">
      <c r="A551" s="127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27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27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27">
        <v>44469</v>
      </c>
      <c r="B554" s="23" t="s">
        <v>45</v>
      </c>
      <c r="C554" s="21">
        <f t="shared" si="12"/>
        <v>-33.1</v>
      </c>
      <c r="DM554" s="150">
        <v>-33.1</v>
      </c>
    </row>
    <row r="555" spans="1:242" x14ac:dyDescent="0.25">
      <c r="A555" s="127">
        <v>44470</v>
      </c>
      <c r="B555" s="23" t="s">
        <v>75</v>
      </c>
      <c r="C555" s="21">
        <f t="shared" si="12"/>
        <v>-12.15</v>
      </c>
      <c r="L555" s="69">
        <v>-8.49</v>
      </c>
      <c r="Q555" s="163">
        <v>-3.66</v>
      </c>
    </row>
    <row r="556" spans="1:242" x14ac:dyDescent="0.25">
      <c r="A556" s="127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27">
        <v>44470</v>
      </c>
      <c r="B557" s="23" t="s">
        <v>23</v>
      </c>
      <c r="C557" s="21">
        <f t="shared" si="12"/>
        <v>0</v>
      </c>
    </row>
    <row r="558" spans="1:242" x14ac:dyDescent="0.25">
      <c r="A558" s="127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27">
        <v>44470</v>
      </c>
      <c r="B559" s="23" t="s">
        <v>19</v>
      </c>
      <c r="C559" s="21">
        <f t="shared" si="12"/>
        <v>-612.63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27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27">
        <v>44470</v>
      </c>
      <c r="B561" s="23" t="s">
        <v>32</v>
      </c>
      <c r="C561" s="21">
        <f t="shared" si="12"/>
        <v>-105.78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5">
        <v>-9.83</v>
      </c>
      <c r="BX561" s="115">
        <v>-9.11</v>
      </c>
    </row>
    <row r="562" spans="1:220" x14ac:dyDescent="0.25">
      <c r="A562" s="127">
        <v>44470</v>
      </c>
      <c r="B562" s="23" t="s">
        <v>59</v>
      </c>
      <c r="C562" s="21">
        <f t="shared" si="12"/>
        <v>-18.64</v>
      </c>
      <c r="DC562" s="42">
        <v>-8.93</v>
      </c>
      <c r="DW562" s="126">
        <v>-9.7100000000000009</v>
      </c>
    </row>
    <row r="563" spans="1:220" x14ac:dyDescent="0.25">
      <c r="A563" s="127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27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27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27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27">
        <v>44473</v>
      </c>
      <c r="B567" s="23" t="s">
        <v>32</v>
      </c>
      <c r="C567" s="21">
        <f t="shared" si="12"/>
        <v>-162.19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27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27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27">
        <v>44473</v>
      </c>
      <c r="B570" s="23" t="s">
        <v>45</v>
      </c>
      <c r="C570" s="21">
        <f t="shared" si="12"/>
        <v>-33.61</v>
      </c>
      <c r="DW570" s="126">
        <v>-17.57</v>
      </c>
      <c r="EC570" s="126">
        <v>-16.04</v>
      </c>
    </row>
    <row r="571" spans="1:220" x14ac:dyDescent="0.25">
      <c r="A571" s="127">
        <v>44474</v>
      </c>
      <c r="B571" s="23" t="s">
        <v>18</v>
      </c>
      <c r="C571" s="21">
        <f t="shared" si="12"/>
        <v>0</v>
      </c>
    </row>
    <row r="572" spans="1:220" x14ac:dyDescent="0.25">
      <c r="A572" s="127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27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27">
        <v>44474</v>
      </c>
      <c r="B574" s="23" t="s">
        <v>37</v>
      </c>
      <c r="C574" s="21">
        <f t="shared" si="12"/>
        <v>-132.77000000000001</v>
      </c>
      <c r="HK574" s="50">
        <v>-66.38</v>
      </c>
      <c r="HL574" s="42">
        <v>-66.39</v>
      </c>
    </row>
    <row r="575" spans="1:220" x14ac:dyDescent="0.25">
      <c r="A575" s="127">
        <v>44474</v>
      </c>
      <c r="B575" s="23" t="s">
        <v>13</v>
      </c>
      <c r="C575" s="21">
        <f t="shared" si="12"/>
        <v>-210.245</v>
      </c>
      <c r="O575" s="375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27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27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27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27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27">
        <v>44475</v>
      </c>
      <c r="B580" s="23" t="s">
        <v>83</v>
      </c>
      <c r="C580" s="21">
        <f t="shared" si="12"/>
        <v>0</v>
      </c>
    </row>
    <row r="581" spans="1:145" x14ac:dyDescent="0.25">
      <c r="A581" s="127">
        <v>44475</v>
      </c>
      <c r="B581" s="23" t="s">
        <v>20</v>
      </c>
      <c r="C581" s="21">
        <f t="shared" si="12"/>
        <v>-34.64</v>
      </c>
      <c r="O581" s="375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27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5">
        <v>-8.82</v>
      </c>
      <c r="BX582" s="115">
        <v>-9.11</v>
      </c>
      <c r="CB582" s="121">
        <v>-8.58</v>
      </c>
      <c r="CJ582" s="115">
        <v>-7.91</v>
      </c>
      <c r="CW582" s="42">
        <v>-8.73</v>
      </c>
      <c r="DB582" s="115">
        <v>-8.9700000000000006</v>
      </c>
      <c r="DW582" s="126">
        <v>-9.4499999999999993</v>
      </c>
    </row>
    <row r="583" spans="1:145" x14ac:dyDescent="0.25">
      <c r="A583" s="127">
        <v>44475</v>
      </c>
      <c r="B583" s="23" t="s">
        <v>79</v>
      </c>
      <c r="C583" s="21">
        <f t="shared" si="12"/>
        <v>-25.75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27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27">
        <v>44475</v>
      </c>
      <c r="B585" s="23" t="s">
        <v>59</v>
      </c>
      <c r="C585" s="21">
        <f t="shared" si="13"/>
        <v>-50.48</v>
      </c>
      <c r="EF585" s="69">
        <v>-42.195</v>
      </c>
      <c r="EO585" s="69">
        <v>-8.2850000000000001</v>
      </c>
    </row>
    <row r="586" spans="1:145" x14ac:dyDescent="0.25">
      <c r="A586" s="131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27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27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27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27">
        <v>44476</v>
      </c>
      <c r="B590" s="23" t="s">
        <v>38</v>
      </c>
      <c r="C590" s="21">
        <f t="shared" si="13"/>
        <v>-408.35500000000002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27">
        <v>44476</v>
      </c>
      <c r="B591" s="29" t="s">
        <v>80</v>
      </c>
      <c r="C591" s="21">
        <f t="shared" si="13"/>
        <v>-25.52</v>
      </c>
      <c r="AM591" s="69">
        <v>-16.62</v>
      </c>
      <c r="AU591" s="42">
        <v>-8.9</v>
      </c>
    </row>
    <row r="592" spans="1:145" x14ac:dyDescent="0.25">
      <c r="A592" s="127">
        <v>44476</v>
      </c>
      <c r="B592" s="23" t="s">
        <v>84</v>
      </c>
      <c r="C592" s="21">
        <f t="shared" si="13"/>
        <v>-42.835000000000001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27">
        <v>44476</v>
      </c>
      <c r="B593" s="23" t="s">
        <v>45</v>
      </c>
      <c r="C593" s="21">
        <f t="shared" si="13"/>
        <v>-17.184999999999999</v>
      </c>
      <c r="BT593" s="69">
        <v>-8.4550000000000001</v>
      </c>
      <c r="BX593" s="115">
        <v>-8.73</v>
      </c>
    </row>
    <row r="594" spans="1:225" x14ac:dyDescent="0.25">
      <c r="A594" s="127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27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27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27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27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27">
        <v>44480</v>
      </c>
      <c r="B599" s="29" t="s">
        <v>85</v>
      </c>
      <c r="C599" s="21">
        <f t="shared" si="13"/>
        <v>-9.11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1">
        <v>-14.37</v>
      </c>
      <c r="CJ599" s="115">
        <v>-18.88</v>
      </c>
      <c r="CP599" s="115">
        <v>-15.98</v>
      </c>
      <c r="CT599" s="121">
        <v>0.72</v>
      </c>
      <c r="DC599" s="42">
        <v>-3</v>
      </c>
      <c r="DF599" s="121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27">
        <v>44480</v>
      </c>
      <c r="B600" s="23" t="s">
        <v>12</v>
      </c>
      <c r="C600" s="21">
        <f t="shared" si="13"/>
        <v>-339.95499999999998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27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27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27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27">
        <v>44481</v>
      </c>
      <c r="B604" s="23" t="s">
        <v>54</v>
      </c>
      <c r="C604" s="21">
        <f t="shared" si="13"/>
        <v>-295.02</v>
      </c>
      <c r="O604" s="375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27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27">
        <v>44482</v>
      </c>
      <c r="B606" s="23" t="s">
        <v>75</v>
      </c>
      <c r="C606" s="21">
        <f t="shared" si="13"/>
        <v>-25.53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27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27">
        <v>44482</v>
      </c>
      <c r="B608" s="23" t="s">
        <v>27</v>
      </c>
      <c r="C608" s="21">
        <f t="shared" si="13"/>
        <v>-7.28</v>
      </c>
      <c r="AH608" s="121">
        <v>-7.28</v>
      </c>
    </row>
    <row r="609" spans="1:240" x14ac:dyDescent="0.25">
      <c r="A609" s="127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27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27">
        <v>44483</v>
      </c>
      <c r="B611" s="23" t="s">
        <v>32</v>
      </c>
      <c r="C611" s="21">
        <f t="shared" si="13"/>
        <v>-241.98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27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27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27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27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27">
        <v>44483</v>
      </c>
      <c r="B616" s="23" t="s">
        <v>78</v>
      </c>
      <c r="C616" s="21">
        <f t="shared" si="13"/>
        <v>-17.12</v>
      </c>
      <c r="O616" s="375">
        <v>-8.48</v>
      </c>
      <c r="U616" s="69">
        <v>-8.64</v>
      </c>
    </row>
    <row r="617" spans="1:240" x14ac:dyDescent="0.25">
      <c r="A617" s="127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27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27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27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27">
        <v>44487</v>
      </c>
      <c r="B621" s="23" t="s">
        <v>20</v>
      </c>
      <c r="C621" s="21">
        <f t="shared" si="13"/>
        <v>-100.49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27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27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27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27">
        <v>44488</v>
      </c>
      <c r="B625" s="23" t="s">
        <v>44</v>
      </c>
      <c r="C625" s="21">
        <f t="shared" si="13"/>
        <v>-143.80000000000001</v>
      </c>
      <c r="GJ625" s="202">
        <v>-23.85</v>
      </c>
      <c r="GP625" s="42">
        <v>-119.95</v>
      </c>
    </row>
    <row r="626" spans="1:242" x14ac:dyDescent="0.25">
      <c r="A626" s="127">
        <v>44488</v>
      </c>
      <c r="B626" s="29" t="s">
        <v>23</v>
      </c>
      <c r="C626" s="21">
        <f t="shared" si="13"/>
        <v>-98.825000000000003</v>
      </c>
      <c r="BY626" s="42">
        <v>-34.76</v>
      </c>
      <c r="FJ626" s="69">
        <v>-64.064999999999998</v>
      </c>
    </row>
    <row r="627" spans="1:242" x14ac:dyDescent="0.25">
      <c r="A627" s="127">
        <v>44488</v>
      </c>
      <c r="B627" s="29" t="s">
        <v>50</v>
      </c>
      <c r="C627" s="21">
        <f t="shared" si="13"/>
        <v>-983.81500000000005</v>
      </c>
      <c r="DN627" s="42">
        <v>-96.27</v>
      </c>
      <c r="DQ627" s="121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27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27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27">
        <v>44488</v>
      </c>
      <c r="B630" s="29" t="s">
        <v>32</v>
      </c>
      <c r="C630" s="21">
        <f t="shared" si="13"/>
        <v>-104.73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27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27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27">
        <v>44489</v>
      </c>
      <c r="B633" s="23" t="s">
        <v>12</v>
      </c>
      <c r="C633" s="21">
        <f t="shared" si="13"/>
        <v>-67.959999999999994</v>
      </c>
      <c r="AQ633" s="69">
        <v>-34.164999999999999</v>
      </c>
      <c r="BB633" s="69">
        <v>-33.795000000000002</v>
      </c>
    </row>
    <row r="634" spans="1:242" x14ac:dyDescent="0.25">
      <c r="A634" s="127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27">
        <v>44489</v>
      </c>
      <c r="B635" s="29" t="s">
        <v>27</v>
      </c>
      <c r="C635" s="21">
        <f t="shared" si="13"/>
        <v>-84.62</v>
      </c>
      <c r="AI635" s="126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27">
        <v>44489</v>
      </c>
      <c r="B636" s="29" t="s">
        <v>75</v>
      </c>
      <c r="C636" s="21">
        <f t="shared" si="13"/>
        <v>-17.175000000000001</v>
      </c>
      <c r="CL636" s="69">
        <v>-8.61</v>
      </c>
      <c r="CR636" s="69">
        <v>-8.5649999999999995</v>
      </c>
    </row>
    <row r="637" spans="1:242" x14ac:dyDescent="0.25">
      <c r="A637" s="127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27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27">
        <v>44489</v>
      </c>
      <c r="B639" s="23" t="s">
        <v>19</v>
      </c>
      <c r="C639" s="21">
        <f t="shared" si="13"/>
        <v>164.97</v>
      </c>
      <c r="BL639" s="115">
        <v>31.73</v>
      </c>
      <c r="CT639" s="121">
        <v>33.17</v>
      </c>
      <c r="DR639" s="46">
        <v>33.61</v>
      </c>
      <c r="DV639" s="121">
        <v>33.42</v>
      </c>
      <c r="EC639" s="126">
        <v>33.04</v>
      </c>
    </row>
    <row r="640" spans="1:242" x14ac:dyDescent="0.25">
      <c r="A640" s="127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27">
        <v>44490</v>
      </c>
      <c r="B641" s="23" t="s">
        <v>57</v>
      </c>
      <c r="C641" s="21">
        <f t="shared" si="13"/>
        <v>-154.25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27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27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27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27">
        <v>44491</v>
      </c>
      <c r="B645" s="23" t="s">
        <v>80</v>
      </c>
      <c r="C645" s="21">
        <f t="shared" si="13"/>
        <v>0</v>
      </c>
    </row>
    <row r="646" spans="1:215" x14ac:dyDescent="0.25">
      <c r="A646" s="127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27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27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27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27">
        <v>44491</v>
      </c>
      <c r="B650" s="23" t="s">
        <v>78</v>
      </c>
      <c r="C650" s="21">
        <f t="shared" si="14"/>
        <v>-42.85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27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27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27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27">
        <v>44492</v>
      </c>
      <c r="B654" s="23" t="s">
        <v>89</v>
      </c>
      <c r="C654" s="21">
        <f t="shared" si="14"/>
        <v>-924.78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27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27">
        <v>44492</v>
      </c>
      <c r="B656" s="23" t="s">
        <v>12</v>
      </c>
      <c r="C656" s="21">
        <f t="shared" si="14"/>
        <v>0</v>
      </c>
    </row>
    <row r="657" spans="1:225" x14ac:dyDescent="0.25">
      <c r="A657" s="131">
        <v>44492</v>
      </c>
      <c r="B657" s="23" t="s">
        <v>45</v>
      </c>
      <c r="C657" s="21">
        <f t="shared" si="14"/>
        <v>-16.16</v>
      </c>
      <c r="BX657" s="115">
        <v>-8.44</v>
      </c>
      <c r="CC657" s="126">
        <v>-7.72</v>
      </c>
    </row>
    <row r="658" spans="1:225" x14ac:dyDescent="0.25">
      <c r="A658" s="127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27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27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27">
        <v>44495</v>
      </c>
      <c r="B661" s="23" t="s">
        <v>59</v>
      </c>
      <c r="C661" s="21">
        <f t="shared" si="14"/>
        <v>-8.32</v>
      </c>
      <c r="CP661" s="115">
        <v>-8.32</v>
      </c>
    </row>
    <row r="662" spans="1:225" x14ac:dyDescent="0.25">
      <c r="A662" s="127">
        <v>44496</v>
      </c>
      <c r="B662" s="23" t="s">
        <v>2</v>
      </c>
      <c r="C662" s="21">
        <f t="shared" si="14"/>
        <v>9482.26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27">
        <v>44496</v>
      </c>
      <c r="B663" s="23" t="s">
        <v>84</v>
      </c>
      <c r="C663" s="21">
        <f t="shared" si="14"/>
        <v>-110.73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27">
        <v>44496</v>
      </c>
      <c r="B664" s="23" t="s">
        <v>25</v>
      </c>
      <c r="C664" s="21">
        <f t="shared" si="14"/>
        <v>-51.164999999999999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27">
        <v>44496</v>
      </c>
      <c r="B665" s="23" t="s">
        <v>27</v>
      </c>
      <c r="C665" s="21">
        <f t="shared" si="14"/>
        <v>-33.909999999999997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27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27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27">
        <v>44496</v>
      </c>
      <c r="B668" s="23" t="s">
        <v>78</v>
      </c>
      <c r="C668" s="21">
        <f t="shared" si="14"/>
        <v>-148.97499999999999</v>
      </c>
      <c r="O668" s="375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27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27">
        <v>44497</v>
      </c>
      <c r="B670" s="23" t="s">
        <v>20</v>
      </c>
      <c r="C670" s="21">
        <f t="shared" si="14"/>
        <v>-59.055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27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27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27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27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27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27">
        <v>44497</v>
      </c>
      <c r="B676" s="23" t="s">
        <v>18</v>
      </c>
      <c r="C676" s="21">
        <f t="shared" si="14"/>
        <v>-865.86500000000001</v>
      </c>
      <c r="Q676" s="163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27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27">
        <v>44499</v>
      </c>
      <c r="B678" s="23" t="s">
        <v>53</v>
      </c>
      <c r="C678" s="21">
        <f t="shared" si="14"/>
        <v>-1342.61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27">
        <v>44501</v>
      </c>
      <c r="B679" s="23" t="s">
        <v>89</v>
      </c>
      <c r="C679" s="21">
        <f t="shared" si="14"/>
        <v>-173.87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27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27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27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27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27">
        <v>44502</v>
      </c>
      <c r="B684" s="23" t="s">
        <v>78</v>
      </c>
      <c r="C684" s="21">
        <f t="shared" si="14"/>
        <v>-78.25</v>
      </c>
      <c r="O684" s="375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27">
        <v>44502</v>
      </c>
      <c r="B685" s="23" t="s">
        <v>13</v>
      </c>
      <c r="C685" s="21">
        <f t="shared" si="14"/>
        <v>-183.63499999999999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27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27">
        <v>44503</v>
      </c>
      <c r="B687" s="23" t="s">
        <v>27</v>
      </c>
      <c r="C687" s="21">
        <f t="shared" si="14"/>
        <v>-27.15</v>
      </c>
      <c r="BL687" s="115">
        <v>-7.51</v>
      </c>
      <c r="BR687" s="115">
        <v>-10.11</v>
      </c>
      <c r="CC687" s="126">
        <v>-9.5299999999999994</v>
      </c>
    </row>
    <row r="688" spans="1:238" x14ac:dyDescent="0.25">
      <c r="A688" s="127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27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27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27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27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27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27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27">
        <v>44504</v>
      </c>
      <c r="B695" s="23" t="s">
        <v>20</v>
      </c>
      <c r="C695" s="21">
        <f t="shared" si="14"/>
        <v>-54.35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27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27">
        <v>44504</v>
      </c>
      <c r="B697" s="23" t="s">
        <v>15</v>
      </c>
      <c r="C697" s="21">
        <f t="shared" si="14"/>
        <v>-252.57499999999999</v>
      </c>
      <c r="AL697" s="42">
        <v>-33.465000000000003</v>
      </c>
      <c r="AU697" s="42">
        <v>-34.43</v>
      </c>
      <c r="BG697" s="42">
        <v>-17.39</v>
      </c>
      <c r="BP697" s="121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27">
        <v>44505</v>
      </c>
      <c r="B698" s="23" t="s">
        <v>13</v>
      </c>
      <c r="C698" s="21">
        <f t="shared" si="14"/>
        <v>-371.29500000000002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27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27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27">
        <v>44505</v>
      </c>
      <c r="B701" s="23" t="s">
        <v>18</v>
      </c>
      <c r="C701" s="21">
        <f t="shared" si="14"/>
        <v>-857.57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27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27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27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27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27">
        <v>44506</v>
      </c>
      <c r="B706" s="23" t="s">
        <v>38</v>
      </c>
      <c r="C706" s="21">
        <f t="shared" si="14"/>
        <v>-307.58999999999997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27">
        <v>44508</v>
      </c>
      <c r="B707" s="23" t="s">
        <v>92</v>
      </c>
      <c r="C707" s="21">
        <f t="shared" si="14"/>
        <v>0</v>
      </c>
    </row>
    <row r="708" spans="1:240" x14ac:dyDescent="0.25">
      <c r="A708" s="127">
        <v>44508</v>
      </c>
      <c r="B708" s="23" t="s">
        <v>15</v>
      </c>
      <c r="C708" s="21">
        <f t="shared" si="14"/>
        <v>-59.76</v>
      </c>
      <c r="O708" s="375">
        <v>-34.049999999999997</v>
      </c>
      <c r="CE708" s="42">
        <v>-25.71</v>
      </c>
    </row>
    <row r="709" spans="1:240" x14ac:dyDescent="0.25">
      <c r="A709" s="127">
        <v>44508</v>
      </c>
      <c r="B709" s="23" t="s">
        <v>91</v>
      </c>
      <c r="C709" s="21">
        <f t="shared" si="14"/>
        <v>-8.4749999999999996</v>
      </c>
      <c r="O709" s="375">
        <v>-8.4749999999999996</v>
      </c>
    </row>
    <row r="710" spans="1:240" x14ac:dyDescent="0.25">
      <c r="A710" s="127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27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27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27">
        <v>44508</v>
      </c>
      <c r="B713" s="23" t="s">
        <v>78</v>
      </c>
      <c r="C713" s="21">
        <f t="shared" si="15"/>
        <v>-224.96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27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27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27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27">
        <v>44509</v>
      </c>
      <c r="B717" s="23" t="s">
        <v>27</v>
      </c>
      <c r="C717" s="21">
        <f t="shared" si="15"/>
        <v>-25.02</v>
      </c>
      <c r="AT717" s="46">
        <v>-7.81</v>
      </c>
      <c r="AZ717" s="115">
        <v>-8.44</v>
      </c>
      <c r="CW717" s="42">
        <v>-8.77</v>
      </c>
    </row>
    <row r="718" spans="1:240" x14ac:dyDescent="0.25">
      <c r="A718" s="127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27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27">
        <v>44510</v>
      </c>
      <c r="B720" s="23" t="s">
        <v>19</v>
      </c>
      <c r="C720" s="21">
        <f t="shared" si="15"/>
        <v>-382.35</v>
      </c>
      <c r="K720" s="42">
        <v>-34.6</v>
      </c>
      <c r="O720" s="375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27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27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27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5">
        <v>56.74</v>
      </c>
      <c r="BX723" s="115">
        <v>67.650000000000006</v>
      </c>
      <c r="CE723" s="42">
        <v>34.74</v>
      </c>
      <c r="CJ723" s="115">
        <v>26.35</v>
      </c>
    </row>
    <row r="724" spans="1:236" x14ac:dyDescent="0.25">
      <c r="A724" s="127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27">
        <v>44511</v>
      </c>
      <c r="B725" s="23" t="s">
        <v>20</v>
      </c>
      <c r="C725" s="21">
        <f t="shared" si="15"/>
        <v>-117.45</v>
      </c>
      <c r="AP725" s="42">
        <v>-8.85</v>
      </c>
      <c r="AU725" s="42">
        <v>-8.67</v>
      </c>
      <c r="BA725" s="42">
        <v>-8.6</v>
      </c>
      <c r="BG725" s="42">
        <v>-8.69</v>
      </c>
      <c r="BR725" s="115">
        <v>-8.31</v>
      </c>
      <c r="CK725" s="42">
        <v>-8.5299999999999994</v>
      </c>
      <c r="GY725" s="42">
        <v>-65.8</v>
      </c>
    </row>
    <row r="726" spans="1:236" x14ac:dyDescent="0.25">
      <c r="A726" s="127">
        <v>44511</v>
      </c>
      <c r="B726" s="23" t="s">
        <v>15</v>
      </c>
      <c r="C726" s="21">
        <f t="shared" si="15"/>
        <v>-101.58</v>
      </c>
      <c r="BG726" s="42">
        <v>-26.22</v>
      </c>
      <c r="BP726" s="121">
        <v>-8.33</v>
      </c>
      <c r="BR726" s="115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27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27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27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27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27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27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27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27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27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1">
        <v>-8</v>
      </c>
    </row>
    <row r="736" spans="1:236" x14ac:dyDescent="0.25">
      <c r="A736" s="127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27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27">
        <v>44517</v>
      </c>
      <c r="B738" s="23" t="s">
        <v>57</v>
      </c>
      <c r="C738" s="21">
        <f t="shared" si="15"/>
        <v>-209.33</v>
      </c>
      <c r="AM738" s="69">
        <v>-16.739999999999998</v>
      </c>
      <c r="AU738" s="42">
        <v>-34.68</v>
      </c>
      <c r="BA738" s="42">
        <v>-34.92</v>
      </c>
      <c r="BL738" s="115">
        <v>-24.22</v>
      </c>
      <c r="BP738" s="121">
        <v>-32.1</v>
      </c>
      <c r="BX738" s="115">
        <v>-33.130000000000003</v>
      </c>
      <c r="CB738" s="121">
        <v>-33.54</v>
      </c>
    </row>
    <row r="739" spans="1:173" x14ac:dyDescent="0.25">
      <c r="A739" s="127">
        <v>44517</v>
      </c>
      <c r="B739" s="23" t="s">
        <v>75</v>
      </c>
      <c r="C739" s="21">
        <f t="shared" si="15"/>
        <v>-15.86</v>
      </c>
      <c r="BS739" s="42">
        <v>-7.75</v>
      </c>
      <c r="CB739" s="121">
        <v>-8.11</v>
      </c>
    </row>
    <row r="740" spans="1:173" x14ac:dyDescent="0.25">
      <c r="A740" s="127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27">
        <v>44517</v>
      </c>
      <c r="B741" s="23" t="s">
        <v>27</v>
      </c>
      <c r="C741" s="21">
        <f t="shared" si="15"/>
        <v>-31.7</v>
      </c>
      <c r="AT741" s="46">
        <v>-7.82</v>
      </c>
      <c r="BR741" s="115">
        <v>-8.2899999999999991</v>
      </c>
      <c r="CV741" s="115">
        <v>-15.59</v>
      </c>
    </row>
    <row r="742" spans="1:173" x14ac:dyDescent="0.25">
      <c r="A742" s="127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27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27">
        <v>44518</v>
      </c>
      <c r="B744" s="23" t="s">
        <v>78</v>
      </c>
      <c r="C744" s="21">
        <f t="shared" si="15"/>
        <v>-34.575000000000003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27">
        <v>44518</v>
      </c>
      <c r="B745" s="23" t="s">
        <v>50</v>
      </c>
      <c r="C745" s="21">
        <f t="shared" si="15"/>
        <v>0</v>
      </c>
    </row>
    <row r="746" spans="1:173" x14ac:dyDescent="0.25">
      <c r="A746" s="127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27">
        <v>44519</v>
      </c>
      <c r="B747" s="23" t="s">
        <v>12</v>
      </c>
      <c r="C747" s="21">
        <f t="shared" si="15"/>
        <v>0</v>
      </c>
    </row>
    <row r="748" spans="1:173" x14ac:dyDescent="0.25">
      <c r="A748" s="127">
        <v>44519</v>
      </c>
      <c r="B748" s="23" t="s">
        <v>23</v>
      </c>
      <c r="C748" s="21">
        <f t="shared" si="15"/>
        <v>0</v>
      </c>
    </row>
    <row r="749" spans="1:173" x14ac:dyDescent="0.25">
      <c r="A749" s="127">
        <v>44519</v>
      </c>
      <c r="B749" s="23" t="s">
        <v>64</v>
      </c>
      <c r="C749" s="21">
        <f t="shared" si="15"/>
        <v>0</v>
      </c>
    </row>
    <row r="750" spans="1:173" x14ac:dyDescent="0.25">
      <c r="A750" s="127">
        <v>44519</v>
      </c>
      <c r="B750" s="23" t="s">
        <v>78</v>
      </c>
      <c r="C750" s="21">
        <f t="shared" si="15"/>
        <v>-16.940000000000001</v>
      </c>
      <c r="AM750" s="69">
        <v>-8.4</v>
      </c>
      <c r="AU750" s="42">
        <v>-8.5399999999999991</v>
      </c>
    </row>
    <row r="751" spans="1:173" x14ac:dyDescent="0.25">
      <c r="A751" s="127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27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27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27">
        <v>44522</v>
      </c>
      <c r="B754" s="23" t="s">
        <v>2</v>
      </c>
      <c r="C754" s="21">
        <f t="shared" si="15"/>
        <v>0</v>
      </c>
    </row>
    <row r="755" spans="1:198" x14ac:dyDescent="0.25">
      <c r="A755" s="127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27">
        <v>44522</v>
      </c>
      <c r="B756" s="23" t="s">
        <v>17</v>
      </c>
      <c r="C756" s="21">
        <f t="shared" si="15"/>
        <v>-25.04</v>
      </c>
      <c r="AE756" s="42">
        <v>-8.5500000000000007</v>
      </c>
      <c r="AU756" s="42">
        <v>-8.65</v>
      </c>
      <c r="BD756" s="121">
        <v>-7.84</v>
      </c>
    </row>
    <row r="757" spans="1:198" x14ac:dyDescent="0.25">
      <c r="A757" s="127">
        <v>44523</v>
      </c>
      <c r="B757" s="23" t="s">
        <v>80</v>
      </c>
      <c r="C757" s="21">
        <f t="shared" si="15"/>
        <v>0</v>
      </c>
    </row>
    <row r="758" spans="1:198" x14ac:dyDescent="0.25">
      <c r="A758" s="127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27">
        <v>44523</v>
      </c>
      <c r="B759" s="23" t="s">
        <v>20</v>
      </c>
      <c r="C759" s="21">
        <f t="shared" si="15"/>
        <v>-57.51</v>
      </c>
      <c r="AU759" s="42">
        <v>-7.58</v>
      </c>
      <c r="BD759" s="121">
        <v>-7.71</v>
      </c>
      <c r="BR759" s="115">
        <v>-8.27</v>
      </c>
      <c r="BX759" s="115">
        <v>-8.01</v>
      </c>
      <c r="CB759" s="121">
        <v>-8.4499999999999993</v>
      </c>
      <c r="CW759" s="42">
        <f>-8.74-8.75</f>
        <v>-17.489999999999998</v>
      </c>
    </row>
    <row r="760" spans="1:198" x14ac:dyDescent="0.25">
      <c r="A760" s="127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27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5">
        <v>-8.64</v>
      </c>
      <c r="CT761" s="121">
        <v>-7.9</v>
      </c>
    </row>
    <row r="762" spans="1:198" x14ac:dyDescent="0.25">
      <c r="A762" s="127">
        <v>44524</v>
      </c>
      <c r="B762" s="23" t="s">
        <v>75</v>
      </c>
      <c r="C762" s="21">
        <f t="shared" si="15"/>
        <v>-34.03</v>
      </c>
      <c r="AU762" s="42">
        <v>-8.7799999999999994</v>
      </c>
      <c r="BR762" s="115">
        <v>-8.27</v>
      </c>
      <c r="CB762" s="121">
        <v>-8.33</v>
      </c>
      <c r="CE762" s="42">
        <v>-8.65</v>
      </c>
    </row>
    <row r="763" spans="1:198" x14ac:dyDescent="0.25">
      <c r="A763" s="127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15">
        <v>-8.89</v>
      </c>
      <c r="CB763" s="121">
        <v>-8.5299999999999994</v>
      </c>
      <c r="CK763" s="42">
        <v>-8.48</v>
      </c>
    </row>
    <row r="764" spans="1:198" x14ac:dyDescent="0.25">
      <c r="A764" s="127">
        <v>44524</v>
      </c>
      <c r="B764" s="23" t="s">
        <v>45</v>
      </c>
      <c r="C764" s="21">
        <f t="shared" si="15"/>
        <v>-43.25</v>
      </c>
      <c r="BX764" s="115">
        <v>-17.62</v>
      </c>
      <c r="CC764" s="126">
        <v>-16.579999999999998</v>
      </c>
      <c r="CP764" s="115">
        <v>-9.0500000000000007</v>
      </c>
    </row>
    <row r="765" spans="1:198" x14ac:dyDescent="0.25">
      <c r="A765" s="127">
        <v>44524</v>
      </c>
      <c r="B765" s="23" t="s">
        <v>58</v>
      </c>
      <c r="C765" s="21">
        <f t="shared" si="15"/>
        <v>0</v>
      </c>
    </row>
    <row r="766" spans="1:198" x14ac:dyDescent="0.25">
      <c r="A766" s="127">
        <v>44525</v>
      </c>
      <c r="B766" s="23" t="s">
        <v>45</v>
      </c>
      <c r="C766" s="21">
        <f t="shared" si="15"/>
        <v>-16.8</v>
      </c>
      <c r="AU766" s="42">
        <v>-8.15</v>
      </c>
      <c r="BF766" s="115">
        <v>-8.65</v>
      </c>
    </row>
    <row r="767" spans="1:198" x14ac:dyDescent="0.25">
      <c r="A767" s="127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27">
        <v>44527</v>
      </c>
      <c r="B768" s="23" t="s">
        <v>13</v>
      </c>
      <c r="C768" s="21">
        <f t="shared" si="15"/>
        <v>0</v>
      </c>
    </row>
    <row r="769" spans="1:234" x14ac:dyDescent="0.25">
      <c r="A769" s="127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27">
        <v>44529</v>
      </c>
      <c r="B770" s="23" t="s">
        <v>20</v>
      </c>
      <c r="C770" s="21">
        <f t="shared" si="15"/>
        <v>-25.68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27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27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27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27">
        <v>44530</v>
      </c>
      <c r="B774" s="23" t="s">
        <v>32</v>
      </c>
      <c r="C774" s="21">
        <f t="shared" si="15"/>
        <v>-308.26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27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27">
        <v>44530</v>
      </c>
      <c r="B776" s="23" t="s">
        <v>39</v>
      </c>
      <c r="C776" s="21">
        <f t="shared" ref="C776:C839" si="16">SUM(I776:JT776)</f>
        <v>-43.12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27">
        <v>44530</v>
      </c>
      <c r="B777" s="23" t="s">
        <v>78</v>
      </c>
      <c r="C777" s="21">
        <f t="shared" si="16"/>
        <v>-76.075000000000003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27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27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27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27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27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6">
        <v>-17.79</v>
      </c>
    </row>
    <row r="783" spans="1:234" x14ac:dyDescent="0.25">
      <c r="A783" s="127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27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27">
        <v>44531</v>
      </c>
      <c r="B785" s="23" t="s">
        <v>17</v>
      </c>
      <c r="C785" s="21">
        <f t="shared" si="16"/>
        <v>-856.52499999999998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27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27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27">
        <v>44532</v>
      </c>
      <c r="B788" s="23" t="s">
        <v>27</v>
      </c>
      <c r="C788" s="21">
        <f t="shared" si="16"/>
        <v>-17.190000000000001</v>
      </c>
      <c r="BG788" s="42">
        <v>-8.68</v>
      </c>
      <c r="BS788" s="42">
        <v>-8.51</v>
      </c>
    </row>
    <row r="789" spans="1:242" x14ac:dyDescent="0.25">
      <c r="A789" s="127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27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27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27">
        <v>44532</v>
      </c>
      <c r="B792" s="23" t="s">
        <v>58</v>
      </c>
      <c r="C792" s="21">
        <f t="shared" si="16"/>
        <v>0</v>
      </c>
    </row>
    <row r="793" spans="1:242" x14ac:dyDescent="0.25">
      <c r="A793" s="127">
        <v>44532</v>
      </c>
      <c r="B793" s="23" t="s">
        <v>68</v>
      </c>
      <c r="C793" s="21">
        <f t="shared" si="16"/>
        <v>-34.43</v>
      </c>
      <c r="BB793" s="69">
        <v>-25.59</v>
      </c>
      <c r="BF793" s="115">
        <v>-8.84</v>
      </c>
    </row>
    <row r="794" spans="1:242" x14ac:dyDescent="0.25">
      <c r="A794" s="127">
        <v>44532</v>
      </c>
      <c r="B794" s="23" t="s">
        <v>59</v>
      </c>
      <c r="C794" s="21">
        <f t="shared" si="16"/>
        <v>-8.3000000000000007</v>
      </c>
      <c r="CJ794" s="115">
        <v>-8.3000000000000007</v>
      </c>
    </row>
    <row r="795" spans="1:242" x14ac:dyDescent="0.25">
      <c r="A795" s="127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27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27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27">
        <v>44536</v>
      </c>
      <c r="B798" s="23" t="s">
        <v>80</v>
      </c>
      <c r="C798" s="21">
        <f t="shared" si="16"/>
        <v>0</v>
      </c>
    </row>
    <row r="799" spans="1:242" x14ac:dyDescent="0.25">
      <c r="A799" s="127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27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27">
        <v>44536</v>
      </c>
      <c r="B801" s="23" t="s">
        <v>89</v>
      </c>
      <c r="C801" s="21">
        <f t="shared" si="16"/>
        <v>-325.77499999999998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27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27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27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27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27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27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27">
        <v>44537</v>
      </c>
      <c r="B808" s="23" t="s">
        <v>78</v>
      </c>
      <c r="C808" s="21">
        <f t="shared" si="16"/>
        <v>-308.55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27">
        <v>44538</v>
      </c>
      <c r="B809" s="23" t="s">
        <v>27</v>
      </c>
      <c r="C809" s="21">
        <f t="shared" si="16"/>
        <v>-33.380000000000003</v>
      </c>
      <c r="AD809" s="115">
        <v>-7.72</v>
      </c>
      <c r="BR809" s="115">
        <v>-8.44</v>
      </c>
      <c r="DM809" s="150">
        <v>-17.22</v>
      </c>
    </row>
    <row r="810" spans="1:238" x14ac:dyDescent="0.25">
      <c r="A810" s="127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27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27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27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27">
        <v>44539</v>
      </c>
      <c r="B814" s="23" t="s">
        <v>78</v>
      </c>
      <c r="C814" s="21">
        <f t="shared" si="16"/>
        <v>-137.995</v>
      </c>
      <c r="O814" s="375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27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27">
        <v>44539</v>
      </c>
      <c r="B816" s="23" t="s">
        <v>23</v>
      </c>
      <c r="C816" s="21">
        <f t="shared" si="16"/>
        <v>0</v>
      </c>
    </row>
    <row r="817" spans="1:225" x14ac:dyDescent="0.25">
      <c r="A817" s="127">
        <v>44539</v>
      </c>
      <c r="B817" s="23" t="s">
        <v>80</v>
      </c>
      <c r="C817" s="21">
        <f t="shared" si="16"/>
        <v>0</v>
      </c>
    </row>
    <row r="818" spans="1:225" x14ac:dyDescent="0.25">
      <c r="A818" s="127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27">
        <v>44540</v>
      </c>
      <c r="B819" s="23" t="s">
        <v>78</v>
      </c>
      <c r="C819" s="21">
        <f t="shared" si="16"/>
        <v>-25.614999999999998</v>
      </c>
      <c r="O819" s="375">
        <v>-8.4450000000000003</v>
      </c>
      <c r="AP819" s="42">
        <v>-17.170000000000002</v>
      </c>
    </row>
    <row r="820" spans="1:225" x14ac:dyDescent="0.25">
      <c r="A820" s="127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27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27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27">
        <v>44540</v>
      </c>
      <c r="B823" s="23" t="s">
        <v>39</v>
      </c>
      <c r="C823" s="21">
        <f t="shared" si="16"/>
        <v>-101.09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27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27">
        <v>44543</v>
      </c>
      <c r="B825" s="23" t="s">
        <v>38</v>
      </c>
      <c r="C825" s="21">
        <f t="shared" si="16"/>
        <v>818.69500000000005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27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27">
        <v>44543</v>
      </c>
      <c r="B827" s="23" t="s">
        <v>89</v>
      </c>
      <c r="C827" s="21">
        <f t="shared" si="16"/>
        <v>-953.68499999999995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27">
        <v>44543</v>
      </c>
      <c r="B828" s="23" t="s">
        <v>87</v>
      </c>
      <c r="C828" s="21">
        <f t="shared" si="16"/>
        <v>-68.400000000000006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27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27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27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27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27">
        <v>44544</v>
      </c>
      <c r="B833" s="23" t="s">
        <v>20</v>
      </c>
      <c r="C833" s="21">
        <f t="shared" si="16"/>
        <v>-68.709999999999994</v>
      </c>
      <c r="AU833" s="42">
        <v>-8.0299999999999994</v>
      </c>
      <c r="BM833" s="88">
        <v>-8.41</v>
      </c>
      <c r="BR833" s="115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27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27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27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27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27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27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27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27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27">
        <v>44545</v>
      </c>
      <c r="B842" s="23" t="s">
        <v>75</v>
      </c>
      <c r="C842" s="21">
        <f t="shared" si="17"/>
        <v>-26.16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27">
        <v>44545</v>
      </c>
      <c r="B843" s="23" t="s">
        <v>27</v>
      </c>
      <c r="C843" s="21">
        <f t="shared" si="17"/>
        <v>-44.05</v>
      </c>
      <c r="AZ843" s="115">
        <v>-8.9</v>
      </c>
      <c r="BF843" s="115">
        <v>-9.01</v>
      </c>
      <c r="BR843" s="115">
        <v>-8.07</v>
      </c>
      <c r="BT843" s="69">
        <v>-8.5500000000000007</v>
      </c>
      <c r="CP843" s="115">
        <v>-9.52</v>
      </c>
    </row>
    <row r="844" spans="1:240" x14ac:dyDescent="0.25">
      <c r="A844" s="127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5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27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27">
        <v>44545</v>
      </c>
      <c r="B846" s="23" t="s">
        <v>96</v>
      </c>
      <c r="C846" s="21">
        <f t="shared" si="17"/>
        <v>-85.944999999999993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27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27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27">
        <v>44546</v>
      </c>
      <c r="B849" s="23" t="s">
        <v>17</v>
      </c>
      <c r="C849" s="21">
        <f t="shared" si="17"/>
        <v>-16.16</v>
      </c>
      <c r="O849" s="375">
        <v>-8.4499999999999993</v>
      </c>
      <c r="T849" s="42">
        <v>-7.71</v>
      </c>
    </row>
    <row r="850" spans="1:240" x14ac:dyDescent="0.25">
      <c r="A850" s="127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27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27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27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27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27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27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27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27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27">
        <v>44550</v>
      </c>
      <c r="B859" s="23" t="s">
        <v>78</v>
      </c>
      <c r="C859" s="21">
        <f t="shared" si="17"/>
        <v>-33.895000000000003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27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27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27">
        <v>44551</v>
      </c>
      <c r="B862" s="23" t="s">
        <v>68</v>
      </c>
      <c r="C862" s="21">
        <f t="shared" si="17"/>
        <v>-67.489999999999995</v>
      </c>
      <c r="AU862" s="42">
        <v>-33.14</v>
      </c>
      <c r="BS862" s="42">
        <v>-34.35</v>
      </c>
    </row>
    <row r="863" spans="1:240" x14ac:dyDescent="0.25">
      <c r="A863" s="127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27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27">
        <v>44552</v>
      </c>
      <c r="B865" s="23" t="s">
        <v>28</v>
      </c>
      <c r="C865" s="21">
        <f t="shared" si="17"/>
        <v>-25.48</v>
      </c>
      <c r="BG865" s="42">
        <v>-16.95</v>
      </c>
      <c r="BZ865" s="69">
        <v>-8.5299999999999994</v>
      </c>
    </row>
    <row r="866" spans="1:225" x14ac:dyDescent="0.25">
      <c r="A866" s="127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27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27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27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27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27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27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27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27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27">
        <v>44554</v>
      </c>
      <c r="B875" s="23" t="s">
        <v>78</v>
      </c>
      <c r="C875" s="21">
        <f t="shared" si="17"/>
        <v>-34.65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27">
        <v>44554</v>
      </c>
      <c r="B876" s="23" t="s">
        <v>78</v>
      </c>
      <c r="C876" s="21">
        <f t="shared" si="17"/>
        <v>-101.52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</v>
      </c>
      <c r="BY876" s="42">
        <v>-8.7799999999999994</v>
      </c>
    </row>
    <row r="877" spans="1:225" x14ac:dyDescent="0.25">
      <c r="A877" s="127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27">
        <v>44554</v>
      </c>
      <c r="B878" s="23" t="s">
        <v>97</v>
      </c>
      <c r="C878" s="21">
        <f t="shared" si="17"/>
        <v>-25.99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27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27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49" x14ac:dyDescent="0.25">
      <c r="A881" s="127">
        <v>44557</v>
      </c>
      <c r="B881" s="23" t="s">
        <v>78</v>
      </c>
      <c r="C881" s="21">
        <f t="shared" si="17"/>
        <v>-59.744999999999997</v>
      </c>
      <c r="O881" s="375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27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27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49" x14ac:dyDescent="0.25">
      <c r="A884" s="127">
        <v>44557</v>
      </c>
      <c r="B884" s="23" t="s">
        <v>78</v>
      </c>
      <c r="C884" s="21">
        <f t="shared" si="17"/>
        <v>-69.319999999999993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27">
        <v>44557</v>
      </c>
      <c r="B885" s="23" t="s">
        <v>94</v>
      </c>
      <c r="C885" s="21">
        <f t="shared" si="17"/>
        <v>0</v>
      </c>
    </row>
    <row r="886" spans="1:249" x14ac:dyDescent="0.25">
      <c r="A886" s="127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27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49" x14ac:dyDescent="0.25">
      <c r="A888" s="127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49" x14ac:dyDescent="0.25">
      <c r="A889" s="127">
        <v>44560</v>
      </c>
      <c r="B889" s="23" t="s">
        <v>25</v>
      </c>
      <c r="C889" s="21">
        <f t="shared" si="17"/>
        <v>-86.25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27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27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49" x14ac:dyDescent="0.25">
      <c r="A892" s="127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49" x14ac:dyDescent="0.25">
      <c r="A893" s="127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27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27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24" t="s">
        <v>105</v>
      </c>
      <c r="B896" s="425"/>
      <c r="C896" s="270">
        <f>SUM(D896:JT896)</f>
        <v>56.231000000000002</v>
      </c>
      <c r="D896" s="365">
        <v>-1.37</v>
      </c>
      <c r="E896" s="52">
        <v>0.57999999999999996</v>
      </c>
      <c r="F896" s="365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37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0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59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106">
        <v>-136.55500000000001</v>
      </c>
      <c r="BJ896" s="55">
        <v>-5.71</v>
      </c>
      <c r="BK896" s="55"/>
      <c r="BL896" s="115"/>
      <c r="BM896" s="53">
        <v>-2.7</v>
      </c>
      <c r="BN896" s="55">
        <v>1.585</v>
      </c>
      <c r="BO896" s="74">
        <v>-42.73</v>
      </c>
      <c r="BP896" s="55"/>
      <c r="BQ896" s="55"/>
      <c r="BR896" s="115"/>
      <c r="BS896" s="53">
        <v>-24.015000000000001</v>
      </c>
      <c r="BT896" s="69">
        <v>6.5750000000000002</v>
      </c>
      <c r="BU896" s="106">
        <v>-70.84</v>
      </c>
      <c r="BV896" s="55">
        <v>16.649999999999999</v>
      </c>
      <c r="BW896" s="55">
        <v>-0.105</v>
      </c>
      <c r="BX896" s="115">
        <v>-32.270000000000003</v>
      </c>
      <c r="BY896" s="53">
        <v>-0.06</v>
      </c>
      <c r="BZ896" s="55">
        <v>8.5549999999999997</v>
      </c>
      <c r="CA896" s="106">
        <v>-161.595</v>
      </c>
      <c r="CB896" s="55"/>
      <c r="CC896" s="55"/>
      <c r="CD896" s="115"/>
      <c r="CE896" s="53">
        <v>-24.18</v>
      </c>
      <c r="CF896" s="55">
        <v>-14.414999999999999</v>
      </c>
      <c r="CG896" s="106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55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0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59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3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59">
        <v>0.35</v>
      </c>
      <c r="HS896" s="52">
        <v>7.85</v>
      </c>
      <c r="HU896" s="53">
        <v>496.57</v>
      </c>
      <c r="HV896" s="359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1"/>
      <c r="IM896" s="365"/>
      <c r="IN896" s="366"/>
      <c r="IO896" s="54"/>
    </row>
    <row r="897" spans="1:213" x14ac:dyDescent="0.25">
      <c r="A897" s="127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27">
        <v>44564</v>
      </c>
      <c r="B898" s="23" t="s">
        <v>15</v>
      </c>
      <c r="C898" s="21">
        <f t="shared" si="17"/>
        <v>-111.03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27">
        <v>44564</v>
      </c>
      <c r="B899" s="23" t="s">
        <v>100</v>
      </c>
      <c r="C899" s="21">
        <f t="shared" si="17"/>
        <v>0</v>
      </c>
    </row>
    <row r="900" spans="1:213" x14ac:dyDescent="0.25">
      <c r="A900" s="127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27">
        <v>44564</v>
      </c>
      <c r="B901" s="23" t="s">
        <v>32</v>
      </c>
      <c r="C901" s="21">
        <f t="shared" si="17"/>
        <v>-101.76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27">
        <v>44564</v>
      </c>
      <c r="B902" s="23" t="s">
        <v>80</v>
      </c>
      <c r="C902" s="21">
        <f t="shared" si="17"/>
        <v>-105.67</v>
      </c>
      <c r="AL902" s="42">
        <v>-70.989999999999995</v>
      </c>
      <c r="AU902" s="42">
        <v>-34.68</v>
      </c>
    </row>
    <row r="903" spans="1:213" x14ac:dyDescent="0.25">
      <c r="A903" s="127">
        <v>44565</v>
      </c>
      <c r="B903" s="23" t="s">
        <v>59</v>
      </c>
      <c r="C903" s="21">
        <f t="shared" si="17"/>
        <v>-8</v>
      </c>
      <c r="CT903" s="121">
        <v>-8</v>
      </c>
    </row>
    <row r="904" spans="1:213" x14ac:dyDescent="0.25">
      <c r="A904" s="127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27">
        <v>44565</v>
      </c>
      <c r="B905" s="23" t="s">
        <v>78</v>
      </c>
      <c r="C905" s="21">
        <f t="shared" si="18"/>
        <v>-52.62</v>
      </c>
      <c r="DC905" s="42">
        <v>-25.3</v>
      </c>
      <c r="DI905" s="42">
        <v>-27.32</v>
      </c>
    </row>
    <row r="906" spans="1:213" x14ac:dyDescent="0.25">
      <c r="A906" s="127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27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27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27">
        <v>44566</v>
      </c>
      <c r="B909" s="23" t="s">
        <v>27</v>
      </c>
      <c r="C909" s="21">
        <f t="shared" si="18"/>
        <v>-25.75</v>
      </c>
      <c r="BF909" s="115">
        <v>-8.8699999999999992</v>
      </c>
      <c r="BS909" s="42">
        <v>-8.49</v>
      </c>
      <c r="CP909" s="115">
        <v>-8.39</v>
      </c>
    </row>
    <row r="910" spans="1:213" x14ac:dyDescent="0.25">
      <c r="A910" s="127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27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27">
        <v>44566</v>
      </c>
      <c r="B912" s="23" t="s">
        <v>20</v>
      </c>
      <c r="C912" s="21">
        <f t="shared" si="18"/>
        <v>-48.954999999999998</v>
      </c>
      <c r="O912" s="375">
        <v>-8.4949999999999992</v>
      </c>
      <c r="AT912" s="46">
        <v>-7.83</v>
      </c>
      <c r="BA912" s="42">
        <v>-8.43</v>
      </c>
      <c r="BR912" s="115">
        <v>-7.6</v>
      </c>
      <c r="BS912" s="42">
        <v>-7.82</v>
      </c>
      <c r="BY912" s="42">
        <v>-8.7799999999999994</v>
      </c>
    </row>
    <row r="913" spans="1:231" x14ac:dyDescent="0.25">
      <c r="A913" s="127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27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27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27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27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27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27">
        <v>44567</v>
      </c>
      <c r="B919" s="23" t="s">
        <v>15</v>
      </c>
      <c r="C919" s="21">
        <f t="shared" si="18"/>
        <v>-67.989999999999995</v>
      </c>
      <c r="BA919" s="42">
        <v>-33.28</v>
      </c>
      <c r="CW919" s="42">
        <v>-34.71</v>
      </c>
    </row>
    <row r="920" spans="1:231" x14ac:dyDescent="0.25">
      <c r="A920" s="127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27">
        <v>44567</v>
      </c>
      <c r="B921" s="23" t="s">
        <v>19</v>
      </c>
      <c r="C921" s="21">
        <f t="shared" si="18"/>
        <v>94.77</v>
      </c>
      <c r="BJ921" s="121">
        <v>31.88</v>
      </c>
      <c r="BR921" s="115">
        <v>33.36</v>
      </c>
      <c r="BV921" s="121">
        <v>29.53</v>
      </c>
    </row>
    <row r="922" spans="1:231" x14ac:dyDescent="0.25">
      <c r="A922" s="127">
        <v>44567</v>
      </c>
      <c r="B922" s="23" t="s">
        <v>2</v>
      </c>
      <c r="C922" s="21">
        <f t="shared" si="18"/>
        <v>0</v>
      </c>
    </row>
    <row r="923" spans="1:231" x14ac:dyDescent="0.25">
      <c r="A923" s="127">
        <v>44568</v>
      </c>
      <c r="B923" s="23" t="s">
        <v>23</v>
      </c>
      <c r="C923" s="21">
        <f t="shared" si="18"/>
        <v>0</v>
      </c>
    </row>
    <row r="924" spans="1:231" x14ac:dyDescent="0.25">
      <c r="A924" s="127">
        <v>44568</v>
      </c>
      <c r="B924" s="23" t="s">
        <v>79</v>
      </c>
      <c r="C924" s="21">
        <f t="shared" si="18"/>
        <v>-32.380000000000003</v>
      </c>
      <c r="BJ924" s="121">
        <v>-15.76</v>
      </c>
      <c r="BR924" s="115">
        <v>-16.62</v>
      </c>
    </row>
    <row r="925" spans="1:231" x14ac:dyDescent="0.25">
      <c r="A925" s="127">
        <v>44568</v>
      </c>
      <c r="B925" s="23" t="s">
        <v>27</v>
      </c>
      <c r="C925" s="21">
        <f t="shared" si="18"/>
        <v>-16.13</v>
      </c>
      <c r="BJ925" s="121">
        <v>-8.16</v>
      </c>
      <c r="BR925" s="115">
        <v>-7.97</v>
      </c>
    </row>
    <row r="926" spans="1:231" x14ac:dyDescent="0.25">
      <c r="A926" s="127">
        <v>44568</v>
      </c>
      <c r="B926" s="23" t="s">
        <v>20</v>
      </c>
      <c r="C926" s="21">
        <f t="shared" si="18"/>
        <v>-16.73</v>
      </c>
      <c r="BJ926" s="121">
        <v>-7.96</v>
      </c>
      <c r="BR926" s="115">
        <v>-8.77</v>
      </c>
    </row>
    <row r="927" spans="1:231" x14ac:dyDescent="0.25">
      <c r="A927" s="127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27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27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27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27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27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27">
        <v>44571</v>
      </c>
      <c r="B933" s="23" t="s">
        <v>25</v>
      </c>
      <c r="C933" s="21">
        <f t="shared" si="18"/>
        <v>-23.69</v>
      </c>
      <c r="BV933" s="121">
        <v>-15.48</v>
      </c>
      <c r="BY933" s="42">
        <v>-8.2100000000000009</v>
      </c>
    </row>
    <row r="934" spans="1:225" x14ac:dyDescent="0.25">
      <c r="A934" s="127">
        <v>44572</v>
      </c>
      <c r="B934" s="23" t="s">
        <v>2</v>
      </c>
      <c r="C934" s="21">
        <f t="shared" si="18"/>
        <v>3697.85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27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27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27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27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27">
        <v>44573</v>
      </c>
      <c r="B939" s="23" t="s">
        <v>75</v>
      </c>
      <c r="C939" s="21">
        <f t="shared" si="18"/>
        <v>-51.87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27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27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27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27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27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27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27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27">
        <v>44574</v>
      </c>
      <c r="B947" s="23" t="s">
        <v>12</v>
      </c>
      <c r="C947" s="21">
        <f t="shared" si="18"/>
        <v>-247.74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27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27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27">
        <v>44574</v>
      </c>
      <c r="B950" s="23" t="s">
        <v>78</v>
      </c>
      <c r="C950" s="21">
        <f t="shared" si="18"/>
        <v>-126.43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27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27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27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27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27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27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1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27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27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27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27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27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27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27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27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27">
        <v>44579</v>
      </c>
      <c r="B966" s="23" t="s">
        <v>78</v>
      </c>
      <c r="C966" s="21">
        <f t="shared" si="18"/>
        <v>-25.37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27">
        <v>44580</v>
      </c>
      <c r="B967" s="23" t="s">
        <v>75</v>
      </c>
      <c r="C967" s="21">
        <f t="shared" si="18"/>
        <v>-43.9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27">
        <v>44580</v>
      </c>
      <c r="B968" s="23" t="s">
        <v>27</v>
      </c>
      <c r="C968" s="21">
        <f t="shared" ref="C968:C1031" si="19">SUM(I968:JT968)</f>
        <v>-51.07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27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27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27">
        <v>44581</v>
      </c>
      <c r="B971" s="23" t="s">
        <v>17</v>
      </c>
      <c r="C971" s="21">
        <f t="shared" si="19"/>
        <v>-1096.3150000000001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27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27">
        <v>44581</v>
      </c>
      <c r="B973" s="23" t="s">
        <v>45</v>
      </c>
      <c r="C973" s="21">
        <f t="shared" si="19"/>
        <v>-24.2</v>
      </c>
      <c r="DG973" s="126">
        <v>-24.2</v>
      </c>
    </row>
    <row r="974" spans="1:231" x14ac:dyDescent="0.25">
      <c r="A974" s="127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27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27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27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27">
        <v>44585</v>
      </c>
      <c r="B978" s="23" t="s">
        <v>38</v>
      </c>
      <c r="C978" s="21">
        <f t="shared" si="19"/>
        <v>-243.65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27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27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27">
        <v>44585</v>
      </c>
      <c r="B981" s="23" t="s">
        <v>20</v>
      </c>
      <c r="C981" s="21">
        <f t="shared" si="19"/>
        <v>-59.21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27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27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27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27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27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27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27">
        <v>44587</v>
      </c>
      <c r="B988" s="23" t="s">
        <v>19</v>
      </c>
      <c r="C988" s="21">
        <f t="shared" si="19"/>
        <v>165.76</v>
      </c>
      <c r="BJ988" s="121">
        <v>32.99</v>
      </c>
      <c r="BR988" s="115">
        <v>34.51</v>
      </c>
      <c r="BX988" s="115">
        <v>32.270000000000003</v>
      </c>
      <c r="CZ988" s="121">
        <v>33.17</v>
      </c>
      <c r="DL988" s="121">
        <v>32.82</v>
      </c>
    </row>
    <row r="989" spans="1:220" x14ac:dyDescent="0.25">
      <c r="A989" s="127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27">
        <v>44588</v>
      </c>
      <c r="B990" s="23" t="s">
        <v>59</v>
      </c>
      <c r="C990" s="21">
        <f t="shared" si="19"/>
        <v>-17.170000000000002</v>
      </c>
      <c r="DG990" s="126">
        <v>-8.2899999999999991</v>
      </c>
      <c r="DV990" s="121">
        <v>-8.8800000000000008</v>
      </c>
    </row>
    <row r="991" spans="1:220" x14ac:dyDescent="0.25">
      <c r="A991" s="127">
        <v>44588</v>
      </c>
      <c r="B991" s="23" t="s">
        <v>78</v>
      </c>
      <c r="C991" s="21">
        <f t="shared" si="19"/>
        <v>-181.07499999999999</v>
      </c>
      <c r="O991" s="375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27">
        <v>44588</v>
      </c>
      <c r="B992" s="23" t="s">
        <v>32</v>
      </c>
      <c r="C992" s="21">
        <f t="shared" si="19"/>
        <v>-169.83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27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27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27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27">
        <v>44589</v>
      </c>
      <c r="B996" s="23" t="s">
        <v>222</v>
      </c>
      <c r="C996" s="21">
        <f t="shared" si="19"/>
        <v>-13.61</v>
      </c>
      <c r="Y996" s="69">
        <v>-5.2</v>
      </c>
      <c r="CJ996" s="115">
        <v>-8.41</v>
      </c>
    </row>
    <row r="997" spans="1:225" x14ac:dyDescent="0.25">
      <c r="A997" s="127">
        <v>44589</v>
      </c>
      <c r="B997" s="23" t="s">
        <v>95</v>
      </c>
      <c r="C997" s="21">
        <f t="shared" si="19"/>
        <v>-442.69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27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27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5">
        <v>-8.7100000000000009</v>
      </c>
    </row>
    <row r="1000" spans="1:225" x14ac:dyDescent="0.25">
      <c r="A1000" s="127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27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27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27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27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27">
        <v>44592</v>
      </c>
      <c r="B1005" s="23" t="s">
        <v>15</v>
      </c>
      <c r="C1005" s="21">
        <f t="shared" si="19"/>
        <v>-51.79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27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1">
        <v>-8.58</v>
      </c>
    </row>
    <row r="1007" spans="1:225" x14ac:dyDescent="0.25">
      <c r="A1007" s="127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27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27">
        <v>44592</v>
      </c>
      <c r="B1009" s="23" t="s">
        <v>32</v>
      </c>
      <c r="C1009" s="21">
        <f t="shared" si="19"/>
        <v>-15.42</v>
      </c>
      <c r="AD1009" s="115">
        <v>-15.42</v>
      </c>
    </row>
    <row r="1010" spans="1:229" x14ac:dyDescent="0.25">
      <c r="A1010" s="132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</v>
      </c>
    </row>
    <row r="1011" spans="1:229" x14ac:dyDescent="0.25">
      <c r="A1011" s="132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2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5">
        <v>-8.86</v>
      </c>
    </row>
    <row r="1013" spans="1:229" x14ac:dyDescent="0.25">
      <c r="A1013" s="132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2">
        <v>44594</v>
      </c>
      <c r="B1014" s="23" t="s">
        <v>96</v>
      </c>
      <c r="C1014" s="21">
        <f t="shared" si="19"/>
        <v>-121.15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2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2">
        <v>44594</v>
      </c>
      <c r="B1016" s="23" t="s">
        <v>75</v>
      </c>
      <c r="C1016" s="21">
        <f t="shared" si="19"/>
        <v>-42.11</v>
      </c>
      <c r="BF1016" s="115">
        <v>-8.59</v>
      </c>
      <c r="BM1016" s="88">
        <v>-8.43</v>
      </c>
      <c r="CC1016" s="126">
        <v>-7.64</v>
      </c>
      <c r="CJ1016" s="115">
        <v>-8.98</v>
      </c>
      <c r="CK1016" s="42">
        <v>-8.4700000000000006</v>
      </c>
    </row>
    <row r="1017" spans="1:229" x14ac:dyDescent="0.25">
      <c r="A1017" s="132">
        <v>44594</v>
      </c>
      <c r="B1017" s="23" t="s">
        <v>27</v>
      </c>
      <c r="C1017" s="21">
        <f t="shared" si="19"/>
        <v>-32.29</v>
      </c>
      <c r="BJ1017" s="121">
        <v>-8.6</v>
      </c>
      <c r="BR1017" s="115">
        <v>-7.77</v>
      </c>
      <c r="BV1017" s="121">
        <v>-7.06</v>
      </c>
      <c r="CJ1017" s="115">
        <v>-8.86</v>
      </c>
    </row>
    <row r="1018" spans="1:229" x14ac:dyDescent="0.25">
      <c r="A1018" s="127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27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1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27">
        <v>44595</v>
      </c>
      <c r="B1021" s="23" t="s">
        <v>17</v>
      </c>
      <c r="C1021" s="21">
        <f t="shared" si="19"/>
        <v>-30.065000000000001</v>
      </c>
      <c r="O1021" s="375">
        <v>-8.48</v>
      </c>
      <c r="FX1021" s="34">
        <v>-21.585000000000001</v>
      </c>
    </row>
    <row r="1022" spans="1:229" x14ac:dyDescent="0.25">
      <c r="A1022" s="131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27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1">
        <v>44595</v>
      </c>
      <c r="B1024" s="23" t="s">
        <v>27</v>
      </c>
      <c r="C1024" s="21">
        <f t="shared" si="19"/>
        <v>-25.13</v>
      </c>
      <c r="BF1024" s="115">
        <v>-8.9700000000000006</v>
      </c>
      <c r="CT1024" s="121">
        <v>-7.82</v>
      </c>
      <c r="CZ1024" s="121">
        <v>-8.34</v>
      </c>
    </row>
    <row r="1025" spans="1:238" x14ac:dyDescent="0.25">
      <c r="A1025" s="127">
        <v>44595</v>
      </c>
      <c r="B1025" s="23" t="s">
        <v>80</v>
      </c>
      <c r="C1025" s="21">
        <f t="shared" si="19"/>
        <v>0</v>
      </c>
    </row>
    <row r="1026" spans="1:238" x14ac:dyDescent="0.25">
      <c r="A1026" s="131">
        <v>44596</v>
      </c>
      <c r="B1026" s="23" t="s">
        <v>23</v>
      </c>
      <c r="C1026" s="21">
        <f t="shared" si="19"/>
        <v>0</v>
      </c>
    </row>
    <row r="1027" spans="1:238" x14ac:dyDescent="0.25">
      <c r="A1027" s="127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1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27">
        <v>44599</v>
      </c>
      <c r="B1029" s="24" t="s">
        <v>2</v>
      </c>
      <c r="C1029" s="21">
        <f t="shared" si="19"/>
        <v>2938.01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27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27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27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27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27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27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27">
        <v>44599</v>
      </c>
      <c r="B1036" s="24" t="s">
        <v>57</v>
      </c>
      <c r="C1036" s="21">
        <f t="shared" si="20"/>
        <v>-101.74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27">
        <v>44599</v>
      </c>
      <c r="B1037" s="24" t="s">
        <v>44</v>
      </c>
      <c r="C1037" s="21">
        <f t="shared" si="20"/>
        <v>-270.52</v>
      </c>
      <c r="GJ1037" s="202">
        <v>-29.97</v>
      </c>
      <c r="GP1037" s="42">
        <v>-176.4</v>
      </c>
      <c r="ID1037" s="42">
        <v>-64.150000000000006</v>
      </c>
    </row>
    <row r="1038" spans="1:238" x14ac:dyDescent="0.25">
      <c r="A1038" s="127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27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27">
        <v>44600</v>
      </c>
      <c r="B1040" s="24" t="s">
        <v>32</v>
      </c>
      <c r="C1040" s="21">
        <f t="shared" si="20"/>
        <v>-136.26499999999999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27">
        <v>44600</v>
      </c>
      <c r="B1041" s="24" t="s">
        <v>15</v>
      </c>
      <c r="C1041" s="21">
        <f t="shared" si="20"/>
        <v>-38.770000000000003</v>
      </c>
      <c r="AI1041" s="126">
        <v>-16.39</v>
      </c>
      <c r="GA1041" s="88">
        <v>-22.38</v>
      </c>
    </row>
    <row r="1042" spans="1:238" x14ac:dyDescent="0.25">
      <c r="A1042" s="127">
        <v>44600</v>
      </c>
      <c r="B1042" s="24" t="s">
        <v>95</v>
      </c>
      <c r="C1042" s="21">
        <f t="shared" si="20"/>
        <v>-557.16499999999996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27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27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27">
        <v>44600</v>
      </c>
      <c r="B1045" s="24" t="s">
        <v>50</v>
      </c>
      <c r="C1045" s="21">
        <f t="shared" si="20"/>
        <v>-492.93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27">
        <v>44600</v>
      </c>
      <c r="B1046" s="24" t="s">
        <v>78</v>
      </c>
      <c r="C1046" s="21">
        <f t="shared" si="20"/>
        <v>-25.83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27">
        <v>44600</v>
      </c>
      <c r="B1047" s="24" t="s">
        <v>12</v>
      </c>
      <c r="C1047" s="21">
        <f t="shared" si="20"/>
        <v>-210.51499999999999</v>
      </c>
      <c r="O1047" s="375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27">
        <v>44601</v>
      </c>
      <c r="B1048" s="24" t="s">
        <v>15</v>
      </c>
      <c r="C1048" s="21">
        <f t="shared" si="20"/>
        <v>-289.87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27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27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27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27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27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27">
        <v>44601</v>
      </c>
      <c r="B1054" s="24" t="s">
        <v>78</v>
      </c>
      <c r="C1054" s="21">
        <f t="shared" si="20"/>
        <v>-85.655000000000001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27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27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27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27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27">
        <v>44601</v>
      </c>
      <c r="B1059" s="24" t="s">
        <v>19</v>
      </c>
      <c r="C1059" s="21">
        <f t="shared" si="20"/>
        <v>291.75</v>
      </c>
      <c r="BD1059" s="121">
        <v>26.78</v>
      </c>
      <c r="BJ1059" s="121">
        <v>31.68</v>
      </c>
      <c r="BP1059" s="121">
        <v>32.5</v>
      </c>
      <c r="BV1059" s="121">
        <v>31.17</v>
      </c>
      <c r="CB1059" s="121">
        <v>34.54</v>
      </c>
      <c r="CH1059" s="121">
        <v>34.36</v>
      </c>
      <c r="CN1059" s="121">
        <v>35.590000000000003</v>
      </c>
      <c r="CZ1059" s="121">
        <v>32.03</v>
      </c>
      <c r="DL1059" s="121">
        <v>33.1</v>
      </c>
    </row>
    <row r="1060" spans="1:231" x14ac:dyDescent="0.25">
      <c r="A1060" s="127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27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27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27">
        <v>44602</v>
      </c>
      <c r="B1063" s="24" t="s">
        <v>58</v>
      </c>
      <c r="C1063" s="21">
        <f t="shared" si="20"/>
        <v>0</v>
      </c>
    </row>
    <row r="1064" spans="1:231" x14ac:dyDescent="0.25">
      <c r="A1064" s="127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27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27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27">
        <v>44603</v>
      </c>
      <c r="B1067" s="24" t="s">
        <v>12</v>
      </c>
      <c r="C1067" s="21">
        <f t="shared" si="20"/>
        <v>0</v>
      </c>
    </row>
    <row r="1068" spans="1:231" x14ac:dyDescent="0.25">
      <c r="A1068" s="127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27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27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27">
        <v>44607</v>
      </c>
      <c r="B1071" s="24" t="s">
        <v>95</v>
      </c>
      <c r="C1071" s="21">
        <f t="shared" si="20"/>
        <v>-442.94499999999999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27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27">
        <v>44607</v>
      </c>
      <c r="B1073" s="24" t="s">
        <v>32</v>
      </c>
      <c r="C1073" s="21">
        <f t="shared" si="20"/>
        <v>-130.08500000000001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27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27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27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27">
        <v>44607</v>
      </c>
      <c r="B1077" s="24" t="s">
        <v>27</v>
      </c>
      <c r="C1077" s="21">
        <f t="shared" si="20"/>
        <v>-33.93</v>
      </c>
      <c r="AI1077" s="126">
        <v>-8.24</v>
      </c>
      <c r="AO1077" s="46">
        <v>-8.43</v>
      </c>
      <c r="AT1077" s="46">
        <v>-8.76</v>
      </c>
      <c r="BJ1077" s="121">
        <v>-8.5</v>
      </c>
    </row>
    <row r="1078" spans="1:223" x14ac:dyDescent="0.25">
      <c r="A1078" s="127">
        <v>44608</v>
      </c>
      <c r="B1078" s="24" t="s">
        <v>80</v>
      </c>
      <c r="C1078" s="21">
        <f t="shared" si="20"/>
        <v>-25.4</v>
      </c>
      <c r="AL1078" s="42">
        <v>-17.670000000000002</v>
      </c>
      <c r="AP1078" s="42">
        <v>-7.73</v>
      </c>
    </row>
    <row r="1079" spans="1:223" x14ac:dyDescent="0.25">
      <c r="A1079" s="127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27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27">
        <v>44608</v>
      </c>
      <c r="B1081" s="24" t="s">
        <v>94</v>
      </c>
      <c r="C1081" s="21">
        <f t="shared" si="20"/>
        <v>0</v>
      </c>
    </row>
    <row r="1082" spans="1:223" x14ac:dyDescent="0.25">
      <c r="A1082" s="127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27">
        <v>44608</v>
      </c>
      <c r="B1083" s="24" t="s">
        <v>75</v>
      </c>
      <c r="C1083" s="21">
        <f t="shared" si="20"/>
        <v>-42.185000000000002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27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27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27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27">
        <v>44609</v>
      </c>
      <c r="B1087" s="24" t="s">
        <v>72</v>
      </c>
      <c r="C1087" s="21">
        <f t="shared" si="20"/>
        <v>-25.135000000000002</v>
      </c>
      <c r="BG1087" s="42">
        <v>-8.59</v>
      </c>
      <c r="BN1087" s="69">
        <v>-8.4749999999999996</v>
      </c>
      <c r="BV1087" s="121">
        <v>-8.07</v>
      </c>
    </row>
    <row r="1088" spans="1:223" x14ac:dyDescent="0.25">
      <c r="A1088" s="127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27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27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</v>
      </c>
      <c r="BM1090" s="88">
        <v>-16.62</v>
      </c>
      <c r="CW1090" s="42">
        <v>-8.57</v>
      </c>
    </row>
    <row r="1091" spans="1:223" x14ac:dyDescent="0.25">
      <c r="A1091" s="127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27">
        <v>44610</v>
      </c>
      <c r="B1092" s="24" t="s">
        <v>104</v>
      </c>
      <c r="C1092" s="21">
        <f t="shared" si="20"/>
        <v>161.59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27">
        <v>44610</v>
      </c>
      <c r="B1093" s="29" t="s">
        <v>59</v>
      </c>
      <c r="C1093" s="21">
        <f t="shared" si="20"/>
        <v>-7.9</v>
      </c>
      <c r="DG1093" s="126">
        <v>-7.9</v>
      </c>
    </row>
    <row r="1094" spans="1:223" x14ac:dyDescent="0.25">
      <c r="A1094" s="127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27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27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375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27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27">
        <v>44611</v>
      </c>
      <c r="B1098" s="24" t="s">
        <v>27</v>
      </c>
      <c r="C1098" s="21">
        <f t="shared" si="21"/>
        <v>-72.31</v>
      </c>
      <c r="CN1098" s="121">
        <v>-8.52</v>
      </c>
      <c r="CT1098" s="121">
        <v>-16.690000000000001</v>
      </c>
      <c r="CZ1098" s="121">
        <v>-16.53</v>
      </c>
      <c r="DC1098" s="42">
        <v>-6.25</v>
      </c>
      <c r="DF1098" s="121">
        <v>-7.85</v>
      </c>
      <c r="DV1098" s="121">
        <v>-16.47</v>
      </c>
    </row>
    <row r="1099" spans="1:223" x14ac:dyDescent="0.25">
      <c r="A1099" s="127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27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27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27">
        <v>44613</v>
      </c>
      <c r="B1102" s="24" t="s">
        <v>95</v>
      </c>
      <c r="C1102" s="21">
        <f t="shared" si="21"/>
        <v>-91.165000000000006</v>
      </c>
      <c r="EN1102" s="42">
        <v>-82.82</v>
      </c>
      <c r="EO1102" s="69">
        <v>-8.3450000000000006</v>
      </c>
    </row>
    <row r="1103" spans="1:223" x14ac:dyDescent="0.25">
      <c r="A1103" s="127">
        <v>44613</v>
      </c>
      <c r="B1103" s="24" t="s">
        <v>32</v>
      </c>
      <c r="C1103" s="21">
        <f t="shared" si="21"/>
        <v>-118.58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27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27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27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27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27">
        <v>44614</v>
      </c>
      <c r="B1108" s="24" t="s">
        <v>95</v>
      </c>
      <c r="C1108" s="21">
        <f t="shared" si="21"/>
        <v>-84.55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27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27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27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1">
        <v>-32.5</v>
      </c>
      <c r="BV1111" s="121">
        <v>-31.17</v>
      </c>
      <c r="CH1111" s="121">
        <v>-34.36</v>
      </c>
    </row>
    <row r="1112" spans="1:220" x14ac:dyDescent="0.25">
      <c r="A1112" s="127">
        <v>44614</v>
      </c>
      <c r="B1112" s="24" t="s">
        <v>37</v>
      </c>
      <c r="C1112" s="21">
        <f t="shared" si="21"/>
        <v>-93.01</v>
      </c>
      <c r="HE1112" s="42">
        <v>-61.44</v>
      </c>
      <c r="HL1112" s="42">
        <v>-31.57</v>
      </c>
    </row>
    <row r="1113" spans="1:220" x14ac:dyDescent="0.25">
      <c r="A1113" s="127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27">
        <v>44614</v>
      </c>
      <c r="B1114" s="24" t="s">
        <v>78</v>
      </c>
      <c r="C1114" s="21">
        <f t="shared" si="21"/>
        <v>-42.465000000000003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27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27">
        <v>44615</v>
      </c>
      <c r="B1116" s="24" t="s">
        <v>27</v>
      </c>
      <c r="C1116" s="21">
        <f t="shared" si="21"/>
        <v>-56.39</v>
      </c>
      <c r="CT1116" s="121">
        <v>-24.36</v>
      </c>
      <c r="CZ1116" s="121">
        <v>-32.03</v>
      </c>
    </row>
    <row r="1117" spans="1:220" x14ac:dyDescent="0.25">
      <c r="A1117" s="127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1">
        <v>-8.3000000000000007</v>
      </c>
    </row>
    <row r="1118" spans="1:220" x14ac:dyDescent="0.25">
      <c r="A1118" s="127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27">
        <v>44615</v>
      </c>
      <c r="B1119" s="24" t="s">
        <v>15</v>
      </c>
      <c r="C1119" s="21">
        <f t="shared" si="21"/>
        <v>-200.36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27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27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27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6">
        <v>-16.170000000000002</v>
      </c>
      <c r="CE1122" s="42">
        <v>-16.21</v>
      </c>
    </row>
    <row r="1123" spans="1:225" x14ac:dyDescent="0.25">
      <c r="A1123" s="127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27">
        <v>44618</v>
      </c>
      <c r="B1124" s="24" t="s">
        <v>15</v>
      </c>
      <c r="C1124" s="21">
        <f t="shared" si="21"/>
        <v>-40.869999999999997</v>
      </c>
      <c r="BG1124" s="42">
        <v>-32.35</v>
      </c>
      <c r="CK1124" s="42">
        <v>-8.52</v>
      </c>
    </row>
    <row r="1125" spans="1:225" x14ac:dyDescent="0.25">
      <c r="A1125" s="127">
        <v>44618</v>
      </c>
      <c r="B1125" s="24" t="s">
        <v>45</v>
      </c>
      <c r="C1125" s="21">
        <f t="shared" si="21"/>
        <v>-19.04</v>
      </c>
      <c r="CN1125" s="121">
        <v>-19.04</v>
      </c>
    </row>
    <row r="1126" spans="1:225" x14ac:dyDescent="0.25">
      <c r="A1126" s="127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27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27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27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1">
        <v>-8.17</v>
      </c>
      <c r="EJ1129" s="42">
        <v>-8.83</v>
      </c>
    </row>
    <row r="1130" spans="1:225" x14ac:dyDescent="0.25">
      <c r="A1130" s="127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27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27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27">
        <v>44622</v>
      </c>
      <c r="B1133" s="24" t="s">
        <v>78</v>
      </c>
      <c r="C1133" s="21">
        <f t="shared" si="21"/>
        <v>2308.1799999999998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27">
        <v>44622</v>
      </c>
      <c r="B1134" s="24" t="s">
        <v>12</v>
      </c>
      <c r="C1134" s="21">
        <f t="shared" si="21"/>
        <v>-253.26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27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27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27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27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27">
        <v>44623</v>
      </c>
      <c r="B1139" s="24" t="s">
        <v>27</v>
      </c>
      <c r="C1139" s="21">
        <f t="shared" si="21"/>
        <v>-77.59</v>
      </c>
      <c r="AZ1139" s="115">
        <v>-8.2899999999999991</v>
      </c>
      <c r="BF1139" s="115">
        <v>-8.9600000000000009</v>
      </c>
      <c r="BR1139" s="115">
        <v>-8.84</v>
      </c>
      <c r="BV1139" s="121">
        <v>-6.99</v>
      </c>
      <c r="CB1139" s="121">
        <v>-18.13</v>
      </c>
      <c r="CE1139" s="42">
        <v>-17.190000000000001</v>
      </c>
      <c r="CJ1139" s="115">
        <v>-9.19</v>
      </c>
    </row>
    <row r="1140" spans="1:238" x14ac:dyDescent="0.25">
      <c r="A1140" s="127">
        <v>44623</v>
      </c>
      <c r="B1140" s="24" t="s">
        <v>75</v>
      </c>
      <c r="C1140" s="21">
        <f t="shared" si="21"/>
        <v>-33.965000000000003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27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27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27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27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27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-16.940000000000001</v>
      </c>
      <c r="DD1145" s="69">
        <f>-8.325-8.4</f>
        <v>-16.725000000000001</v>
      </c>
      <c r="DJ1145" s="69">
        <v>-33.54</v>
      </c>
    </row>
    <row r="1146" spans="1:238" x14ac:dyDescent="0.25">
      <c r="A1146" s="127">
        <v>44623</v>
      </c>
      <c r="B1146" s="24" t="s">
        <v>78</v>
      </c>
      <c r="C1146" s="21">
        <f t="shared" si="21"/>
        <v>-84.49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27">
        <v>44623</v>
      </c>
      <c r="B1147" s="24" t="s">
        <v>78</v>
      </c>
      <c r="C1147" s="21">
        <f t="shared" si="21"/>
        <v>-25.26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27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27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27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27">
        <v>44624</v>
      </c>
      <c r="B1151" s="64" t="s">
        <v>14</v>
      </c>
      <c r="C1151" s="21">
        <f t="shared" si="21"/>
        <v>-203.505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27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27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27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27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27">
        <v>44624</v>
      </c>
      <c r="B1156" s="64" t="s">
        <v>100</v>
      </c>
      <c r="C1156" s="21">
        <f t="shared" si="21"/>
        <v>-17.05</v>
      </c>
      <c r="BS1156" s="42">
        <f>-8.52-8.53</f>
        <v>-17.05</v>
      </c>
    </row>
    <row r="1157" spans="1:231" x14ac:dyDescent="0.25">
      <c r="A1157" s="127">
        <v>44624</v>
      </c>
      <c r="B1157" s="64" t="s">
        <v>78</v>
      </c>
      <c r="C1157" s="21">
        <f t="shared" si="21"/>
        <v>951.92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27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27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27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27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27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27">
        <v>44625</v>
      </c>
      <c r="B1163" s="24" t="s">
        <v>39</v>
      </c>
      <c r="C1163" s="21">
        <f t="shared" si="22"/>
        <v>-67.894999999999996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27">
        <v>44627</v>
      </c>
      <c r="B1164" s="24" t="s">
        <v>100</v>
      </c>
      <c r="C1164" s="21">
        <f t="shared" si="22"/>
        <v>0</v>
      </c>
    </row>
    <row r="1165" spans="1:231" x14ac:dyDescent="0.25">
      <c r="A1165" s="127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27">
        <v>44627</v>
      </c>
      <c r="B1166" s="24" t="s">
        <v>44</v>
      </c>
      <c r="C1166" s="21">
        <f t="shared" si="22"/>
        <v>-193.19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27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27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27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27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27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27">
        <v>44629</v>
      </c>
      <c r="B1172" s="24" t="s">
        <v>96</v>
      </c>
      <c r="C1172" s="21">
        <f t="shared" si="22"/>
        <v>-99.325000000000003</v>
      </c>
      <c r="AZ1172" s="115">
        <v>-8.7899999999999991</v>
      </c>
      <c r="BD1172" s="121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27">
        <v>44629</v>
      </c>
      <c r="B1173" s="24" t="s">
        <v>75</v>
      </c>
      <c r="C1173" s="21">
        <f t="shared" si="22"/>
        <v>-33.895000000000003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27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27">
        <v>44629</v>
      </c>
      <c r="B1175" s="24" t="s">
        <v>20</v>
      </c>
      <c r="C1175" s="21">
        <f t="shared" si="22"/>
        <v>-58.69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5">
        <v>-8.56</v>
      </c>
      <c r="BS1175" s="42">
        <v>-8.51</v>
      </c>
    </row>
    <row r="1176" spans="1:241" x14ac:dyDescent="0.25">
      <c r="A1176" s="127">
        <v>44629</v>
      </c>
      <c r="B1176" s="24" t="s">
        <v>109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27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27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27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27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27">
        <v>44630</v>
      </c>
      <c r="B1181" s="24" t="s">
        <v>107</v>
      </c>
      <c r="C1181" s="21">
        <f t="shared" si="22"/>
        <v>-9.34</v>
      </c>
      <c r="BR1181" s="115">
        <v>-9.34</v>
      </c>
    </row>
    <row r="1182" spans="1:241" x14ac:dyDescent="0.25">
      <c r="A1182" s="127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27">
        <v>44635</v>
      </c>
      <c r="B1183" s="24" t="s">
        <v>95</v>
      </c>
      <c r="C1183" s="21">
        <f t="shared" si="22"/>
        <v>0</v>
      </c>
    </row>
    <row r="1184" spans="1:241" x14ac:dyDescent="0.25">
      <c r="A1184" s="127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27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27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27">
        <v>44636</v>
      </c>
      <c r="B1187" s="24" t="s">
        <v>78</v>
      </c>
      <c r="C1187" s="21">
        <f t="shared" si="22"/>
        <v>3192.05</v>
      </c>
      <c r="O1187" s="375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27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27">
        <v>44636</v>
      </c>
      <c r="B1189" s="24" t="s">
        <v>14</v>
      </c>
      <c r="C1189" s="21">
        <f t="shared" si="22"/>
        <v>-126.68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27">
        <v>44636</v>
      </c>
      <c r="B1190" s="24" t="s">
        <v>13</v>
      </c>
      <c r="C1190" s="21">
        <f t="shared" si="22"/>
        <v>-201.95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27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27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27">
        <v>44636</v>
      </c>
      <c r="B1193" s="24" t="s">
        <v>57</v>
      </c>
      <c r="C1193" s="21">
        <f t="shared" si="22"/>
        <v>-110.345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27">
        <v>44636</v>
      </c>
      <c r="B1194" s="24" t="s">
        <v>72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27">
        <v>44636</v>
      </c>
      <c r="B1195" s="24" t="s">
        <v>20</v>
      </c>
      <c r="C1195" s="21">
        <f t="shared" si="22"/>
        <v>-25.47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27">
        <v>44636</v>
      </c>
      <c r="B1196" s="24" t="s">
        <v>19</v>
      </c>
      <c r="C1196" s="21">
        <f t="shared" si="22"/>
        <v>-69.23</v>
      </c>
      <c r="O1196" s="375">
        <v>-69.23</v>
      </c>
    </row>
    <row r="1197" spans="1:241" x14ac:dyDescent="0.25">
      <c r="A1197" s="127">
        <v>44636</v>
      </c>
      <c r="B1197" s="24" t="s">
        <v>19</v>
      </c>
      <c r="C1197" s="21">
        <f t="shared" si="22"/>
        <v>497.66</v>
      </c>
      <c r="BD1197" s="121">
        <v>28.08</v>
      </c>
      <c r="BJ1197" s="121">
        <v>31.31</v>
      </c>
      <c r="BL1197" s="115">
        <v>35.72</v>
      </c>
      <c r="BR1197" s="115">
        <v>68.28</v>
      </c>
      <c r="BV1197" s="121">
        <v>31.51</v>
      </c>
      <c r="BX1197" s="115">
        <v>32.47</v>
      </c>
      <c r="CC1197" s="126">
        <v>65.87</v>
      </c>
      <c r="CJ1197" s="115">
        <v>34.14</v>
      </c>
      <c r="CT1197" s="121">
        <v>68.97</v>
      </c>
      <c r="DB1197" s="115">
        <v>66.63</v>
      </c>
      <c r="DG1197" s="126">
        <v>34.68</v>
      </c>
    </row>
    <row r="1198" spans="1:241" x14ac:dyDescent="0.25">
      <c r="A1198" s="127">
        <v>44637</v>
      </c>
      <c r="B1198" s="24" t="s">
        <v>32</v>
      </c>
      <c r="C1198" s="21">
        <f t="shared" si="22"/>
        <v>-346.02499999999998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27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27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27">
        <v>44637</v>
      </c>
      <c r="B1201" s="24" t="s">
        <v>33</v>
      </c>
      <c r="C1201" s="21">
        <f t="shared" si="22"/>
        <v>-25.364999999999998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27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27">
        <v>44637</v>
      </c>
      <c r="B1203" s="24" t="s">
        <v>75</v>
      </c>
      <c r="C1203" s="21">
        <f t="shared" si="22"/>
        <v>-17.02</v>
      </c>
      <c r="CF1203" s="69">
        <v>-8.64</v>
      </c>
      <c r="CL1203" s="69">
        <v>-8.3800000000000008</v>
      </c>
    </row>
    <row r="1204" spans="1:231" x14ac:dyDescent="0.25">
      <c r="A1204" s="127">
        <v>44637</v>
      </c>
      <c r="B1204" s="24" t="s">
        <v>27</v>
      </c>
      <c r="C1204" s="21">
        <f t="shared" si="22"/>
        <v>-16.27</v>
      </c>
      <c r="BR1204" s="115">
        <v>-8.24</v>
      </c>
      <c r="CN1204" s="121">
        <v>-8.0299999999999994</v>
      </c>
    </row>
    <row r="1205" spans="1:231" x14ac:dyDescent="0.25">
      <c r="A1205" s="127">
        <v>44637</v>
      </c>
      <c r="B1205" s="24" t="s">
        <v>108</v>
      </c>
      <c r="C1205" s="21">
        <f t="shared" si="22"/>
        <v>-17.004999999999999</v>
      </c>
      <c r="AV1205" s="69">
        <v>-8.5050000000000008</v>
      </c>
      <c r="BZ1205" s="69">
        <v>-8.5</v>
      </c>
    </row>
    <row r="1206" spans="1:231" x14ac:dyDescent="0.25">
      <c r="A1206" s="127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27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27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27">
        <v>44639</v>
      </c>
      <c r="B1209" s="24" t="s">
        <v>45</v>
      </c>
      <c r="C1209" s="21">
        <f t="shared" si="22"/>
        <v>-32.659999999999997</v>
      </c>
      <c r="DG1209" s="126">
        <f>-8.28-8.55</f>
        <v>-16.829999999999998</v>
      </c>
      <c r="DL1209" s="121">
        <f>-7.87-7.96</f>
        <v>-15.83</v>
      </c>
    </row>
    <row r="1210" spans="1:231" x14ac:dyDescent="0.25">
      <c r="A1210" s="127">
        <v>44639</v>
      </c>
      <c r="B1210" s="24" t="s">
        <v>78</v>
      </c>
      <c r="C1210" s="21">
        <f t="shared" si="22"/>
        <v>680.75</v>
      </c>
      <c r="O1210" s="375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27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27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27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27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27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27">
        <v>44641</v>
      </c>
      <c r="B1216" s="24" t="s">
        <v>78</v>
      </c>
      <c r="C1216" s="21">
        <f t="shared" si="22"/>
        <v>808.36</v>
      </c>
      <c r="O1216" s="375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27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27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27">
        <v>44642</v>
      </c>
      <c r="B1219" s="24" t="s">
        <v>2</v>
      </c>
      <c r="C1219" s="21">
        <f t="shared" si="22"/>
        <v>1534.64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27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27">
        <v>44642</v>
      </c>
      <c r="B1221" s="24" t="s">
        <v>20</v>
      </c>
      <c r="C1221" s="21">
        <f t="shared" si="22"/>
        <v>-68.635000000000005</v>
      </c>
      <c r="BH1221" s="69">
        <v>-8.4849999999999994</v>
      </c>
      <c r="GY1221" s="42">
        <v>-60.15</v>
      </c>
    </row>
    <row r="1222" spans="1:229" x14ac:dyDescent="0.25">
      <c r="A1222" s="127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27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27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27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27">
        <v>44642</v>
      </c>
      <c r="B1226" s="24" t="s">
        <v>78</v>
      </c>
      <c r="C1226" s="21">
        <f t="shared" si="23"/>
        <v>801.75</v>
      </c>
      <c r="O1226" s="375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27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27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27">
        <v>44643</v>
      </c>
      <c r="B1229" s="24" t="s">
        <v>79</v>
      </c>
      <c r="C1229" s="21">
        <f t="shared" si="23"/>
        <v>-8.6449999999999996</v>
      </c>
      <c r="O1229" s="375">
        <v>-8.6449999999999996</v>
      </c>
    </row>
    <row r="1230" spans="1:229" x14ac:dyDescent="0.25">
      <c r="A1230" s="127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27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27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27">
        <v>44643</v>
      </c>
      <c r="B1233" s="24" t="s">
        <v>27</v>
      </c>
      <c r="C1233" s="21">
        <f t="shared" si="23"/>
        <v>-8.1300000000000008</v>
      </c>
      <c r="AZ1233" s="115">
        <v>-8.1300000000000008</v>
      </c>
    </row>
    <row r="1234" spans="1:219" x14ac:dyDescent="0.25">
      <c r="A1234" s="127">
        <v>44644</v>
      </c>
      <c r="B1234" s="24" t="s">
        <v>80</v>
      </c>
      <c r="C1234" s="21">
        <f t="shared" si="23"/>
        <v>-43.475000000000001</v>
      </c>
      <c r="AL1234" s="42">
        <v>-26.49</v>
      </c>
      <c r="AV1234" s="69">
        <v>-16.984999999999999</v>
      </c>
    </row>
    <row r="1235" spans="1:219" x14ac:dyDescent="0.25">
      <c r="A1235" s="127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27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27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27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27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27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27">
        <v>44645</v>
      </c>
      <c r="B1241" s="24" t="s">
        <v>17</v>
      </c>
      <c r="C1241" s="21">
        <f t="shared" si="23"/>
        <v>-66.98</v>
      </c>
      <c r="BT1241" s="69">
        <v>-33.744999999999997</v>
      </c>
      <c r="BZ1241" s="69">
        <v>-33.234999999999999</v>
      </c>
    </row>
    <row r="1242" spans="1:219" x14ac:dyDescent="0.25">
      <c r="A1242" s="127">
        <v>44645</v>
      </c>
      <c r="B1242" s="24" t="s">
        <v>15</v>
      </c>
      <c r="C1242" s="21">
        <f t="shared" si="23"/>
        <v>-43.255000000000003</v>
      </c>
      <c r="CL1242" s="69">
        <v>-8.58</v>
      </c>
      <c r="DD1242" s="69">
        <v>-34.674999999999997</v>
      </c>
    </row>
    <row r="1243" spans="1:219" x14ac:dyDescent="0.25">
      <c r="A1243" s="127">
        <v>44645</v>
      </c>
      <c r="B1243" s="24" t="s">
        <v>111</v>
      </c>
      <c r="C1243" s="21">
        <f t="shared" si="23"/>
        <v>-16.47</v>
      </c>
      <c r="BX1243" s="115">
        <v>-16.47</v>
      </c>
    </row>
    <row r="1244" spans="1:219" x14ac:dyDescent="0.25">
      <c r="A1244" s="127">
        <v>44645</v>
      </c>
      <c r="B1244" s="24" t="s">
        <v>78</v>
      </c>
      <c r="C1244" s="21">
        <f t="shared" si="23"/>
        <v>-25.315000000000001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27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375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27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27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27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27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27">
        <v>44645</v>
      </c>
      <c r="B1250" s="24" t="s">
        <v>13</v>
      </c>
      <c r="C1250" s="21">
        <f t="shared" si="23"/>
        <v>-237.09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27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27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27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27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27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27">
        <v>44648</v>
      </c>
      <c r="B1256" s="24" t="s">
        <v>95</v>
      </c>
      <c r="C1256" s="21">
        <f t="shared" si="23"/>
        <v>-450.31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27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27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27">
        <v>44648</v>
      </c>
      <c r="B1259" s="24" t="s">
        <v>15</v>
      </c>
      <c r="C1259" s="21">
        <f t="shared" si="23"/>
        <v>-66.995000000000005</v>
      </c>
      <c r="BJ1259" s="121">
        <v>-15.89</v>
      </c>
      <c r="BR1259" s="115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27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27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27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27">
        <v>44649</v>
      </c>
      <c r="B1263" s="24" t="s">
        <v>18</v>
      </c>
      <c r="C1263" s="21">
        <f t="shared" si="23"/>
        <v>-236.37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27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27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27">
        <v>44649</v>
      </c>
      <c r="B1266" s="24" t="s">
        <v>75</v>
      </c>
      <c r="C1266" s="21">
        <f t="shared" si="23"/>
        <v>-25.574999999999999</v>
      </c>
      <c r="O1266" s="375">
        <v>-8.56</v>
      </c>
      <c r="U1266" s="69">
        <v>-8.5549999999999997</v>
      </c>
      <c r="BB1266" s="69">
        <v>-8.4600000000000009</v>
      </c>
    </row>
    <row r="1267" spans="1:234" x14ac:dyDescent="0.25">
      <c r="A1267" s="127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1">
        <v>-7.4</v>
      </c>
      <c r="BZ1267" s="69">
        <v>-8.48</v>
      </c>
      <c r="CF1267" s="69">
        <v>-8.6449999999999996</v>
      </c>
    </row>
    <row r="1268" spans="1:234" x14ac:dyDescent="0.25">
      <c r="A1268" s="127">
        <v>44649</v>
      </c>
      <c r="B1268" s="24" t="s">
        <v>12</v>
      </c>
      <c r="C1268" s="21">
        <f t="shared" si="23"/>
        <v>-107.31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27">
        <v>44650</v>
      </c>
      <c r="B1269" s="24" t="s">
        <v>80</v>
      </c>
      <c r="C1269" s="21">
        <f t="shared" si="23"/>
        <v>-142.66499999999999</v>
      </c>
      <c r="AL1269" s="42">
        <v>-8.84</v>
      </c>
      <c r="AM1269" s="69">
        <v>-59.615000000000002</v>
      </c>
      <c r="AV1269" s="69">
        <v>-50.1</v>
      </c>
      <c r="BV1269" s="121">
        <v>-24.11</v>
      </c>
    </row>
    <row r="1270" spans="1:234" x14ac:dyDescent="0.25">
      <c r="A1270" s="127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15">
        <v>-25.26</v>
      </c>
      <c r="CL1270" s="69">
        <v>-25.405000000000001</v>
      </c>
      <c r="CR1270" s="69">
        <v>-16.96</v>
      </c>
    </row>
    <row r="1271" spans="1:234" x14ac:dyDescent="0.25">
      <c r="A1271" s="127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27">
        <v>44650</v>
      </c>
      <c r="B1272" s="24" t="s">
        <v>112</v>
      </c>
      <c r="C1272" s="21">
        <f t="shared" si="23"/>
        <v>-24.82</v>
      </c>
      <c r="EC1272" s="126">
        <v>-24.82</v>
      </c>
    </row>
    <row r="1273" spans="1:234" x14ac:dyDescent="0.25">
      <c r="A1273" s="127">
        <v>44650</v>
      </c>
      <c r="B1273" s="24" t="s">
        <v>2</v>
      </c>
      <c r="C1273" s="21">
        <f t="shared" si="23"/>
        <v>0</v>
      </c>
    </row>
    <row r="1274" spans="1:234" x14ac:dyDescent="0.25">
      <c r="A1274" s="127">
        <v>44651</v>
      </c>
      <c r="B1274" s="24" t="s">
        <v>18</v>
      </c>
      <c r="C1274" s="21">
        <f t="shared" si="23"/>
        <v>-101.05</v>
      </c>
      <c r="AQ1274" s="69">
        <v>-33.975000000000001</v>
      </c>
      <c r="AV1274" s="69">
        <v>-67.075000000000003</v>
      </c>
    </row>
    <row r="1275" spans="1:234" x14ac:dyDescent="0.25">
      <c r="A1275" s="127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27">
        <v>44652</v>
      </c>
      <c r="B1276" s="24" t="s">
        <v>78</v>
      </c>
      <c r="C1276" s="21">
        <f t="shared" si="23"/>
        <v>811.58500000000004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27">
        <v>44652</v>
      </c>
      <c r="B1277" s="29" t="s">
        <v>59</v>
      </c>
      <c r="C1277" s="21">
        <f t="shared" si="23"/>
        <v>-7.45</v>
      </c>
      <c r="BX1277" s="115">
        <v>-7.45</v>
      </c>
    </row>
    <row r="1278" spans="1:234" x14ac:dyDescent="0.25">
      <c r="A1278" s="127">
        <v>44653</v>
      </c>
      <c r="B1278" s="29" t="s">
        <v>31</v>
      </c>
      <c r="C1278" s="21">
        <f t="shared" si="23"/>
        <v>-59.38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27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27">
        <v>44655</v>
      </c>
      <c r="B1280" s="24" t="s">
        <v>78</v>
      </c>
      <c r="C1280" s="21">
        <f t="shared" si="23"/>
        <v>-25.41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27">
        <v>44655</v>
      </c>
      <c r="B1281" s="24" t="s">
        <v>95</v>
      </c>
      <c r="C1281" s="21">
        <f t="shared" si="23"/>
        <v>-373.58499999999998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27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27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27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2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2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27">
        <v>44656</v>
      </c>
      <c r="B1287" s="29" t="s">
        <v>79</v>
      </c>
      <c r="C1287" s="21">
        <f t="shared" si="23"/>
        <v>-59.104999999999997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27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27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27">
        <v>44656</v>
      </c>
      <c r="B1290" s="29" t="s">
        <v>27</v>
      </c>
      <c r="C1290" s="21">
        <f t="shared" si="24"/>
        <v>-40.204999999999998</v>
      </c>
      <c r="BD1290" s="121">
        <v>-6.68</v>
      </c>
      <c r="BR1290" s="115">
        <v>-8.4499999999999993</v>
      </c>
      <c r="BX1290" s="115">
        <v>-8.5500000000000007</v>
      </c>
      <c r="CL1290" s="69">
        <v>-8.4550000000000001</v>
      </c>
      <c r="DV1290" s="121">
        <v>-8.07</v>
      </c>
    </row>
    <row r="1291" spans="1:183" x14ac:dyDescent="0.25">
      <c r="A1291" s="127">
        <v>44656</v>
      </c>
      <c r="B1291" s="24" t="s">
        <v>32</v>
      </c>
      <c r="C1291" s="21">
        <f t="shared" si="24"/>
        <v>-41.92</v>
      </c>
      <c r="CB1291" s="121">
        <v>-8.24</v>
      </c>
      <c r="CL1291" s="69">
        <v>-33.68</v>
      </c>
    </row>
    <row r="1292" spans="1:183" x14ac:dyDescent="0.25">
      <c r="A1292" s="127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27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2">
        <v>44657</v>
      </c>
      <c r="B1294" s="51" t="s">
        <v>13</v>
      </c>
      <c r="C1294" s="21">
        <f t="shared" si="24"/>
        <v>-203.28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27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27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27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27">
        <v>44658</v>
      </c>
      <c r="B1298" s="24" t="s">
        <v>57</v>
      </c>
      <c r="C1298" s="21">
        <f t="shared" si="24"/>
        <v>-24.734999999999999</v>
      </c>
      <c r="DD1298" s="69">
        <v>-8.3450000000000006</v>
      </c>
      <c r="DJ1298" s="69">
        <v>-8.4499999999999993</v>
      </c>
      <c r="DQ1298" s="121">
        <v>-7.94</v>
      </c>
    </row>
    <row r="1299" spans="1:241" x14ac:dyDescent="0.25">
      <c r="A1299" s="127">
        <v>44658</v>
      </c>
      <c r="B1299" s="24" t="s">
        <v>115</v>
      </c>
      <c r="C1299" s="21">
        <f t="shared" si="24"/>
        <v>0</v>
      </c>
    </row>
    <row r="1300" spans="1:241" x14ac:dyDescent="0.25">
      <c r="A1300" s="127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27">
        <v>44658</v>
      </c>
      <c r="B1301" s="24" t="s">
        <v>57</v>
      </c>
      <c r="C1301" s="21">
        <f t="shared" si="24"/>
        <v>-25.81</v>
      </c>
      <c r="BR1301" s="115">
        <v>-25.81</v>
      </c>
    </row>
    <row r="1302" spans="1:241" x14ac:dyDescent="0.25">
      <c r="A1302" s="127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27">
        <v>44658</v>
      </c>
      <c r="B1303" s="24" t="s">
        <v>32</v>
      </c>
      <c r="C1303" s="21">
        <f t="shared" si="24"/>
        <v>-0.09</v>
      </c>
      <c r="AL1303" s="42">
        <v>8.1</v>
      </c>
      <c r="CC1303" s="126">
        <v>-8.19</v>
      </c>
    </row>
    <row r="1304" spans="1:241" x14ac:dyDescent="0.25">
      <c r="A1304" s="127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27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27">
        <v>44659</v>
      </c>
      <c r="B1306" s="24" t="s">
        <v>59</v>
      </c>
      <c r="C1306" s="21">
        <f t="shared" si="24"/>
        <v>-9.23</v>
      </c>
      <c r="CT1306" s="121">
        <v>-9.23</v>
      </c>
    </row>
    <row r="1307" spans="1:241" x14ac:dyDescent="0.25">
      <c r="A1307" s="127">
        <v>44659</v>
      </c>
      <c r="B1307" s="23" t="s">
        <v>20</v>
      </c>
      <c r="C1307" s="21">
        <f t="shared" si="24"/>
        <v>-15.17</v>
      </c>
      <c r="BD1307" s="121">
        <v>-6.68</v>
      </c>
      <c r="BH1307" s="69">
        <v>-8.49</v>
      </c>
    </row>
    <row r="1308" spans="1:241" x14ac:dyDescent="0.25">
      <c r="A1308" s="127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27">
        <v>44662</v>
      </c>
      <c r="B1309" s="24" t="s">
        <v>17</v>
      </c>
      <c r="C1309" s="21">
        <f t="shared" si="24"/>
        <v>-50.755000000000003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27">
        <v>44662</v>
      </c>
      <c r="B1310" s="24" t="s">
        <v>107</v>
      </c>
      <c r="C1310" s="21">
        <f t="shared" si="24"/>
        <v>-6.78</v>
      </c>
      <c r="BD1310" s="121">
        <v>-6.78</v>
      </c>
    </row>
    <row r="1311" spans="1:241" x14ac:dyDescent="0.25">
      <c r="A1311" s="127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27">
        <v>44664</v>
      </c>
      <c r="B1312" s="24" t="s">
        <v>80</v>
      </c>
      <c r="C1312" s="21">
        <f t="shared" si="24"/>
        <v>-30.7</v>
      </c>
      <c r="AV1312" s="69">
        <v>-16.760000000000002</v>
      </c>
      <c r="BD1312" s="121">
        <v>-13.94</v>
      </c>
    </row>
    <row r="1313" spans="1:242" x14ac:dyDescent="0.25">
      <c r="A1313" s="127">
        <v>44664</v>
      </c>
      <c r="B1313" s="24" t="s">
        <v>31</v>
      </c>
      <c r="C1313" s="21">
        <f t="shared" si="24"/>
        <v>-11.685</v>
      </c>
      <c r="FJ1313" s="69">
        <v>-2.2349999999999999</v>
      </c>
      <c r="GV1313" s="42">
        <v>-9.4499999999999993</v>
      </c>
    </row>
    <row r="1314" spans="1:242" x14ac:dyDescent="0.25">
      <c r="A1314" s="127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27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27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6">
        <v>-8.51</v>
      </c>
      <c r="CF1316" s="69">
        <v>-8.4749999999999996</v>
      </c>
      <c r="CL1316" s="69">
        <v>-8.43</v>
      </c>
    </row>
    <row r="1317" spans="1:242" x14ac:dyDescent="0.25">
      <c r="A1317" s="127">
        <v>44665</v>
      </c>
      <c r="B1317" s="24" t="s">
        <v>45</v>
      </c>
      <c r="C1317" s="21">
        <f t="shared" si="24"/>
        <v>-39.93</v>
      </c>
      <c r="AZ1317" s="115">
        <v>-8.5</v>
      </c>
      <c r="BD1317" s="121">
        <v>-6.99</v>
      </c>
      <c r="BJ1317" s="121">
        <f>-8.01-7.83</f>
        <v>-15.84</v>
      </c>
      <c r="BR1317" s="115">
        <v>-8.6</v>
      </c>
    </row>
    <row r="1318" spans="1:242" x14ac:dyDescent="0.25">
      <c r="A1318" s="127">
        <v>44666</v>
      </c>
      <c r="B1318" s="24" t="s">
        <v>113</v>
      </c>
      <c r="C1318" s="21">
        <f t="shared" si="24"/>
        <v>1989.52</v>
      </c>
      <c r="AW1318" s="74">
        <v>321.27999999999997</v>
      </c>
      <c r="BC1318" s="74">
        <v>318.20999999999998</v>
      </c>
      <c r="BI1318" s="106">
        <v>322.31</v>
      </c>
      <c r="BO1318" s="74">
        <v>338.5</v>
      </c>
      <c r="CS1318" s="74">
        <v>338.47</v>
      </c>
      <c r="CY1318" s="74">
        <v>350.75</v>
      </c>
    </row>
    <row r="1319" spans="1:242" x14ac:dyDescent="0.25">
      <c r="A1319" s="127">
        <v>44666</v>
      </c>
      <c r="B1319" s="24" t="s">
        <v>25</v>
      </c>
      <c r="C1319" s="21">
        <f t="shared" si="24"/>
        <v>-25.524999999999999</v>
      </c>
      <c r="BO1319" s="74">
        <v>-8.5500000000000007</v>
      </c>
      <c r="CF1319" s="69">
        <v>-8.5</v>
      </c>
      <c r="CL1319" s="69">
        <v>-8.4749999999999996</v>
      </c>
    </row>
    <row r="1320" spans="1:242" x14ac:dyDescent="0.25">
      <c r="A1320" s="127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74">
        <v>-7.09</v>
      </c>
      <c r="BG1320" s="42">
        <v>-7.71</v>
      </c>
      <c r="CC1320" s="126">
        <v>-8.43</v>
      </c>
    </row>
    <row r="1321" spans="1:242" x14ac:dyDescent="0.25">
      <c r="A1321" s="127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27">
        <v>44666</v>
      </c>
      <c r="B1322" s="24" t="s">
        <v>80</v>
      </c>
      <c r="C1322" s="21">
        <f t="shared" si="24"/>
        <v>-25.35</v>
      </c>
      <c r="AW1322" s="74">
        <v>-25.35</v>
      </c>
    </row>
    <row r="1323" spans="1:242" x14ac:dyDescent="0.25">
      <c r="A1323" s="127">
        <v>44667</v>
      </c>
      <c r="B1323" s="24" t="s">
        <v>32</v>
      </c>
      <c r="C1323" s="21">
        <f t="shared" si="24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27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27">
        <v>44667</v>
      </c>
      <c r="B1325" s="24" t="s">
        <v>78</v>
      </c>
      <c r="C1325" s="21">
        <f t="shared" si="24"/>
        <v>-153.255</v>
      </c>
      <c r="O1325" s="375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106">
        <f>-8.28-8.67-8.29</f>
        <v>-25.24</v>
      </c>
      <c r="BO1325" s="74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27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27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27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27">
        <v>44667</v>
      </c>
      <c r="B1329" s="24" t="s">
        <v>25</v>
      </c>
      <c r="C1329" s="21">
        <f t="shared" si="24"/>
        <v>-25.19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27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106">
        <v>-33.869999999999997</v>
      </c>
      <c r="BO1330" s="74">
        <v>-34.15</v>
      </c>
      <c r="CL1330" s="69">
        <v>-25.395</v>
      </c>
    </row>
    <row r="1331" spans="1:204" x14ac:dyDescent="0.25">
      <c r="A1331" s="127">
        <v>44669</v>
      </c>
      <c r="B1331" s="24" t="s">
        <v>17</v>
      </c>
      <c r="C1331" s="21">
        <f t="shared" si="24"/>
        <v>-8.67</v>
      </c>
      <c r="O1331" s="375">
        <v>-8.67</v>
      </c>
    </row>
    <row r="1332" spans="1:204" x14ac:dyDescent="0.25">
      <c r="A1332" s="127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27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27">
        <v>44670</v>
      </c>
      <c r="B1334" s="24" t="s">
        <v>32</v>
      </c>
      <c r="C1334" s="21">
        <f t="shared" si="24"/>
        <v>-357.03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106">
        <v>-33.049999999999997</v>
      </c>
      <c r="BO1334" s="74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27">
        <v>44670</v>
      </c>
      <c r="B1335" s="24" t="s">
        <v>20</v>
      </c>
      <c r="C1335" s="21">
        <f t="shared" si="24"/>
        <v>-80.61</v>
      </c>
      <c r="AW1335" s="74">
        <v>-8.43</v>
      </c>
      <c r="BA1335" s="42">
        <v>-8.51</v>
      </c>
      <c r="BI1335" s="106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27">
        <v>44670</v>
      </c>
      <c r="B1336" s="24" t="s">
        <v>107</v>
      </c>
      <c r="C1336" s="21">
        <f t="shared" si="24"/>
        <v>-33.909999999999997</v>
      </c>
      <c r="BI1336" s="106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27">
        <v>44670</v>
      </c>
      <c r="B1337" s="24" t="s">
        <v>54</v>
      </c>
      <c r="C1337" s="21">
        <f t="shared" si="24"/>
        <v>-242.47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27">
        <v>44670</v>
      </c>
      <c r="B1338" s="24" t="s">
        <v>116</v>
      </c>
      <c r="C1338" s="21">
        <f t="shared" si="24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27">
        <v>44670</v>
      </c>
      <c r="B1339" s="24" t="s">
        <v>117</v>
      </c>
      <c r="C1339" s="21">
        <f t="shared" si="24"/>
        <v>-245.64</v>
      </c>
      <c r="BI1339" s="106">
        <v>-34.56</v>
      </c>
      <c r="BO1339" s="74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27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27">
        <v>44670</v>
      </c>
      <c r="B1341" s="24" t="s">
        <v>119</v>
      </c>
      <c r="C1341" s="21">
        <f t="shared" si="24"/>
        <v>-102.99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27">
        <v>44670</v>
      </c>
      <c r="B1342" s="24" t="s">
        <v>62</v>
      </c>
      <c r="C1342" s="21">
        <f t="shared" si="24"/>
        <v>-102.89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27">
        <v>44670</v>
      </c>
      <c r="B1343" s="24" t="s">
        <v>120</v>
      </c>
      <c r="C1343" s="21">
        <f t="shared" si="24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27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74">
        <v>-17</v>
      </c>
      <c r="BC1344" s="74">
        <v>-16.71</v>
      </c>
      <c r="BI1344" s="106">
        <v>-17.29</v>
      </c>
      <c r="BO1344" s="74">
        <v>-8.5500000000000007</v>
      </c>
      <c r="CK1344" s="42">
        <v>-8.5500000000000007</v>
      </c>
    </row>
    <row r="1345" spans="1:130" x14ac:dyDescent="0.25">
      <c r="A1345" s="127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27">
        <v>44670</v>
      </c>
      <c r="B1346" s="24" t="s">
        <v>95</v>
      </c>
      <c r="C1346" s="21">
        <f t="shared" si="24"/>
        <v>-312.11</v>
      </c>
      <c r="AP1346" s="42">
        <v>-34.479999999999997</v>
      </c>
      <c r="AW1346" s="74">
        <v>-33.700000000000003</v>
      </c>
      <c r="BA1346" s="42">
        <v>-34.75</v>
      </c>
      <c r="BI1346" s="106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27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27">
        <v>44670</v>
      </c>
      <c r="B1348" s="24" t="s">
        <v>121</v>
      </c>
      <c r="C1348" s="21">
        <f t="shared" si="24"/>
        <v>-173.36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27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106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27">
        <v>44670</v>
      </c>
      <c r="B1350" s="24" t="s">
        <v>78</v>
      </c>
      <c r="C1350" s="21">
        <f t="shared" si="24"/>
        <v>-51.29</v>
      </c>
      <c r="AP1350" s="42">
        <v>-8.43</v>
      </c>
      <c r="AW1350" s="74">
        <v>-8.48</v>
      </c>
      <c r="BC1350" s="74">
        <v>-8.4499999999999993</v>
      </c>
      <c r="BI1350" s="106">
        <v>-8.31</v>
      </c>
      <c r="BM1350" s="88">
        <v>-8.6999999999999993</v>
      </c>
      <c r="BS1350" s="42">
        <v>-8.92</v>
      </c>
    </row>
    <row r="1351" spans="1:130" x14ac:dyDescent="0.25">
      <c r="A1351" s="127">
        <v>44670</v>
      </c>
      <c r="B1351" s="24" t="s">
        <v>13</v>
      </c>
      <c r="C1351" s="21">
        <f t="shared" si="24"/>
        <v>-429.91500000000002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27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27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27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27">
        <v>44671</v>
      </c>
      <c r="B1355" s="24" t="s">
        <v>15</v>
      </c>
      <c r="C1355" s="21">
        <f t="shared" si="25"/>
        <v>-654.61500000000001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74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27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27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27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27">
        <v>44671</v>
      </c>
      <c r="B1359" s="24" t="s">
        <v>27</v>
      </c>
      <c r="C1359" s="21">
        <f t="shared" si="25"/>
        <v>-16.93</v>
      </c>
      <c r="AZ1359" s="115">
        <v>-8.19</v>
      </c>
      <c r="DG1359" s="126">
        <v>-8.74</v>
      </c>
    </row>
    <row r="1360" spans="1:130" x14ac:dyDescent="0.25">
      <c r="A1360" s="127">
        <v>44671</v>
      </c>
      <c r="B1360" s="24" t="s">
        <v>25</v>
      </c>
      <c r="C1360" s="21">
        <f t="shared" si="25"/>
        <v>-51.62</v>
      </c>
      <c r="AP1360" s="42">
        <v>-8.31</v>
      </c>
      <c r="BI1360" s="106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27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27">
        <v>44671</v>
      </c>
      <c r="B1362" s="24" t="s">
        <v>122</v>
      </c>
      <c r="C1362" s="21">
        <f t="shared" si="25"/>
        <v>0</v>
      </c>
    </row>
    <row r="1363" spans="1:241" x14ac:dyDescent="0.25">
      <c r="A1363" s="127">
        <v>44672</v>
      </c>
      <c r="B1363" s="24" t="s">
        <v>14</v>
      </c>
      <c r="C1363" s="21">
        <f t="shared" si="25"/>
        <v>-164.44</v>
      </c>
      <c r="Y1363" s="69">
        <v>-8.59</v>
      </c>
      <c r="BC1363" s="74">
        <v>-33.4</v>
      </c>
      <c r="BI1363" s="106">
        <v>-34.909999999999997</v>
      </c>
      <c r="BO1363" s="74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27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27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27">
        <v>44672</v>
      </c>
      <c r="B1366" s="24" t="s">
        <v>75</v>
      </c>
      <c r="C1366" s="21">
        <f t="shared" si="25"/>
        <v>-8.89</v>
      </c>
      <c r="CY1366" s="74">
        <v>-8.89</v>
      </c>
    </row>
    <row r="1367" spans="1:241" x14ac:dyDescent="0.25">
      <c r="A1367" s="127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106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27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27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27">
        <v>44673</v>
      </c>
      <c r="B1370" s="24" t="s">
        <v>78</v>
      </c>
      <c r="C1370" s="21">
        <f t="shared" si="25"/>
        <v>-34.79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27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27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27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27">
        <v>44674</v>
      </c>
      <c r="B1374" s="24" t="s">
        <v>32</v>
      </c>
      <c r="C1374" s="21">
        <f t="shared" si="25"/>
        <v>-16.760000000000002</v>
      </c>
      <c r="CE1374" s="42">
        <v>-8.11</v>
      </c>
      <c r="CW1374" s="42">
        <v>-8.65</v>
      </c>
    </row>
    <row r="1375" spans="1:241" x14ac:dyDescent="0.25">
      <c r="A1375" s="127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27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27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27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27">
        <v>44677</v>
      </c>
      <c r="B1379" s="24" t="s">
        <v>78</v>
      </c>
      <c r="C1379" s="21">
        <f t="shared" si="25"/>
        <v>0</v>
      </c>
    </row>
    <row r="1380" spans="1:101" x14ac:dyDescent="0.25">
      <c r="A1380" s="127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27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27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27">
        <v>44677</v>
      </c>
      <c r="B1383" s="24" t="s">
        <v>123</v>
      </c>
      <c r="C1383" s="21">
        <f t="shared" si="25"/>
        <v>0</v>
      </c>
    </row>
    <row r="1384" spans="1:101" x14ac:dyDescent="0.25">
      <c r="A1384" s="127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27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74">
        <v>-8.5500000000000007</v>
      </c>
    </row>
    <row r="1386" spans="1:101" x14ac:dyDescent="0.25">
      <c r="A1386" s="127">
        <v>44677</v>
      </c>
      <c r="B1386" s="24" t="s">
        <v>25</v>
      </c>
      <c r="C1386" s="21">
        <f t="shared" si="25"/>
        <v>-34.47</v>
      </c>
      <c r="BC1386" s="74">
        <v>-8.4700000000000006</v>
      </c>
      <c r="BG1386" s="42">
        <v>-8.73</v>
      </c>
      <c r="BO1386" s="74">
        <v>-8.5500000000000007</v>
      </c>
      <c r="BS1386" s="42">
        <v>-8.7200000000000006</v>
      </c>
    </row>
    <row r="1387" spans="1:101" x14ac:dyDescent="0.25">
      <c r="A1387" s="127">
        <v>44678</v>
      </c>
      <c r="B1387" s="24" t="s">
        <v>32</v>
      </c>
      <c r="C1387" s="21">
        <f t="shared" si="25"/>
        <v>-410.09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74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27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27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27">
        <v>44679</v>
      </c>
      <c r="B1390" s="24" t="s">
        <v>113</v>
      </c>
      <c r="C1390" s="21">
        <f t="shared" si="25"/>
        <v>1076.98</v>
      </c>
      <c r="BU1390" s="106">
        <v>353.75</v>
      </c>
      <c r="BZ1390" s="69">
        <v>376.75</v>
      </c>
      <c r="CG1390" s="106">
        <v>346.48</v>
      </c>
    </row>
    <row r="1391" spans="1:101" x14ac:dyDescent="0.25">
      <c r="A1391" s="127">
        <v>44680</v>
      </c>
      <c r="B1391" s="24" t="s">
        <v>33</v>
      </c>
      <c r="C1391" s="21">
        <f t="shared" si="25"/>
        <v>-19.7</v>
      </c>
      <c r="O1391" s="375">
        <v>-2.06</v>
      </c>
      <c r="AU1391" s="42">
        <v>-8.94</v>
      </c>
      <c r="BZ1391" s="69">
        <v>-8.6999999999999993</v>
      </c>
    </row>
    <row r="1392" spans="1:101" x14ac:dyDescent="0.25">
      <c r="A1392" s="127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27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27">
        <v>44680</v>
      </c>
      <c r="B1394" s="24" t="s">
        <v>18</v>
      </c>
      <c r="C1394" s="21">
        <f t="shared" si="25"/>
        <v>-200.08</v>
      </c>
      <c r="BA1394" s="42">
        <v>-33.15</v>
      </c>
      <c r="BU1394" s="106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27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27">
        <v>44686</v>
      </c>
      <c r="B1396" s="24" t="s">
        <v>78</v>
      </c>
      <c r="C1396" s="21">
        <f t="shared" si="25"/>
        <v>-99.56</v>
      </c>
      <c r="AU1396" s="42">
        <v>-17.850000000000001</v>
      </c>
      <c r="BA1396" s="42">
        <v>-8.7799999999999994</v>
      </c>
      <c r="BG1396" s="42">
        <v>-7.61</v>
      </c>
      <c r="BO1396" s="74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27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27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106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27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74">
        <v>-8.5500000000000007</v>
      </c>
    </row>
    <row r="1400" spans="1:229" x14ac:dyDescent="0.25">
      <c r="A1400" s="127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106">
        <v>-8.3000000000000007</v>
      </c>
      <c r="BZ1400" s="69">
        <v>-8.6</v>
      </c>
      <c r="CE1400" s="42">
        <v>-8.76</v>
      </c>
    </row>
    <row r="1401" spans="1:229" x14ac:dyDescent="0.25">
      <c r="A1401" s="127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27">
        <v>44687</v>
      </c>
      <c r="B1402" s="24" t="s">
        <v>15</v>
      </c>
      <c r="C1402" s="21">
        <f t="shared" si="25"/>
        <v>-67.819999999999993</v>
      </c>
      <c r="BU1402" s="106">
        <v>-32.799999999999997</v>
      </c>
      <c r="CE1402" s="42">
        <v>-35.020000000000003</v>
      </c>
    </row>
    <row r="1403" spans="1:229" x14ac:dyDescent="0.25">
      <c r="A1403" s="127">
        <v>44687</v>
      </c>
      <c r="B1403" s="24" t="s">
        <v>14</v>
      </c>
      <c r="C1403" s="21">
        <f t="shared" si="25"/>
        <v>-222.14</v>
      </c>
      <c r="BA1403" s="42">
        <v>-34.9</v>
      </c>
      <c r="BG1403" s="42">
        <v>-27.39</v>
      </c>
      <c r="BM1403" s="88">
        <v>-34.799999999999997</v>
      </c>
      <c r="BU1403" s="106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27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106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27">
        <v>44687</v>
      </c>
      <c r="B1405" s="24" t="s">
        <v>17</v>
      </c>
      <c r="C1405" s="21">
        <f t="shared" si="25"/>
        <v>-34.9</v>
      </c>
      <c r="BU1405" s="106">
        <v>-34.9</v>
      </c>
    </row>
    <row r="1406" spans="1:229" x14ac:dyDescent="0.25">
      <c r="A1406" s="127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27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27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1">
        <v>-33.68</v>
      </c>
    </row>
    <row r="1409" spans="1:187" x14ac:dyDescent="0.25">
      <c r="A1409" s="127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27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27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27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5">
        <v>-9.0399999999999991</v>
      </c>
    </row>
    <row r="1413" spans="1:187" x14ac:dyDescent="0.25">
      <c r="A1413" s="127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27">
        <v>44691</v>
      </c>
      <c r="B1414" s="24" t="s">
        <v>25</v>
      </c>
      <c r="C1414" s="21">
        <f t="shared" si="25"/>
        <v>-81.19</v>
      </c>
      <c r="BJ1414" s="121">
        <v>-7.76</v>
      </c>
      <c r="BU1414" s="106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27">
        <v>44691</v>
      </c>
      <c r="B1415" s="24" t="s">
        <v>79</v>
      </c>
      <c r="C1415" s="21">
        <f t="shared" si="25"/>
        <v>-25.63</v>
      </c>
      <c r="BL1415" s="115">
        <v>-8.73</v>
      </c>
      <c r="BM1415" s="88">
        <v>-8.65</v>
      </c>
      <c r="BU1415" s="106">
        <v>-8.25</v>
      </c>
    </row>
    <row r="1416" spans="1:187" x14ac:dyDescent="0.25">
      <c r="A1416" s="127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5">
        <f>-9.19-9.2</f>
        <v>-18.39</v>
      </c>
    </row>
    <row r="1417" spans="1:187" x14ac:dyDescent="0.25">
      <c r="A1417" s="127">
        <v>44691</v>
      </c>
      <c r="B1417" s="24" t="s">
        <v>32</v>
      </c>
      <c r="C1417" s="21">
        <f t="shared" si="26"/>
        <v>-42.4</v>
      </c>
      <c r="BU1417" s="106">
        <v>-35</v>
      </c>
      <c r="BZ1417" s="69">
        <v>-7.4</v>
      </c>
    </row>
    <row r="1418" spans="1:187" x14ac:dyDescent="0.25">
      <c r="A1418" s="127">
        <v>44691</v>
      </c>
      <c r="B1418" s="24" t="s">
        <v>12</v>
      </c>
      <c r="C1418" s="21">
        <f t="shared" si="26"/>
        <v>-182.1</v>
      </c>
      <c r="AL1418" s="42">
        <v>-35.590000000000003</v>
      </c>
      <c r="BU1418" s="106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27">
        <v>44691</v>
      </c>
      <c r="B1419" s="24" t="s">
        <v>15</v>
      </c>
      <c r="C1419" s="21">
        <f t="shared" si="26"/>
        <v>-211.255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27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27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27">
        <v>44692</v>
      </c>
      <c r="B1422" s="24" t="s">
        <v>123</v>
      </c>
      <c r="C1422" s="21">
        <f t="shared" si="26"/>
        <v>0</v>
      </c>
    </row>
    <row r="1423" spans="1:187" x14ac:dyDescent="0.25">
      <c r="A1423" s="127">
        <v>44692</v>
      </c>
      <c r="B1423" s="24" t="s">
        <v>45</v>
      </c>
      <c r="C1423" s="21">
        <f t="shared" si="26"/>
        <v>-23.77</v>
      </c>
      <c r="O1423" s="375">
        <v>-6.63</v>
      </c>
      <c r="CE1423" s="42">
        <f>-8.57-8.57</f>
        <v>-17.14</v>
      </c>
    </row>
    <row r="1424" spans="1:187" x14ac:dyDescent="0.25">
      <c r="A1424" s="127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27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27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27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27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27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27">
        <v>44693</v>
      </c>
      <c r="B1430" s="24" t="s">
        <v>123</v>
      </c>
      <c r="C1430" s="21">
        <f t="shared" si="26"/>
        <v>0</v>
      </c>
    </row>
    <row r="1431" spans="1:219" x14ac:dyDescent="0.25">
      <c r="A1431" s="127">
        <v>44694</v>
      </c>
      <c r="B1431" s="24" t="s">
        <v>32</v>
      </c>
      <c r="C1431" s="21">
        <f t="shared" si="26"/>
        <v>-25.815000000000001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27">
        <v>44694</v>
      </c>
      <c r="B1432" s="24" t="s">
        <v>59</v>
      </c>
      <c r="C1432" s="21">
        <f t="shared" si="26"/>
        <v>-17.29</v>
      </c>
      <c r="CS1432" s="74">
        <v>-8.18</v>
      </c>
      <c r="DG1432" s="126">
        <v>-9.11</v>
      </c>
    </row>
    <row r="1433" spans="1:219" x14ac:dyDescent="0.25">
      <c r="A1433" s="127">
        <v>44694</v>
      </c>
      <c r="B1433" s="24" t="s">
        <v>25</v>
      </c>
      <c r="C1433" s="21">
        <f t="shared" si="26"/>
        <v>-34.71</v>
      </c>
      <c r="BL1433" s="115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27">
        <v>44695</v>
      </c>
      <c r="B1434" s="24" t="s">
        <v>57</v>
      </c>
      <c r="C1434" s="21">
        <f t="shared" si="26"/>
        <v>-34.79</v>
      </c>
      <c r="DC1434" s="42">
        <v>-17.170000000000002</v>
      </c>
      <c r="DS1434" s="42">
        <v>-17.62</v>
      </c>
    </row>
    <row r="1435" spans="1:219" x14ac:dyDescent="0.25">
      <c r="A1435" s="127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27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27">
        <v>44697</v>
      </c>
      <c r="B1437" s="24" t="s">
        <v>38</v>
      </c>
      <c r="C1437" s="21">
        <f t="shared" si="26"/>
        <v>-237.41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27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27">
        <v>44698</v>
      </c>
      <c r="B1439" s="24" t="s">
        <v>38</v>
      </c>
      <c r="C1439" s="21">
        <f t="shared" si="26"/>
        <v>507.03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27">
        <v>44698</v>
      </c>
      <c r="B1440" s="24" t="s">
        <v>75</v>
      </c>
      <c r="C1440" s="21">
        <f t="shared" si="26"/>
        <v>-85.515000000000001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74">
        <v>-8.77</v>
      </c>
    </row>
    <row r="1441" spans="1:240" x14ac:dyDescent="0.25">
      <c r="A1441" s="127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27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27">
        <v>44698</v>
      </c>
      <c r="B1443" s="24" t="s">
        <v>25</v>
      </c>
      <c r="C1443" s="21">
        <f t="shared" si="26"/>
        <v>-41.945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27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27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27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</v>
      </c>
      <c r="DC1446" s="42">
        <v>-8.58</v>
      </c>
    </row>
    <row r="1447" spans="1:240" x14ac:dyDescent="0.25">
      <c r="A1447" s="127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27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27">
        <v>44698</v>
      </c>
      <c r="B1449" s="24" t="s">
        <v>100</v>
      </c>
      <c r="C1449" s="21">
        <f t="shared" si="26"/>
        <v>-8.75</v>
      </c>
      <c r="BU1449" s="106">
        <v>-8.75</v>
      </c>
    </row>
    <row r="1450" spans="1:240" x14ac:dyDescent="0.25">
      <c r="A1450" s="127">
        <v>44699</v>
      </c>
      <c r="B1450" s="24" t="s">
        <v>80</v>
      </c>
      <c r="C1450" s="21">
        <f t="shared" si="26"/>
        <v>-8.75</v>
      </c>
      <c r="BU1450" s="106">
        <v>-8.75</v>
      </c>
    </row>
    <row r="1451" spans="1:240" x14ac:dyDescent="0.25">
      <c r="A1451" s="127">
        <v>44699</v>
      </c>
      <c r="B1451" s="24" t="s">
        <v>15</v>
      </c>
      <c r="C1451" s="21">
        <f t="shared" si="26"/>
        <v>-123.42</v>
      </c>
      <c r="AU1451" s="42">
        <v>-16.27</v>
      </c>
      <c r="DC1451" s="42">
        <f>-33.98-34.56</f>
        <v>-68.540000000000006</v>
      </c>
      <c r="DS1451" s="42">
        <v>-16.989999999999998</v>
      </c>
      <c r="FX1451" s="34">
        <v>-21.62</v>
      </c>
    </row>
    <row r="1452" spans="1:240" x14ac:dyDescent="0.25">
      <c r="A1452" s="127">
        <v>44699</v>
      </c>
      <c r="B1452" s="24" t="s">
        <v>20</v>
      </c>
      <c r="C1452" s="21">
        <f t="shared" si="26"/>
        <v>-17.309999999999999</v>
      </c>
      <c r="AQ1452" s="69">
        <v>-8.49</v>
      </c>
      <c r="CG1452" s="106">
        <v>-8.82</v>
      </c>
    </row>
    <row r="1453" spans="1:240" x14ac:dyDescent="0.25">
      <c r="A1453" s="127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27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27">
        <v>44700</v>
      </c>
      <c r="B1455" s="24" t="s">
        <v>59</v>
      </c>
      <c r="C1455" s="21">
        <f t="shared" si="26"/>
        <v>-16.34</v>
      </c>
      <c r="CC1455" s="126">
        <v>-7.77</v>
      </c>
      <c r="DC1455" s="42">
        <v>-8.57</v>
      </c>
    </row>
    <row r="1456" spans="1:240" x14ac:dyDescent="0.25">
      <c r="A1456" s="127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37" customFormat="1" x14ac:dyDescent="0.25">
      <c r="A1457" s="134">
        <v>44701</v>
      </c>
      <c r="B1457" s="135" t="s">
        <v>126</v>
      </c>
      <c r="C1457" s="136">
        <f t="shared" ref="C1457:C1520" si="27">SUM(D1457:JT1457)</f>
        <v>700.95</v>
      </c>
      <c r="D1457" s="145">
        <v>206.86</v>
      </c>
      <c r="E1457" s="145">
        <v>154.18</v>
      </c>
      <c r="F1457" s="145"/>
      <c r="G1457" s="187"/>
      <c r="J1457" s="187"/>
      <c r="K1457" s="139"/>
      <c r="L1457" s="69">
        <v>33.6</v>
      </c>
      <c r="M1457" s="92"/>
      <c r="N1457" s="42"/>
      <c r="O1457" s="375">
        <v>-7.4999999999999997E-2</v>
      </c>
      <c r="P1457" s="106"/>
      <c r="Q1457" s="140"/>
      <c r="R1457" s="115"/>
      <c r="S1457" s="74"/>
      <c r="T1457" s="139"/>
      <c r="U1457" s="69">
        <v>-0.11</v>
      </c>
      <c r="V1457" s="74"/>
      <c r="W1457" s="163"/>
      <c r="X1457" s="42"/>
      <c r="Y1457" s="69"/>
      <c r="Z1457" s="79"/>
      <c r="AA1457" s="139"/>
      <c r="AB1457" s="69"/>
      <c r="AC1457" s="74"/>
      <c r="AD1457" s="138"/>
      <c r="AE1457" s="139">
        <v>298.48</v>
      </c>
      <c r="AF1457" s="140"/>
      <c r="AG1457" s="106"/>
      <c r="AH1457" s="140"/>
      <c r="AI1457" s="126"/>
      <c r="AJ1457" s="163"/>
      <c r="AK1457" s="243"/>
      <c r="AL1457" s="139"/>
      <c r="AM1457" s="69"/>
      <c r="AN1457" s="74"/>
      <c r="AO1457" s="46"/>
      <c r="AP1457" s="139"/>
      <c r="AQ1457" s="69"/>
      <c r="AR1457" s="74"/>
      <c r="AS1457" s="140"/>
      <c r="AT1457" s="138"/>
      <c r="AU1457" s="139"/>
      <c r="AV1457" s="69"/>
      <c r="AW1457" s="74"/>
      <c r="AX1457" s="183"/>
      <c r="AY1457" s="126"/>
      <c r="AZ1457" s="115"/>
      <c r="BA1457" s="42"/>
      <c r="BB1457" s="69"/>
      <c r="BC1457" s="74"/>
      <c r="BD1457" s="140"/>
      <c r="BE1457" s="140"/>
      <c r="BF1457" s="138"/>
      <c r="BG1457" s="185"/>
      <c r="BH1457" s="69"/>
      <c r="BI1457" s="106"/>
      <c r="BJ1457" s="140"/>
      <c r="BK1457" s="140"/>
      <c r="BL1457" s="115"/>
      <c r="BM1457" s="88">
        <v>34</v>
      </c>
      <c r="BN1457" s="69"/>
      <c r="BO1457" s="74"/>
      <c r="BP1457" s="140"/>
      <c r="BQ1457" s="126"/>
      <c r="BR1457" s="115"/>
      <c r="BS1457" s="139"/>
      <c r="BT1457" s="69"/>
      <c r="BU1457" s="106"/>
      <c r="BV1457" s="140"/>
      <c r="BW1457" s="126"/>
      <c r="BX1457" s="115"/>
      <c r="BY1457" s="42"/>
      <c r="BZ1457" s="69"/>
      <c r="CA1457" s="106"/>
      <c r="CB1457" s="140"/>
      <c r="CC1457" s="140"/>
      <c r="CD1457" s="115"/>
      <c r="CE1457" s="42"/>
      <c r="CF1457" s="69"/>
      <c r="CG1457" s="106">
        <v>-11.43</v>
      </c>
      <c r="CH1457" s="140"/>
      <c r="CI1457" s="140"/>
      <c r="CJ1457" s="138"/>
      <c r="CK1457" s="42">
        <v>34.93</v>
      </c>
      <c r="CL1457" s="69"/>
      <c r="CM1457" s="74"/>
      <c r="CN1457" s="140"/>
      <c r="CO1457" s="126"/>
      <c r="CP1457" s="138"/>
      <c r="CQ1457" s="139">
        <v>-34.200000000000003</v>
      </c>
      <c r="CR1457" s="69"/>
      <c r="CS1457" s="74"/>
      <c r="CT1457" s="140"/>
      <c r="CU1457" s="126"/>
      <c r="CV1457" s="138"/>
      <c r="CW1457" s="42">
        <v>8.0500000000000007</v>
      </c>
      <c r="CX1457" s="69"/>
      <c r="CY1457" s="74">
        <v>-8.0500000000000007</v>
      </c>
      <c r="CZ1457" s="121"/>
      <c r="DA1457" s="126"/>
      <c r="DB1457" s="138"/>
      <c r="DC1457" s="139"/>
      <c r="DD1457" s="69"/>
      <c r="DE1457" s="74"/>
      <c r="DF1457" s="140"/>
      <c r="DG1457" s="126"/>
      <c r="DH1457" s="138"/>
      <c r="DI1457" s="139"/>
      <c r="DJ1457" s="69"/>
      <c r="DK1457" s="74"/>
      <c r="DL1457" s="121"/>
      <c r="DM1457" s="150"/>
      <c r="DN1457" s="139">
        <v>0.35</v>
      </c>
      <c r="DO1457" s="69"/>
      <c r="DP1457" s="74"/>
      <c r="DQ1457" s="140"/>
      <c r="DR1457" s="46"/>
      <c r="DS1457" s="42"/>
      <c r="DT1457" s="69"/>
      <c r="DU1457" s="106"/>
      <c r="DV1457" s="140"/>
      <c r="DW1457" s="126"/>
      <c r="DX1457" s="115"/>
      <c r="DY1457" s="42"/>
      <c r="DZ1457" s="69"/>
      <c r="EA1457" s="74"/>
      <c r="EB1457" s="140"/>
      <c r="EC1457" s="126"/>
      <c r="ED1457" s="115"/>
      <c r="EE1457" s="139"/>
      <c r="EF1457" s="183"/>
      <c r="EG1457" s="74"/>
      <c r="EH1457" s="194"/>
      <c r="EI1457" s="150"/>
      <c r="EJ1457" s="139"/>
      <c r="EK1457" s="69"/>
      <c r="EL1457" s="106"/>
      <c r="EM1457" s="150"/>
      <c r="EN1457" s="185"/>
      <c r="EO1457" s="69"/>
      <c r="EP1457" s="140"/>
      <c r="EQ1457" s="46"/>
      <c r="ER1457" s="42"/>
      <c r="ES1457" s="140"/>
      <c r="ET1457" s="106"/>
      <c r="EU1457" s="126"/>
      <c r="EW1457" s="139"/>
      <c r="EX1457" s="185"/>
      <c r="EY1457" s="139"/>
      <c r="EZ1457" s="138"/>
      <c r="FA1457" s="42"/>
      <c r="FB1457" s="140">
        <v>0.03</v>
      </c>
      <c r="FC1457" s="140"/>
      <c r="FD1457" s="126"/>
      <c r="FE1457" s="170"/>
      <c r="FF1457" s="139"/>
      <c r="FG1457" s="140"/>
      <c r="FH1457" s="184"/>
      <c r="FI1457" s="139"/>
      <c r="FJ1457" s="140">
        <v>6.5000000000000002E-2</v>
      </c>
      <c r="FK1457" s="140"/>
      <c r="FL1457" s="138"/>
      <c r="FM1457" s="42"/>
      <c r="FN1457" s="150"/>
      <c r="FO1457" s="210"/>
      <c r="FP1457" s="210"/>
      <c r="FQ1457" s="139"/>
      <c r="FR1457" s="140"/>
      <c r="FS1457" s="183"/>
      <c r="FT1457" s="138"/>
      <c r="FU1457" s="139"/>
      <c r="FV1457" s="140"/>
      <c r="FW1457" s="150"/>
      <c r="FX1457" s="34"/>
      <c r="FY1457" s="126"/>
      <c r="FZ1457" s="184"/>
      <c r="GA1457" s="139"/>
      <c r="GB1457" s="140"/>
      <c r="GC1457" s="157"/>
      <c r="GD1457" s="138"/>
      <c r="GE1457" s="139"/>
      <c r="GF1457" s="138"/>
      <c r="GG1457" s="187"/>
      <c r="GH1457" s="106"/>
      <c r="GI1457" s="251"/>
      <c r="GJ1457" s="204"/>
      <c r="GK1457" s="79"/>
      <c r="GL1457" s="139"/>
      <c r="GM1457" s="138"/>
      <c r="GO1457" s="110"/>
      <c r="GP1457" s="139"/>
      <c r="GQ1457" s="92"/>
      <c r="GS1457" s="110"/>
      <c r="GT1457" s="187"/>
      <c r="GU1457" s="110"/>
      <c r="GV1457" s="139"/>
      <c r="GW1457" s="184"/>
      <c r="GX1457" s="183"/>
      <c r="GY1457" s="139"/>
      <c r="GZ1457" s="106"/>
      <c r="HA1457" s="138"/>
      <c r="HB1457" s="277"/>
      <c r="HC1457" s="139"/>
      <c r="HD1457" s="92"/>
      <c r="HE1457" s="139"/>
      <c r="HF1457" s="79"/>
      <c r="HG1457" s="139"/>
      <c r="HH1457" s="106"/>
      <c r="HI1457" s="182"/>
      <c r="HJ1457" s="138"/>
      <c r="HL1457" s="139"/>
      <c r="HM1457" s="106"/>
      <c r="HN1457" s="115"/>
      <c r="HO1457" s="139"/>
      <c r="HP1457" s="138"/>
      <c r="HQ1457" s="139"/>
      <c r="HR1457" s="92"/>
      <c r="HU1457" s="42"/>
      <c r="HV1457" s="92"/>
      <c r="HW1457" s="185">
        <v>-7.64</v>
      </c>
      <c r="HX1457" s="138"/>
      <c r="HY1457" s="38"/>
      <c r="HZ1457" s="139">
        <v>-8.09</v>
      </c>
      <c r="IA1457" s="79"/>
      <c r="IB1457" s="42"/>
      <c r="IC1457" s="184"/>
      <c r="ID1457" s="185"/>
      <c r="IE1457" s="79"/>
      <c r="IH1457" s="139"/>
      <c r="II1457" s="283"/>
      <c r="IJ1457" s="268"/>
      <c r="IK1457" s="262"/>
      <c r="IL1457" s="262"/>
      <c r="IM1457" s="50"/>
      <c r="IN1457" s="42"/>
      <c r="IO1457" s="182"/>
      <c r="IP1457" s="262"/>
      <c r="IQ1457" s="262"/>
      <c r="IR1457" s="262"/>
      <c r="IS1457" s="262"/>
      <c r="IT1457" s="262"/>
      <c r="IU1457" s="262"/>
      <c r="IV1457" s="262"/>
      <c r="IW1457" s="262"/>
    </row>
    <row r="1458" spans="1:257" x14ac:dyDescent="0.25">
      <c r="A1458" s="127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27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27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106">
        <v>-17.5</v>
      </c>
      <c r="DJ1460" s="69">
        <v>-8.4749999999999996</v>
      </c>
      <c r="DL1460" s="121">
        <f>-8.39-8.61-7.78</f>
        <v>-24.78</v>
      </c>
      <c r="DS1460" s="42">
        <v>-35.32</v>
      </c>
    </row>
    <row r="1461" spans="1:257" x14ac:dyDescent="0.25">
      <c r="A1461" s="127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27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1">
        <f>-8.7-8.27</f>
        <v>-16.97</v>
      </c>
    </row>
    <row r="1463" spans="1:257" x14ac:dyDescent="0.25">
      <c r="A1463" s="127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27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6">
        <v>-7.72</v>
      </c>
    </row>
    <row r="1465" spans="1:257" x14ac:dyDescent="0.25">
      <c r="A1465" s="127">
        <v>44705</v>
      </c>
      <c r="B1465" s="24" t="s">
        <v>79</v>
      </c>
      <c r="C1465" s="21">
        <f t="shared" si="27"/>
        <v>-25.164999999999999</v>
      </c>
      <c r="BB1465" s="69">
        <v>-8.3650000000000002</v>
      </c>
      <c r="BH1465" s="69">
        <v>-8.4600000000000009</v>
      </c>
      <c r="CC1465" s="126">
        <v>-8.34</v>
      </c>
    </row>
    <row r="1466" spans="1:257" x14ac:dyDescent="0.25">
      <c r="A1466" s="127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6">
        <v>-7.92</v>
      </c>
      <c r="CG1466" s="106">
        <v>-8.84</v>
      </c>
      <c r="CT1466" s="121">
        <v>-8.11</v>
      </c>
    </row>
    <row r="1467" spans="1:257" x14ac:dyDescent="0.25">
      <c r="A1467" s="127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27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27">
        <v>44705</v>
      </c>
      <c r="B1469" s="24" t="s">
        <v>127</v>
      </c>
      <c r="C1469" s="21">
        <f t="shared" si="27"/>
        <v>-44.1</v>
      </c>
      <c r="CE1469" s="42">
        <v>-17.5</v>
      </c>
      <c r="CT1469" s="121">
        <v>-26.6</v>
      </c>
    </row>
    <row r="1470" spans="1:257" x14ac:dyDescent="0.25">
      <c r="A1470" s="127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27">
        <v>44705</v>
      </c>
      <c r="B1471" s="24" t="s">
        <v>57</v>
      </c>
      <c r="C1471" s="21">
        <f t="shared" si="27"/>
        <v>-42.744999999999997</v>
      </c>
      <c r="BB1471" s="69">
        <v>-16.774999999999999</v>
      </c>
      <c r="CK1471" s="42">
        <v>-8.75</v>
      </c>
      <c r="CT1471" s="121">
        <v>-8.06</v>
      </c>
      <c r="CW1471" s="42">
        <v>-9.16</v>
      </c>
    </row>
    <row r="1472" spans="1:257" x14ac:dyDescent="0.25">
      <c r="A1472" s="127">
        <v>44706</v>
      </c>
      <c r="B1472" s="24" t="s">
        <v>26</v>
      </c>
      <c r="C1472" s="21">
        <f t="shared" si="27"/>
        <v>-8.65</v>
      </c>
      <c r="O1472" s="375">
        <v>-8.65</v>
      </c>
    </row>
    <row r="1473" spans="1:239" x14ac:dyDescent="0.25">
      <c r="A1473" s="127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27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27">
        <v>44707</v>
      </c>
      <c r="B1475" s="24" t="s">
        <v>113</v>
      </c>
      <c r="C1475" s="21">
        <f t="shared" si="27"/>
        <v>576.9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0">
        <v>44.49</v>
      </c>
      <c r="HP1475" s="79">
        <v>32.47</v>
      </c>
      <c r="IE1475" s="79">
        <v>47.56</v>
      </c>
    </row>
    <row r="1476" spans="1:239" x14ac:dyDescent="0.25">
      <c r="A1476" s="127">
        <v>44707</v>
      </c>
      <c r="B1476" s="24" t="s">
        <v>113</v>
      </c>
      <c r="C1476" s="21">
        <f t="shared" si="27"/>
        <v>224.6</v>
      </c>
      <c r="AN1476" s="74">
        <v>30.8</v>
      </c>
      <c r="AR1476" s="74">
        <v>72.650000000000006</v>
      </c>
      <c r="AW1476" s="74">
        <v>59</v>
      </c>
      <c r="BO1476" s="74">
        <v>62.15</v>
      </c>
    </row>
    <row r="1477" spans="1:239" x14ac:dyDescent="0.25">
      <c r="A1477" s="127">
        <v>44707</v>
      </c>
      <c r="B1477" s="29" t="s">
        <v>15</v>
      </c>
      <c r="C1477" s="21">
        <f t="shared" si="27"/>
        <v>-41.42</v>
      </c>
      <c r="BO1477" s="74">
        <v>-7.85</v>
      </c>
      <c r="DB1477" s="115">
        <v>-33.57</v>
      </c>
    </row>
    <row r="1478" spans="1:239" x14ac:dyDescent="0.25">
      <c r="A1478" s="127">
        <v>44707</v>
      </c>
      <c r="B1478" s="29" t="s">
        <v>78</v>
      </c>
      <c r="C1478" s="21">
        <f t="shared" si="27"/>
        <v>-8.44</v>
      </c>
      <c r="CG1478" s="106">
        <v>-8.44</v>
      </c>
    </row>
    <row r="1479" spans="1:239" x14ac:dyDescent="0.25">
      <c r="A1479" s="127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27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27">
        <v>44708</v>
      </c>
      <c r="B1481" s="24" t="s">
        <v>32</v>
      </c>
      <c r="C1481" s="21">
        <f t="shared" si="27"/>
        <v>-31.05</v>
      </c>
      <c r="BO1481" s="74">
        <v>-31.05</v>
      </c>
    </row>
    <row r="1482" spans="1:239" x14ac:dyDescent="0.25">
      <c r="A1482" s="127">
        <v>44708</v>
      </c>
      <c r="B1482" s="24" t="s">
        <v>127</v>
      </c>
      <c r="C1482" s="21">
        <f t="shared" si="27"/>
        <v>-7.8</v>
      </c>
      <c r="BO1482" s="74">
        <v>-7.8</v>
      </c>
    </row>
    <row r="1483" spans="1:239" x14ac:dyDescent="0.25">
      <c r="A1483" s="127">
        <v>44711</v>
      </c>
      <c r="B1483" s="24" t="s">
        <v>130</v>
      </c>
      <c r="C1483" s="21">
        <f t="shared" si="27"/>
        <v>-10.15</v>
      </c>
      <c r="BH1483" s="69">
        <v>-1.36</v>
      </c>
      <c r="CE1483" s="42">
        <v>-8.7899999999999991</v>
      </c>
    </row>
    <row r="1484" spans="1:239" x14ac:dyDescent="0.25">
      <c r="A1484" s="127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27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27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27">
        <v>44711</v>
      </c>
      <c r="B1487" s="24" t="s">
        <v>32</v>
      </c>
      <c r="C1487" s="21">
        <f t="shared" si="27"/>
        <v>-406.77499999999998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27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27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27">
        <v>44712</v>
      </c>
      <c r="B1490" s="24" t="s">
        <v>37</v>
      </c>
      <c r="C1490" s="21">
        <f t="shared" si="27"/>
        <v>-226.29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27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27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27">
        <v>44712</v>
      </c>
      <c r="B1493" s="24" t="s">
        <v>33</v>
      </c>
      <c r="C1493" s="21">
        <f t="shared" si="27"/>
        <v>-34.21</v>
      </c>
      <c r="BG1493" s="42">
        <v>-8.51</v>
      </c>
      <c r="BO1493" s="74">
        <v>-7.6</v>
      </c>
      <c r="BS1493" s="42">
        <v>-9.31</v>
      </c>
      <c r="BY1493" s="42">
        <v>-8.7899999999999991</v>
      </c>
    </row>
    <row r="1494" spans="1:229" x14ac:dyDescent="0.25">
      <c r="A1494" s="127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27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27">
        <v>44712</v>
      </c>
      <c r="B1496" s="24" t="s">
        <v>94</v>
      </c>
      <c r="C1496" s="21">
        <f t="shared" si="27"/>
        <v>-73.95</v>
      </c>
      <c r="CK1496" s="42">
        <v>-50.3</v>
      </c>
      <c r="EL1496" s="106">
        <v>-23.65</v>
      </c>
    </row>
    <row r="1497" spans="1:229" x14ac:dyDescent="0.25">
      <c r="A1497" s="127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27">
        <v>44712</v>
      </c>
      <c r="B1498" s="24" t="s">
        <v>17</v>
      </c>
      <c r="C1498" s="21">
        <f t="shared" si="27"/>
        <v>-509.92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27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27">
        <v>44712</v>
      </c>
      <c r="B1500" s="24" t="s">
        <v>88</v>
      </c>
      <c r="C1500" s="21">
        <f t="shared" si="27"/>
        <v>0</v>
      </c>
    </row>
    <row r="1501" spans="1:229" x14ac:dyDescent="0.25">
      <c r="A1501" s="127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74">
        <v>-7.85</v>
      </c>
      <c r="BS1501" s="42">
        <v>-8.65</v>
      </c>
      <c r="CE1501" s="42">
        <v>-8.86</v>
      </c>
    </row>
    <row r="1502" spans="1:229" x14ac:dyDescent="0.25">
      <c r="A1502" s="127">
        <v>44712</v>
      </c>
      <c r="B1502" s="24" t="s">
        <v>121</v>
      </c>
      <c r="C1502" s="21">
        <f t="shared" si="27"/>
        <v>-184.48500000000001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27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27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27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27">
        <v>44712</v>
      </c>
      <c r="B1506" s="24" t="s">
        <v>133</v>
      </c>
      <c r="C1506" s="21">
        <f t="shared" si="27"/>
        <v>-167.84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27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27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0">
        <v>-8.7100000000000009</v>
      </c>
    </row>
    <row r="1509" spans="1:240" x14ac:dyDescent="0.25">
      <c r="A1509" s="127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27">
        <v>44712</v>
      </c>
      <c r="B1510" s="24" t="s">
        <v>32</v>
      </c>
      <c r="C1510" s="21">
        <f t="shared" si="27"/>
        <v>-337.94</v>
      </c>
      <c r="O1510" s="375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27">
        <v>44712</v>
      </c>
      <c r="B1511" s="24" t="s">
        <v>80</v>
      </c>
      <c r="C1511" s="21">
        <f t="shared" si="27"/>
        <v>0</v>
      </c>
    </row>
    <row r="1512" spans="1:240" x14ac:dyDescent="0.25">
      <c r="A1512" s="127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27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27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27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27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27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27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0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27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27">
        <v>44715</v>
      </c>
      <c r="B1520" s="24" t="s">
        <v>57</v>
      </c>
      <c r="C1520" s="21">
        <f t="shared" si="27"/>
        <v>-170.58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27">
        <v>44715</v>
      </c>
      <c r="B1521" s="24" t="s">
        <v>20</v>
      </c>
      <c r="C1521" s="21">
        <f t="shared" ref="C1521:C1584" si="28">SUM(D1521:JT1521)</f>
        <v>-26.44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27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27">
        <v>44716</v>
      </c>
      <c r="B1523" s="24" t="s">
        <v>15</v>
      </c>
      <c r="C1523" s="21">
        <f t="shared" si="28"/>
        <v>-533.16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27">
        <v>44716</v>
      </c>
      <c r="B1524" s="24" t="s">
        <v>78</v>
      </c>
      <c r="C1524" s="21">
        <f t="shared" si="28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27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27">
        <v>44718</v>
      </c>
      <c r="B1526" s="24" t="s">
        <v>59</v>
      </c>
      <c r="C1526" s="21">
        <f t="shared" si="28"/>
        <v>-15.6</v>
      </c>
      <c r="BY1526" s="42">
        <v>-6.44</v>
      </c>
      <c r="CC1526" s="126">
        <v>-9.16</v>
      </c>
    </row>
    <row r="1527" spans="1:228" x14ac:dyDescent="0.25">
      <c r="A1527" s="127">
        <v>44718</v>
      </c>
      <c r="B1527" s="24" t="s">
        <v>134</v>
      </c>
      <c r="C1527" s="21">
        <f t="shared" si="28"/>
        <v>-25.7</v>
      </c>
      <c r="E1527" s="145">
        <v>-25.7</v>
      </c>
    </row>
    <row r="1528" spans="1:228" x14ac:dyDescent="0.25">
      <c r="A1528" s="127">
        <v>44718</v>
      </c>
      <c r="B1528" s="24" t="s">
        <v>20</v>
      </c>
      <c r="C1528" s="21">
        <f t="shared" si="28"/>
        <v>-23.12</v>
      </c>
      <c r="O1528" s="375">
        <v>-8.48</v>
      </c>
      <c r="V1528" s="74">
        <v>-5.84</v>
      </c>
      <c r="BY1528" s="42">
        <v>-8.8000000000000007</v>
      </c>
    </row>
    <row r="1529" spans="1:228" x14ac:dyDescent="0.25">
      <c r="A1529" s="127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27">
        <v>44718</v>
      </c>
      <c r="B1530" s="24" t="s">
        <v>44</v>
      </c>
      <c r="C1530" s="21">
        <f t="shared" si="28"/>
        <v>-139.22999999999999</v>
      </c>
      <c r="GP1530" s="42">
        <v>-106.4</v>
      </c>
      <c r="HE1530" s="42">
        <v>-32.83</v>
      </c>
    </row>
    <row r="1531" spans="1:228" x14ac:dyDescent="0.25">
      <c r="A1531" s="127">
        <v>44718</v>
      </c>
      <c r="B1531" s="24" t="s">
        <v>44</v>
      </c>
      <c r="C1531" s="21">
        <f t="shared" si="28"/>
        <v>0</v>
      </c>
    </row>
    <row r="1532" spans="1:228" x14ac:dyDescent="0.25">
      <c r="A1532" s="127">
        <v>44719</v>
      </c>
      <c r="B1532" s="24" t="s">
        <v>113</v>
      </c>
      <c r="C1532" s="21">
        <f t="shared" si="28"/>
        <v>434.84</v>
      </c>
      <c r="FC1532" s="106">
        <v>30.84</v>
      </c>
      <c r="GQ1532" s="92">
        <v>40.950000000000003</v>
      </c>
      <c r="GU1532" s="110">
        <v>84.45</v>
      </c>
      <c r="HT1532" s="84">
        <v>278.60000000000002</v>
      </c>
    </row>
    <row r="1533" spans="1:228" x14ac:dyDescent="0.25">
      <c r="A1533" s="127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27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27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27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27">
        <v>44719</v>
      </c>
      <c r="B1537" s="24" t="s">
        <v>94</v>
      </c>
      <c r="C1537" s="21">
        <f t="shared" si="28"/>
        <v>0</v>
      </c>
    </row>
    <row r="1538" spans="1:228" x14ac:dyDescent="0.25">
      <c r="A1538" s="127">
        <v>44719</v>
      </c>
      <c r="B1538" s="24" t="s">
        <v>75</v>
      </c>
      <c r="C1538" s="21">
        <f t="shared" si="28"/>
        <v>-67.325000000000003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27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27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27">
        <v>44719</v>
      </c>
      <c r="B1541" s="24" t="s">
        <v>15</v>
      </c>
      <c r="C1541" s="21">
        <f t="shared" si="28"/>
        <v>-29.78</v>
      </c>
      <c r="EW1541" s="88">
        <v>-8.2899999999999991</v>
      </c>
      <c r="FJ1541" s="69">
        <v>-21.49</v>
      </c>
    </row>
    <row r="1542" spans="1:228" x14ac:dyDescent="0.25">
      <c r="A1542" s="127">
        <v>44720</v>
      </c>
      <c r="B1542" s="24" t="s">
        <v>43</v>
      </c>
      <c r="C1542" s="21">
        <f t="shared" si="28"/>
        <v>-730.86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27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27">
        <v>44720</v>
      </c>
      <c r="B1544" s="24" t="s">
        <v>14</v>
      </c>
      <c r="C1544" s="21">
        <f t="shared" si="28"/>
        <v>-227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27">
        <v>44720</v>
      </c>
      <c r="B1545" s="24" t="s">
        <v>37</v>
      </c>
      <c r="C1545" s="21">
        <f t="shared" si="28"/>
        <v>-511.04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27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27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27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27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27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27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27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27">
        <v>44722</v>
      </c>
      <c r="B1553" s="24" t="s">
        <v>75</v>
      </c>
      <c r="C1553" s="21">
        <f t="shared" si="28"/>
        <v>-104.2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27">
        <v>44723</v>
      </c>
      <c r="B1554" s="24" t="s">
        <v>156</v>
      </c>
      <c r="C1554" s="21">
        <f t="shared" si="28"/>
        <v>0</v>
      </c>
    </row>
    <row r="1555" spans="1:186" x14ac:dyDescent="0.25">
      <c r="A1555" s="127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27">
        <v>44725</v>
      </c>
      <c r="B1556" s="24" t="s">
        <v>15</v>
      </c>
      <c r="C1556" s="21">
        <f t="shared" si="28"/>
        <v>-33.729999999999997</v>
      </c>
      <c r="CG1556" s="106">
        <v>-33.729999999999997</v>
      </c>
    </row>
    <row r="1557" spans="1:186" x14ac:dyDescent="0.25">
      <c r="A1557" s="127">
        <v>44725</v>
      </c>
      <c r="B1557" s="24" t="s">
        <v>133</v>
      </c>
      <c r="C1557" s="21">
        <f t="shared" si="28"/>
        <v>-60.33</v>
      </c>
      <c r="BG1557" s="42">
        <v>-26.2</v>
      </c>
      <c r="CG1557" s="106">
        <v>-34.130000000000003</v>
      </c>
    </row>
    <row r="1558" spans="1:186" x14ac:dyDescent="0.25">
      <c r="A1558" s="127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27">
        <v>44725</v>
      </c>
      <c r="B1559" s="24" t="s">
        <v>78</v>
      </c>
      <c r="C1559" s="21">
        <f t="shared" si="28"/>
        <v>0</v>
      </c>
    </row>
    <row r="1560" spans="1:186" x14ac:dyDescent="0.25">
      <c r="A1560" s="127">
        <v>44726</v>
      </c>
      <c r="B1560" s="24" t="s">
        <v>84</v>
      </c>
      <c r="C1560" s="21">
        <f t="shared" si="28"/>
        <v>-33.880000000000003</v>
      </c>
      <c r="AU1560" s="42">
        <v>-17.190000000000001</v>
      </c>
      <c r="BA1560" s="42">
        <v>-8.35</v>
      </c>
      <c r="CC1560" s="126">
        <v>-8.34</v>
      </c>
    </row>
    <row r="1561" spans="1:186" x14ac:dyDescent="0.25">
      <c r="A1561" s="127">
        <v>44726</v>
      </c>
      <c r="B1561" s="24" t="s">
        <v>26</v>
      </c>
      <c r="C1561" s="21">
        <f t="shared" si="28"/>
        <v>-173.23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27">
        <v>44726</v>
      </c>
      <c r="B1562" s="24" t="s">
        <v>27</v>
      </c>
      <c r="C1562" s="21">
        <f t="shared" si="28"/>
        <v>-60.46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27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27">
        <v>44727</v>
      </c>
      <c r="B1564" s="24" t="s">
        <v>80</v>
      </c>
      <c r="C1564" s="21">
        <f t="shared" si="28"/>
        <v>0</v>
      </c>
    </row>
    <row r="1565" spans="1:186" x14ac:dyDescent="0.25">
      <c r="A1565" s="127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27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27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27">
        <v>44728</v>
      </c>
      <c r="B1568" s="24" t="s">
        <v>113</v>
      </c>
      <c r="C1568" s="21">
        <f t="shared" si="28"/>
        <v>856.49</v>
      </c>
      <c r="AR1568" s="74">
        <v>102.37</v>
      </c>
      <c r="BC1568" s="74">
        <v>94.6</v>
      </c>
      <c r="BI1568" s="106">
        <v>162.35</v>
      </c>
      <c r="BO1568" s="74">
        <v>158.4</v>
      </c>
      <c r="BU1568" s="106">
        <v>154.05000000000001</v>
      </c>
      <c r="CA1568" s="106">
        <v>165.25</v>
      </c>
      <c r="GD1568" s="115">
        <v>19.47</v>
      </c>
    </row>
    <row r="1569" spans="1:223" x14ac:dyDescent="0.25">
      <c r="A1569" s="127">
        <v>44728</v>
      </c>
      <c r="B1569" s="24" t="s">
        <v>20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74">
        <v>-8.15</v>
      </c>
      <c r="BS1569" s="42">
        <v>-8.6300000000000008</v>
      </c>
      <c r="CA1569" s="106">
        <v>-8.4499999999999993</v>
      </c>
      <c r="CE1569" s="42">
        <v>-8.93</v>
      </c>
      <c r="CQ1569" s="42">
        <v>-8.85</v>
      </c>
    </row>
    <row r="1570" spans="1:223" x14ac:dyDescent="0.25">
      <c r="A1570" s="127">
        <v>44728</v>
      </c>
      <c r="B1570" s="24" t="s">
        <v>84</v>
      </c>
      <c r="C1570" s="21">
        <f t="shared" si="28"/>
        <v>-59.11</v>
      </c>
      <c r="AR1570" s="74">
        <v>-8.51</v>
      </c>
      <c r="BO1570" s="74">
        <v>-16.3</v>
      </c>
      <c r="BU1570" s="106">
        <v>-34.299999999999997</v>
      </c>
    </row>
    <row r="1571" spans="1:223" x14ac:dyDescent="0.25">
      <c r="A1571" s="127">
        <v>44729</v>
      </c>
      <c r="B1571" s="24" t="s">
        <v>26</v>
      </c>
      <c r="C1571" s="21">
        <f t="shared" si="28"/>
        <v>-8.15</v>
      </c>
      <c r="BO1571" s="74">
        <v>-8.15</v>
      </c>
    </row>
    <row r="1572" spans="1:223" x14ac:dyDescent="0.25">
      <c r="A1572" s="127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27">
        <v>44729</v>
      </c>
      <c r="B1573" s="24" t="s">
        <v>133</v>
      </c>
      <c r="C1573" s="21">
        <f t="shared" si="28"/>
        <v>-132.1</v>
      </c>
      <c r="BC1573" s="74">
        <v>-31.05</v>
      </c>
      <c r="BI1573" s="106">
        <v>-35.85</v>
      </c>
      <c r="CA1573" s="106">
        <v>-31.96</v>
      </c>
      <c r="CG1573" s="106">
        <v>-33.24</v>
      </c>
    </row>
    <row r="1574" spans="1:223" x14ac:dyDescent="0.25">
      <c r="A1574" s="127">
        <v>44729</v>
      </c>
      <c r="B1574" s="24" t="s">
        <v>135</v>
      </c>
      <c r="C1574" s="21">
        <f t="shared" si="28"/>
        <v>-17.309999999999999</v>
      </c>
      <c r="BO1574" s="74">
        <v>-8.3000000000000007</v>
      </c>
      <c r="CE1574" s="42">
        <v>-9.01</v>
      </c>
    </row>
    <row r="1575" spans="1:223" x14ac:dyDescent="0.25">
      <c r="A1575" s="127">
        <v>44729</v>
      </c>
      <c r="B1575" s="24" t="s">
        <v>32</v>
      </c>
      <c r="C1575" s="21">
        <f t="shared" si="28"/>
        <v>-295.06</v>
      </c>
      <c r="AE1575" s="42">
        <v>-8.42</v>
      </c>
      <c r="BC1575" s="74">
        <v>-32.4</v>
      </c>
      <c r="BI1575" s="106">
        <v>-62.35</v>
      </c>
      <c r="BO1575" s="74">
        <v>-31.25</v>
      </c>
      <c r="BU1575" s="106">
        <v>-34.65</v>
      </c>
      <c r="CA1575" s="106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27">
        <v>44729</v>
      </c>
      <c r="B1576" s="24" t="s">
        <v>78</v>
      </c>
      <c r="C1576" s="21">
        <f t="shared" si="28"/>
        <v>0</v>
      </c>
    </row>
    <row r="1577" spans="1:223" x14ac:dyDescent="0.25">
      <c r="A1577" s="127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27">
        <v>44729</v>
      </c>
      <c r="B1578" s="24" t="s">
        <v>78</v>
      </c>
      <c r="C1578" s="21">
        <f t="shared" si="28"/>
        <v>-41.75</v>
      </c>
      <c r="BC1578" s="74">
        <v>-17.149999999999999</v>
      </c>
      <c r="BI1578" s="106">
        <v>-16.100000000000001</v>
      </c>
      <c r="BO1578" s="74">
        <v>-8.5</v>
      </c>
    </row>
    <row r="1579" spans="1:223" x14ac:dyDescent="0.25">
      <c r="A1579" s="127">
        <v>44730</v>
      </c>
      <c r="B1579" s="24" t="s">
        <v>78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27">
        <v>44730</v>
      </c>
      <c r="B1580" s="24" t="s">
        <v>111</v>
      </c>
      <c r="C1580" s="21">
        <f t="shared" si="28"/>
        <v>-34.65</v>
      </c>
      <c r="BS1580" s="42">
        <v>-17.420000000000002</v>
      </c>
      <c r="DC1580" s="42">
        <v>-17.23</v>
      </c>
    </row>
    <row r="1581" spans="1:223" x14ac:dyDescent="0.25">
      <c r="A1581" s="127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27">
        <v>44732</v>
      </c>
      <c r="B1582" s="24" t="s">
        <v>80</v>
      </c>
      <c r="C1582" s="21">
        <f t="shared" si="28"/>
        <v>-16.95</v>
      </c>
      <c r="AR1582" s="74">
        <v>-16.95</v>
      </c>
    </row>
    <row r="1583" spans="1:223" x14ac:dyDescent="0.25">
      <c r="A1583" s="127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27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27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27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27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27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27">
        <v>44733</v>
      </c>
      <c r="B1589" s="24" t="s">
        <v>32</v>
      </c>
      <c r="C1589" s="21">
        <f t="shared" si="29"/>
        <v>-44.23</v>
      </c>
      <c r="BC1589" s="74">
        <v>-8.3000000000000007</v>
      </c>
      <c r="CW1589" s="42">
        <v>-35.93</v>
      </c>
    </row>
    <row r="1590" spans="1:207" x14ac:dyDescent="0.25">
      <c r="A1590" s="127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27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106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27">
        <v>44733</v>
      </c>
      <c r="B1592" s="24" t="s">
        <v>25</v>
      </c>
      <c r="C1592" s="21">
        <f t="shared" si="29"/>
        <v>-53.68</v>
      </c>
      <c r="AB1592" s="69">
        <v>-8.48</v>
      </c>
      <c r="AW1592" s="74">
        <v>-7.1</v>
      </c>
      <c r="BC1592" s="74">
        <v>-6.55</v>
      </c>
      <c r="BI1592" s="106">
        <v>-8.25</v>
      </c>
      <c r="BO1592" s="74">
        <v>-8.4</v>
      </c>
      <c r="BU1592" s="106">
        <v>-7.85</v>
      </c>
      <c r="CA1592" s="106">
        <v>-7.05</v>
      </c>
    </row>
    <row r="1593" spans="1:207" x14ac:dyDescent="0.25">
      <c r="A1593" s="127">
        <v>44733</v>
      </c>
      <c r="B1593" s="24" t="s">
        <v>75</v>
      </c>
      <c r="C1593" s="21">
        <f t="shared" si="29"/>
        <v>-16.350000000000001</v>
      </c>
      <c r="BU1593" s="106">
        <v>-8</v>
      </c>
      <c r="CA1593" s="106">
        <v>-8.35</v>
      </c>
    </row>
    <row r="1594" spans="1:207" x14ac:dyDescent="0.25">
      <c r="A1594" s="127">
        <v>44733</v>
      </c>
      <c r="B1594" s="24" t="s">
        <v>138</v>
      </c>
      <c r="C1594" s="21">
        <f t="shared" si="29"/>
        <v>-25.09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27">
        <v>44733</v>
      </c>
      <c r="B1595" s="24" t="s">
        <v>137</v>
      </c>
      <c r="C1595" s="21">
        <f t="shared" si="29"/>
        <v>-32.18</v>
      </c>
      <c r="AW1595" s="74">
        <v>-7.6</v>
      </c>
      <c r="BI1595" s="106">
        <v>-7.2</v>
      </c>
      <c r="BO1595" s="74">
        <v>-8.65</v>
      </c>
      <c r="CE1595" s="42">
        <v>-8.73</v>
      </c>
    </row>
    <row r="1596" spans="1:207" x14ac:dyDescent="0.25">
      <c r="A1596" s="127">
        <v>44733</v>
      </c>
      <c r="B1596" s="24" t="s">
        <v>127</v>
      </c>
      <c r="C1596" s="21">
        <f t="shared" si="29"/>
        <v>-22.63</v>
      </c>
      <c r="Y1596" s="69">
        <v>-5.5149999999999997</v>
      </c>
      <c r="AB1596" s="69">
        <v>-8.4649999999999999</v>
      </c>
      <c r="BU1596" s="106">
        <v>-8.65</v>
      </c>
    </row>
    <row r="1597" spans="1:207" x14ac:dyDescent="0.25">
      <c r="A1597" s="127">
        <v>44733</v>
      </c>
      <c r="B1597" s="24" t="s">
        <v>58</v>
      </c>
      <c r="C1597" s="21">
        <f t="shared" si="29"/>
        <v>0</v>
      </c>
    </row>
    <row r="1598" spans="1:207" x14ac:dyDescent="0.25">
      <c r="A1598" s="127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27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27">
        <v>44734</v>
      </c>
      <c r="B1600" s="24" t="s">
        <v>57</v>
      </c>
      <c r="C1600" s="21">
        <f t="shared" si="29"/>
        <v>-35.119999999999997</v>
      </c>
      <c r="BU1600" s="106">
        <v>-17.25</v>
      </c>
      <c r="CY1600" s="74">
        <v>-9.17</v>
      </c>
      <c r="DI1600" s="42">
        <v>-8.6999999999999993</v>
      </c>
    </row>
    <row r="1601" spans="1:238" x14ac:dyDescent="0.25">
      <c r="A1601" s="127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27">
        <v>44734</v>
      </c>
      <c r="B1602" s="24" t="s">
        <v>14</v>
      </c>
      <c r="C1602" s="21">
        <f t="shared" si="29"/>
        <v>-76.290000000000006</v>
      </c>
      <c r="O1602" s="375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27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27">
        <v>44734</v>
      </c>
      <c r="B1604" s="24" t="s">
        <v>80</v>
      </c>
      <c r="C1604" s="21">
        <f t="shared" si="29"/>
        <v>-23.85</v>
      </c>
      <c r="AW1604" s="74">
        <v>-15.2</v>
      </c>
      <c r="BU1604" s="106">
        <v>-8.65</v>
      </c>
    </row>
    <row r="1605" spans="1:238" x14ac:dyDescent="0.25">
      <c r="A1605" s="127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27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106">
        <v>17.2</v>
      </c>
      <c r="CL1606" s="69">
        <v>8.35</v>
      </c>
    </row>
    <row r="1607" spans="1:238" x14ac:dyDescent="0.25">
      <c r="A1607" s="127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27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27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27">
        <v>44737</v>
      </c>
      <c r="B1610" s="24" t="s">
        <v>20</v>
      </c>
      <c r="C1610" s="21">
        <f t="shared" si="29"/>
        <v>-34.36</v>
      </c>
      <c r="BU1610" s="106">
        <v>-8.65</v>
      </c>
      <c r="CA1610" s="106">
        <v>-8.6</v>
      </c>
      <c r="CE1610" s="42">
        <v>-8.76</v>
      </c>
      <c r="CL1610" s="69">
        <v>-8.35</v>
      </c>
    </row>
    <row r="1611" spans="1:238" x14ac:dyDescent="0.25">
      <c r="A1611" s="127">
        <v>44737</v>
      </c>
      <c r="B1611" s="24" t="s">
        <v>113</v>
      </c>
      <c r="C1611" s="21">
        <f t="shared" si="29"/>
        <v>151.65</v>
      </c>
      <c r="DK1611" s="74">
        <v>84.65</v>
      </c>
      <c r="DP1611" s="74">
        <v>67</v>
      </c>
    </row>
    <row r="1612" spans="1:238" x14ac:dyDescent="0.25">
      <c r="A1612" s="127">
        <v>44739</v>
      </c>
      <c r="B1612" s="24" t="s">
        <v>12</v>
      </c>
      <c r="C1612" s="21">
        <f t="shared" si="29"/>
        <v>-207.755</v>
      </c>
      <c r="EW1612" s="88">
        <v>-102.17</v>
      </c>
      <c r="GE1612" s="180">
        <v>-105.58499999999999</v>
      </c>
    </row>
    <row r="1613" spans="1:238" x14ac:dyDescent="0.25">
      <c r="A1613" s="127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2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27">
        <v>44740</v>
      </c>
      <c r="B1614" s="24" t="s">
        <v>50</v>
      </c>
      <c r="C1614" s="21">
        <f t="shared" si="29"/>
        <v>-155.02000000000001</v>
      </c>
      <c r="EZ1614" s="92">
        <v>-31.75</v>
      </c>
      <c r="ID1614" s="42">
        <v>-123.27</v>
      </c>
    </row>
    <row r="1615" spans="1:238" x14ac:dyDescent="0.25">
      <c r="A1615" s="127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74">
        <v>-8.5500000000000007</v>
      </c>
    </row>
    <row r="1616" spans="1:238" x14ac:dyDescent="0.25">
      <c r="A1616" s="127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27">
        <v>44740</v>
      </c>
      <c r="B1617" s="24" t="s">
        <v>75</v>
      </c>
      <c r="C1617" s="21">
        <f t="shared" si="29"/>
        <v>-39.92</v>
      </c>
      <c r="BI1617" s="106">
        <v>-7.65</v>
      </c>
      <c r="BO1617" s="74">
        <v>-6.4</v>
      </c>
      <c r="BU1617" s="106">
        <v>-8.6999999999999993</v>
      </c>
      <c r="CA1617" s="106">
        <v>-8.4499999999999993</v>
      </c>
      <c r="CE1617" s="42">
        <v>-8.7200000000000006</v>
      </c>
    </row>
    <row r="1618" spans="1:225" x14ac:dyDescent="0.25">
      <c r="A1618" s="127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106">
        <v>-7.9</v>
      </c>
      <c r="BO1618" s="74">
        <v>-6.55</v>
      </c>
      <c r="CE1618" s="42">
        <v>-8.57</v>
      </c>
    </row>
    <row r="1619" spans="1:225" x14ac:dyDescent="0.25">
      <c r="A1619" s="127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27">
        <v>44740</v>
      </c>
      <c r="B1620" s="24" t="s">
        <v>95</v>
      </c>
      <c r="C1620" s="21">
        <f t="shared" si="29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27">
        <v>44740</v>
      </c>
      <c r="B1621" s="24" t="s">
        <v>127</v>
      </c>
      <c r="C1621" s="21">
        <f t="shared" si="29"/>
        <v>-8.5500000000000007</v>
      </c>
      <c r="AR1621" s="74">
        <v>-8.5500000000000007</v>
      </c>
    </row>
    <row r="1622" spans="1:225" x14ac:dyDescent="0.25">
      <c r="A1622" s="127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27">
        <v>44740</v>
      </c>
      <c r="B1623" s="24" t="s">
        <v>37</v>
      </c>
      <c r="C1623" s="21">
        <f t="shared" si="29"/>
        <v>-770.82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27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</v>
      </c>
      <c r="BU1624" s="106">
        <f>-8.65-8.7</f>
        <v>-17.350000000000001</v>
      </c>
      <c r="CA1624" s="106">
        <v>-17.149999999999999</v>
      </c>
      <c r="CQ1624" s="42">
        <v>-35.22</v>
      </c>
    </row>
    <row r="1625" spans="1:225" x14ac:dyDescent="0.25">
      <c r="A1625" s="127">
        <v>44740</v>
      </c>
      <c r="B1625" s="24" t="s">
        <v>139</v>
      </c>
      <c r="C1625" s="21">
        <f t="shared" si="29"/>
        <v>-77.03</v>
      </c>
      <c r="O1625" s="375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27">
        <v>44740</v>
      </c>
      <c r="B1626" s="24" t="s">
        <v>84</v>
      </c>
      <c r="C1626" s="21">
        <f t="shared" si="29"/>
        <v>-25.6</v>
      </c>
      <c r="AR1626" s="74">
        <v>-8.5500000000000007</v>
      </c>
      <c r="BI1626" s="106">
        <v>-17.05</v>
      </c>
    </row>
    <row r="1627" spans="1:225" x14ac:dyDescent="0.25">
      <c r="A1627" s="127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27">
        <v>44740</v>
      </c>
      <c r="B1628" s="24" t="s">
        <v>133</v>
      </c>
      <c r="C1628" s="21">
        <f t="shared" si="29"/>
        <v>-327.33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27">
        <v>44741</v>
      </c>
      <c r="B1629" s="24" t="s">
        <v>15</v>
      </c>
      <c r="C1629" s="21">
        <f t="shared" si="29"/>
        <v>-51.24</v>
      </c>
      <c r="BM1629" s="88">
        <v>-33.76</v>
      </c>
      <c r="BS1629" s="42">
        <v>-17.48</v>
      </c>
    </row>
    <row r="1630" spans="1:225" x14ac:dyDescent="0.25">
      <c r="A1630" s="127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27">
        <v>44741</v>
      </c>
      <c r="B1631" s="24" t="s">
        <v>14</v>
      </c>
      <c r="C1631" s="21">
        <f t="shared" si="29"/>
        <v>-272.52999999999997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27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27">
        <v>44741</v>
      </c>
      <c r="B1633" s="24" t="s">
        <v>19</v>
      </c>
      <c r="C1633" s="21">
        <f t="shared" si="29"/>
        <v>153.22999999999999</v>
      </c>
      <c r="BD1633" s="121">
        <v>27.57</v>
      </c>
      <c r="BL1633" s="115">
        <v>33.83</v>
      </c>
      <c r="BR1633" s="115">
        <v>25.95</v>
      </c>
      <c r="BV1633" s="121">
        <v>32.75</v>
      </c>
      <c r="CN1633" s="121">
        <v>33.130000000000003</v>
      </c>
    </row>
    <row r="1634" spans="1:198" x14ac:dyDescent="0.25">
      <c r="A1634" s="127">
        <v>44741</v>
      </c>
      <c r="B1634" s="24" t="s">
        <v>14</v>
      </c>
      <c r="C1634" s="21">
        <f t="shared" si="29"/>
        <v>34.6</v>
      </c>
      <c r="CA1634" s="106">
        <f>8.55+8.6</f>
        <v>17.149999999999999</v>
      </c>
      <c r="CY1634" s="74">
        <f>8.73+8.72</f>
        <v>17.45</v>
      </c>
    </row>
    <row r="1635" spans="1:198" x14ac:dyDescent="0.25">
      <c r="A1635" s="127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27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27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27">
        <v>44742</v>
      </c>
      <c r="B1638" s="24" t="s">
        <v>222</v>
      </c>
      <c r="C1638" s="21">
        <f t="shared" si="29"/>
        <v>-16.739999999999998</v>
      </c>
      <c r="AU1638" s="42">
        <v>-8.2799999999999994</v>
      </c>
      <c r="BA1638" s="42">
        <v>-8.4600000000000009</v>
      </c>
    </row>
    <row r="1639" spans="1:198" x14ac:dyDescent="0.25">
      <c r="A1639" s="127">
        <v>44742</v>
      </c>
      <c r="B1639" s="24" t="s">
        <v>133</v>
      </c>
      <c r="C1639" s="21">
        <f t="shared" si="29"/>
        <v>-188.18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27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106">
        <v>-17</v>
      </c>
      <c r="CE1640" s="42">
        <v>-17.989999999999998</v>
      </c>
      <c r="CK1640" s="42">
        <v>-17.37</v>
      </c>
    </row>
    <row r="1641" spans="1:198" x14ac:dyDescent="0.25">
      <c r="A1641" s="127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27">
        <v>44742</v>
      </c>
      <c r="B1642" s="24" t="s">
        <v>140</v>
      </c>
      <c r="C1642" s="21">
        <f t="shared" si="29"/>
        <v>-25.76</v>
      </c>
      <c r="D1642" s="145">
        <v>-25.76</v>
      </c>
    </row>
    <row r="1643" spans="1:198" x14ac:dyDescent="0.25">
      <c r="A1643" s="127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27">
        <v>44743</v>
      </c>
      <c r="B1644" s="24" t="s">
        <v>15</v>
      </c>
      <c r="C1644" s="21">
        <f t="shared" si="29"/>
        <v>-14.77</v>
      </c>
      <c r="BM1644" s="88">
        <v>-8.42</v>
      </c>
      <c r="BO1644" s="74">
        <v>-6.35</v>
      </c>
    </row>
    <row r="1645" spans="1:198" x14ac:dyDescent="0.25">
      <c r="A1645" s="127">
        <v>44743</v>
      </c>
      <c r="B1645" s="24" t="s">
        <v>95</v>
      </c>
      <c r="C1645" s="21">
        <f t="shared" si="29"/>
        <v>-383.04500000000002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27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106">
        <v>-8.5</v>
      </c>
      <c r="CE1646" s="42">
        <v>-9.0299999999999994</v>
      </c>
      <c r="CK1646" s="42">
        <v>-8.18</v>
      </c>
    </row>
    <row r="1647" spans="1:198" x14ac:dyDescent="0.25">
      <c r="A1647" s="127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27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106">
        <v>-8.6</v>
      </c>
    </row>
    <row r="1649" spans="1:231" x14ac:dyDescent="0.25">
      <c r="A1649" s="127">
        <v>44744</v>
      </c>
      <c r="B1649" s="24" t="s">
        <v>72</v>
      </c>
      <c r="C1649" s="21">
        <f t="shared" ref="C1649:C1712" si="30">SUM(D1649:JT1649)</f>
        <v>-17.510000000000002</v>
      </c>
      <c r="CK1649" s="42">
        <v>-8.82</v>
      </c>
      <c r="CQ1649" s="42">
        <v>-8.69</v>
      </c>
    </row>
    <row r="1650" spans="1:231" x14ac:dyDescent="0.25">
      <c r="A1650" s="127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3">
        <v>44744</v>
      </c>
      <c r="B1651" s="64" t="s">
        <v>96</v>
      </c>
      <c r="C1651" s="21">
        <f t="shared" si="30"/>
        <v>-25.9</v>
      </c>
      <c r="DK1651" s="74">
        <v>-25.9</v>
      </c>
    </row>
    <row r="1652" spans="1:231" x14ac:dyDescent="0.25">
      <c r="A1652" s="133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</v>
      </c>
    </row>
    <row r="1653" spans="1:231" x14ac:dyDescent="0.25">
      <c r="A1653" s="133">
        <v>44746</v>
      </c>
      <c r="B1653" s="64" t="s">
        <v>19</v>
      </c>
      <c r="C1653" s="21">
        <f t="shared" si="30"/>
        <v>376.32</v>
      </c>
      <c r="BD1653" s="121">
        <v>27.34</v>
      </c>
      <c r="BR1653" s="115">
        <v>75.709999999999994</v>
      </c>
      <c r="BV1653" s="121">
        <v>34.31</v>
      </c>
      <c r="CC1653" s="126">
        <v>68.239999999999995</v>
      </c>
      <c r="CH1653" s="121">
        <v>33.020000000000003</v>
      </c>
      <c r="CP1653" s="115">
        <v>33.369999999999997</v>
      </c>
      <c r="CV1653" s="115">
        <v>34.630000000000003</v>
      </c>
      <c r="DF1653" s="121">
        <v>34.14</v>
      </c>
      <c r="DL1653" s="121">
        <v>35.56</v>
      </c>
    </row>
    <row r="1654" spans="1:231" x14ac:dyDescent="0.25">
      <c r="A1654" s="133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27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27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27">
        <v>44747</v>
      </c>
      <c r="B1657" s="24" t="s">
        <v>20</v>
      </c>
      <c r="C1657" s="21">
        <f t="shared" si="30"/>
        <v>0</v>
      </c>
    </row>
    <row r="1658" spans="1:231" x14ac:dyDescent="0.25">
      <c r="A1658" s="127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27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27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27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27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27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27">
        <v>44749</v>
      </c>
      <c r="B1664" s="24" t="s">
        <v>113</v>
      </c>
      <c r="C1664" s="21">
        <f t="shared" si="30"/>
        <v>354.05</v>
      </c>
      <c r="CY1664" s="74">
        <v>63.1</v>
      </c>
      <c r="FZ1664" s="115">
        <v>110.85</v>
      </c>
      <c r="HW1664" s="42">
        <v>180.1</v>
      </c>
    </row>
    <row r="1665" spans="1:242" x14ac:dyDescent="0.25">
      <c r="A1665" s="133">
        <v>44760</v>
      </c>
      <c r="B1665" s="64" t="s">
        <v>80</v>
      </c>
      <c r="C1665" s="21">
        <f t="shared" si="30"/>
        <v>0</v>
      </c>
    </row>
    <row r="1666" spans="1:242" x14ac:dyDescent="0.25">
      <c r="A1666" s="133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3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3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3">
        <v>44760</v>
      </c>
      <c r="B1669" s="64" t="s">
        <v>133</v>
      </c>
      <c r="C1669" s="21">
        <f t="shared" si="30"/>
        <v>-185.83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106">
        <v>-32.700000000000003</v>
      </c>
      <c r="CE1669" s="42">
        <v>-34.97</v>
      </c>
      <c r="CQ1669" s="42">
        <v>-17.29</v>
      </c>
    </row>
    <row r="1670" spans="1:242" x14ac:dyDescent="0.25">
      <c r="A1670" s="133">
        <v>44760</v>
      </c>
      <c r="B1670" s="64" t="s">
        <v>95</v>
      </c>
      <c r="C1670" s="21">
        <f t="shared" si="30"/>
        <v>0</v>
      </c>
    </row>
    <row r="1671" spans="1:242" x14ac:dyDescent="0.25">
      <c r="A1671" s="133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3">
        <v>44761</v>
      </c>
      <c r="B1672" s="64" t="s">
        <v>79</v>
      </c>
      <c r="C1672" s="21">
        <f t="shared" si="30"/>
        <v>-43.15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3">
        <v>44761</v>
      </c>
      <c r="B1673" s="64" t="s">
        <v>20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3">
        <v>44761</v>
      </c>
      <c r="B1674" s="64" t="s">
        <v>127</v>
      </c>
      <c r="C1674" s="21">
        <f t="shared" si="30"/>
        <v>-24.77</v>
      </c>
      <c r="BG1674" s="42">
        <v>-8.31</v>
      </c>
      <c r="CH1674" s="121">
        <v>-16.46</v>
      </c>
    </row>
    <row r="1675" spans="1:242" x14ac:dyDescent="0.25">
      <c r="A1675" s="133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1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3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3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3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3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3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3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3">
        <v>44761</v>
      </c>
      <c r="B1682" s="64" t="s">
        <v>140</v>
      </c>
      <c r="C1682" s="21">
        <f t="shared" si="30"/>
        <v>-25.62</v>
      </c>
      <c r="D1682" s="145">
        <v>-25.62</v>
      </c>
    </row>
    <row r="1683" spans="1:238" x14ac:dyDescent="0.25">
      <c r="A1683" s="133">
        <v>44761</v>
      </c>
      <c r="B1683" s="64" t="s">
        <v>75</v>
      </c>
      <c r="C1683" s="21">
        <f t="shared" si="30"/>
        <v>-33.369999999999997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3">
        <v>44762</v>
      </c>
      <c r="B1684" s="64" t="s">
        <v>222</v>
      </c>
      <c r="C1684" s="21">
        <f t="shared" si="30"/>
        <v>-19.46</v>
      </c>
      <c r="T1684" s="42">
        <v>-3.38</v>
      </c>
      <c r="BL1684" s="115">
        <v>-7.8</v>
      </c>
      <c r="BM1684" s="88">
        <v>-8.2799999999999994</v>
      </c>
    </row>
    <row r="1685" spans="1:238" x14ac:dyDescent="0.25">
      <c r="A1685" s="133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3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3">
        <v>44762</v>
      </c>
      <c r="B1687" s="64" t="s">
        <v>25</v>
      </c>
      <c r="C1687" s="21">
        <f t="shared" si="30"/>
        <v>-49.36</v>
      </c>
      <c r="BA1687" s="42">
        <v>-8.49</v>
      </c>
      <c r="BL1687" s="115">
        <v>-8.9700000000000006</v>
      </c>
      <c r="BO1687" s="74">
        <v>-8.15</v>
      </c>
      <c r="BV1687" s="121">
        <v>-8.24</v>
      </c>
      <c r="BY1687" s="42">
        <v>-6.61</v>
      </c>
      <c r="CE1687" s="42">
        <v>-8.9</v>
      </c>
    </row>
    <row r="1688" spans="1:238" x14ac:dyDescent="0.25">
      <c r="A1688" s="133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3">
        <v>44762</v>
      </c>
      <c r="B1689" s="19" t="s">
        <v>144</v>
      </c>
      <c r="C1689" s="21">
        <f t="shared" si="30"/>
        <v>-64.959999999999994</v>
      </c>
      <c r="GY1689" s="42">
        <v>-34</v>
      </c>
      <c r="HE1689" s="42">
        <v>-30.96</v>
      </c>
    </row>
    <row r="1690" spans="1:238" x14ac:dyDescent="0.25">
      <c r="A1690" s="133">
        <v>44763</v>
      </c>
      <c r="B1690" s="19" t="s">
        <v>15</v>
      </c>
      <c r="C1690" s="21">
        <f t="shared" si="30"/>
        <v>-51.87</v>
      </c>
      <c r="DN1690" s="42">
        <v>-42.9</v>
      </c>
      <c r="DQ1690" s="121">
        <v>-8.9700000000000006</v>
      </c>
    </row>
    <row r="1691" spans="1:238" x14ac:dyDescent="0.25">
      <c r="A1691" s="133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3">
        <v>44763</v>
      </c>
      <c r="B1692" s="64" t="s">
        <v>123</v>
      </c>
      <c r="C1692" s="21">
        <f t="shared" si="30"/>
        <v>-24.07</v>
      </c>
      <c r="BO1692" s="74">
        <v>-8.1</v>
      </c>
      <c r="HL1692" s="42">
        <v>-8.18</v>
      </c>
      <c r="ID1692" s="42">
        <v>-7.79</v>
      </c>
    </row>
    <row r="1693" spans="1:238" x14ac:dyDescent="0.25">
      <c r="A1693" s="133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3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3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3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3">
        <v>44763</v>
      </c>
      <c r="B1697" s="64" t="s">
        <v>146</v>
      </c>
      <c r="C1697" s="21">
        <f t="shared" si="30"/>
        <v>1012.15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3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3">
        <v>44764</v>
      </c>
      <c r="B1699" s="64" t="s">
        <v>14</v>
      </c>
      <c r="C1699" s="21">
        <f t="shared" si="30"/>
        <v>-371.98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3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3">
        <v>44764</v>
      </c>
      <c r="B1701" s="64" t="s">
        <v>17</v>
      </c>
      <c r="C1701" s="21">
        <f t="shared" si="30"/>
        <v>-82.795000000000002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3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3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3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3">
        <v>44764</v>
      </c>
      <c r="B1705" s="19" t="s">
        <v>29</v>
      </c>
      <c r="C1705" s="21">
        <f t="shared" si="30"/>
        <v>-76.989999999999995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74">
        <v>-8.15</v>
      </c>
      <c r="BT1705" s="69">
        <v>-8.43</v>
      </c>
      <c r="BY1705" s="42">
        <f>-9.26-8.78</f>
        <v>-18.04</v>
      </c>
    </row>
    <row r="1706" spans="1:122" x14ac:dyDescent="0.25">
      <c r="A1706" s="133">
        <v>44762</v>
      </c>
      <c r="B1706" s="64" t="s">
        <v>59</v>
      </c>
      <c r="C1706" s="21">
        <f t="shared" si="30"/>
        <v>-8.36</v>
      </c>
      <c r="DB1706" s="115">
        <v>-8.36</v>
      </c>
    </row>
    <row r="1707" spans="1:122" x14ac:dyDescent="0.25">
      <c r="A1707" s="133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3">
        <v>44764</v>
      </c>
      <c r="B1708" s="64" t="s">
        <v>113</v>
      </c>
      <c r="C1708" s="21">
        <f t="shared" si="30"/>
        <v>0</v>
      </c>
    </row>
    <row r="1709" spans="1:122" x14ac:dyDescent="0.25">
      <c r="A1709" s="127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27">
        <v>44765</v>
      </c>
      <c r="B1710" s="24" t="s">
        <v>78</v>
      </c>
      <c r="C1710" s="21">
        <f t="shared" si="30"/>
        <v>-16.7</v>
      </c>
      <c r="BH1710" s="69">
        <v>-8.49</v>
      </c>
      <c r="BL1710" s="115">
        <v>-8.2100000000000009</v>
      </c>
    </row>
    <row r="1711" spans="1:122" x14ac:dyDescent="0.25">
      <c r="A1711" s="127">
        <v>44767</v>
      </c>
      <c r="B1711" s="24" t="s">
        <v>17</v>
      </c>
      <c r="C1711" s="21">
        <f t="shared" si="30"/>
        <v>-16.875</v>
      </c>
      <c r="BO1711" s="74">
        <v>-8.4499999999999993</v>
      </c>
      <c r="BT1711" s="69">
        <v>-8.4250000000000007</v>
      </c>
    </row>
    <row r="1712" spans="1:122" x14ac:dyDescent="0.25">
      <c r="A1712" s="127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27">
        <v>44767</v>
      </c>
      <c r="B1713" s="24" t="s">
        <v>72</v>
      </c>
      <c r="C1713" s="21">
        <f t="shared" ref="C1713:C1776" si="31">SUM(D1713:JT1713)</f>
        <v>-15.1</v>
      </c>
      <c r="CY1713" s="74">
        <v>-15.1</v>
      </c>
    </row>
    <row r="1714" spans="1:229" x14ac:dyDescent="0.25">
      <c r="A1714" s="127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27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27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27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5">
        <v>-8.85</v>
      </c>
    </row>
    <row r="1718" spans="1:229" x14ac:dyDescent="0.25">
      <c r="A1718" s="127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27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27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27">
        <v>44768</v>
      </c>
      <c r="B1721" s="24" t="s">
        <v>127</v>
      </c>
      <c r="C1721" s="21">
        <f t="shared" si="31"/>
        <v>-25.164999999999999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27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27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27">
        <v>44768</v>
      </c>
      <c r="B1724" s="24" t="s">
        <v>139</v>
      </c>
      <c r="C1724" s="21">
        <f t="shared" si="31"/>
        <v>-16.885000000000002</v>
      </c>
      <c r="BH1724" s="69">
        <v>-8.49</v>
      </c>
      <c r="BN1724" s="69">
        <v>-8.3949999999999996</v>
      </c>
    </row>
    <row r="1725" spans="1:229" x14ac:dyDescent="0.25">
      <c r="A1725" s="127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27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27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27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5">
        <v>-9.73</v>
      </c>
      <c r="BV1728" s="121">
        <v>-8.73</v>
      </c>
      <c r="CQ1728" s="42">
        <v>-8.67</v>
      </c>
      <c r="DC1728" s="42">
        <v>-8.86</v>
      </c>
      <c r="DR1728" s="46">
        <v>-7.66</v>
      </c>
      <c r="EC1728" s="126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27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27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27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27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27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27">
        <v>44770</v>
      </c>
      <c r="B1734" s="23" t="s">
        <v>29</v>
      </c>
      <c r="C1734" s="21">
        <f t="shared" si="31"/>
        <v>-17.809999999999999</v>
      </c>
      <c r="DF1734" s="121">
        <v>-17.809999999999999</v>
      </c>
    </row>
    <row r="1735" spans="1:238" x14ac:dyDescent="0.25">
      <c r="A1735" s="127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27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27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27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1">
        <v>-6.79</v>
      </c>
      <c r="BH1738" s="69">
        <v>-8.4350000000000005</v>
      </c>
      <c r="BR1738" s="115">
        <v>-9.67</v>
      </c>
      <c r="BV1738" s="121">
        <v>-8.18</v>
      </c>
      <c r="CK1738" s="42">
        <v>-8.27</v>
      </c>
    </row>
    <row r="1739" spans="1:238" x14ac:dyDescent="0.25">
      <c r="A1739" s="127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27">
        <v>44775</v>
      </c>
      <c r="B1740" s="24" t="s">
        <v>2</v>
      </c>
      <c r="C1740" s="21">
        <f t="shared" si="31"/>
        <v>1021.14</v>
      </c>
      <c r="IB1740" s="42">
        <v>523.44000000000005</v>
      </c>
      <c r="ID1740" s="42">
        <v>497.7</v>
      </c>
    </row>
    <row r="1741" spans="1:238" x14ac:dyDescent="0.25">
      <c r="A1741" s="127">
        <v>44775</v>
      </c>
      <c r="B1741" s="24" t="s">
        <v>25</v>
      </c>
      <c r="C1741" s="21">
        <f t="shared" si="31"/>
        <v>-68.48</v>
      </c>
      <c r="DC1741" s="42">
        <v>-8.4499999999999993</v>
      </c>
      <c r="DF1741" s="121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27">
        <v>44775</v>
      </c>
      <c r="B1742" s="24" t="s">
        <v>17</v>
      </c>
      <c r="C1742" s="21">
        <f t="shared" si="31"/>
        <v>-50.475000000000001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27">
        <v>44775</v>
      </c>
      <c r="B1743" s="24" t="s">
        <v>123</v>
      </c>
      <c r="C1743" s="21">
        <f t="shared" si="31"/>
        <v>0</v>
      </c>
    </row>
    <row r="1744" spans="1:238" x14ac:dyDescent="0.25">
      <c r="A1744" s="127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1">
        <v>-6.93</v>
      </c>
      <c r="BH1744" s="69">
        <v>-8.5050000000000008</v>
      </c>
      <c r="BR1744" s="115">
        <v>-9.42</v>
      </c>
      <c r="BV1744" s="121">
        <v>-9.3000000000000007</v>
      </c>
      <c r="BZ1744" s="69">
        <v>-8.4849999999999994</v>
      </c>
    </row>
    <row r="1745" spans="1:240" x14ac:dyDescent="0.25">
      <c r="A1745" s="127">
        <v>44775</v>
      </c>
      <c r="B1745" s="24" t="s">
        <v>15</v>
      </c>
      <c r="C1745" s="21">
        <f t="shared" si="31"/>
        <v>-25.94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27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5">
        <v>-8.23</v>
      </c>
      <c r="BV1746" s="121">
        <v>-7.94</v>
      </c>
      <c r="BZ1746" s="69">
        <v>-8.49</v>
      </c>
      <c r="CF1746" s="69">
        <v>-8.41</v>
      </c>
    </row>
    <row r="1747" spans="1:240" x14ac:dyDescent="0.25">
      <c r="A1747" s="127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1">
        <v>-27.34</v>
      </c>
      <c r="BH1747" s="69">
        <v>-8.5</v>
      </c>
    </row>
    <row r="1748" spans="1:240" x14ac:dyDescent="0.25">
      <c r="A1748" s="127">
        <v>44775</v>
      </c>
      <c r="B1748" s="24" t="s">
        <v>78</v>
      </c>
      <c r="C1748" s="21">
        <f t="shared" si="31"/>
        <v>0</v>
      </c>
    </row>
    <row r="1749" spans="1:240" x14ac:dyDescent="0.25">
      <c r="A1749" s="127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27">
        <v>44775</v>
      </c>
      <c r="B1750" s="24" t="s">
        <v>140</v>
      </c>
      <c r="C1750" s="21">
        <f t="shared" si="31"/>
        <v>-29.88</v>
      </c>
      <c r="D1750" s="145">
        <v>-25.73</v>
      </c>
      <c r="E1750" s="145">
        <v>-4.1500000000000004</v>
      </c>
    </row>
    <row r="1751" spans="1:240" x14ac:dyDescent="0.25">
      <c r="A1751" s="127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27">
        <v>44776</v>
      </c>
      <c r="B1752" s="24" t="s">
        <v>59</v>
      </c>
      <c r="C1752" s="21">
        <f t="shared" si="31"/>
        <v>-8.1199999999999992</v>
      </c>
      <c r="BV1752" s="121">
        <v>-8.1199999999999992</v>
      </c>
    </row>
    <row r="1753" spans="1:240" x14ac:dyDescent="0.25">
      <c r="A1753" s="127">
        <v>44776</v>
      </c>
      <c r="B1753" s="24" t="s">
        <v>113</v>
      </c>
      <c r="C1753" s="21">
        <f t="shared" si="31"/>
        <v>2362.09</v>
      </c>
      <c r="AN1753" s="74">
        <v>378.85</v>
      </c>
      <c r="AR1753" s="74">
        <v>335.58</v>
      </c>
      <c r="AW1753" s="74">
        <v>264.27999999999997</v>
      </c>
      <c r="BI1753" s="106">
        <v>538.54999999999995</v>
      </c>
      <c r="CA1753" s="106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27">
        <v>44776</v>
      </c>
      <c r="B1754" s="24" t="s">
        <v>17</v>
      </c>
      <c r="C1754" s="21">
        <f t="shared" si="31"/>
        <v>-590.995</v>
      </c>
      <c r="AN1754" s="74">
        <v>-98.7</v>
      </c>
      <c r="AR1754" s="74">
        <v>-104.84</v>
      </c>
      <c r="AW1754" s="74">
        <v>-99.71</v>
      </c>
      <c r="BI1754" s="106">
        <v>-121.8</v>
      </c>
      <c r="CA1754" s="106">
        <v>-33.549999999999997</v>
      </c>
      <c r="CG1754" s="106">
        <v>-62.71</v>
      </c>
      <c r="CR1754" s="69">
        <v>-34.335000000000001</v>
      </c>
      <c r="CW1754" s="42">
        <v>-35.35</v>
      </c>
    </row>
    <row r="1755" spans="1:240" x14ac:dyDescent="0.25">
      <c r="A1755" s="127">
        <v>44776</v>
      </c>
      <c r="B1755" s="24" t="s">
        <v>133</v>
      </c>
      <c r="C1755" s="21">
        <f t="shared" si="31"/>
        <v>-201.77500000000001</v>
      </c>
      <c r="AQ1755" s="69">
        <v>-34.04</v>
      </c>
      <c r="AV1755" s="69">
        <v>-34.865000000000002</v>
      </c>
      <c r="BH1755" s="69">
        <v>-33.784999999999997</v>
      </c>
      <c r="CA1755" s="106">
        <v>-30.8</v>
      </c>
      <c r="CF1755" s="69">
        <v>-33.924999999999997</v>
      </c>
      <c r="CR1755" s="69">
        <v>-34.36</v>
      </c>
    </row>
    <row r="1756" spans="1:240" x14ac:dyDescent="0.25">
      <c r="A1756" s="127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27">
        <v>44776</v>
      </c>
      <c r="B1757" s="24" t="s">
        <v>89</v>
      </c>
      <c r="C1757" s="21">
        <f t="shared" si="31"/>
        <v>-474.065</v>
      </c>
      <c r="AE1757" s="42">
        <v>-33.76</v>
      </c>
      <c r="BH1757" s="69">
        <v>-67.805000000000007</v>
      </c>
      <c r="CA1757" s="106">
        <v>-67</v>
      </c>
      <c r="CG1757" s="106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27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27">
        <v>44776</v>
      </c>
      <c r="B1759" s="24" t="s">
        <v>20</v>
      </c>
      <c r="C1759" s="21">
        <f t="shared" si="31"/>
        <v>-17.21</v>
      </c>
      <c r="BI1759" s="106">
        <v>-8.6999999999999993</v>
      </c>
      <c r="CG1759" s="106">
        <v>-8.51</v>
      </c>
    </row>
    <row r="1760" spans="1:240" x14ac:dyDescent="0.25">
      <c r="A1760" s="127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27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27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1">
        <v>-16.559999999999999</v>
      </c>
      <c r="CJ1762" s="115">
        <v>-8.8800000000000008</v>
      </c>
    </row>
    <row r="1763" spans="1:238" x14ac:dyDescent="0.25">
      <c r="A1763" s="127">
        <v>44777</v>
      </c>
      <c r="B1763" s="24" t="s">
        <v>148</v>
      </c>
      <c r="C1763" s="21">
        <f t="shared" si="31"/>
        <v>-34.85</v>
      </c>
      <c r="BI1763" s="106">
        <v>-34.85</v>
      </c>
    </row>
    <row r="1764" spans="1:238" x14ac:dyDescent="0.25">
      <c r="A1764" s="127">
        <v>44778</v>
      </c>
      <c r="B1764" s="24" t="s">
        <v>113</v>
      </c>
      <c r="C1764" s="21">
        <f t="shared" si="31"/>
        <v>1094.67</v>
      </c>
      <c r="BO1764" s="74">
        <v>165.22</v>
      </c>
      <c r="CA1764" s="106">
        <v>169.8</v>
      </c>
      <c r="CM1764" s="74">
        <v>367.8</v>
      </c>
      <c r="DE1764" s="74">
        <v>175.92</v>
      </c>
      <c r="GZ1764" s="106">
        <v>215.93</v>
      </c>
    </row>
    <row r="1765" spans="1:238" x14ac:dyDescent="0.25">
      <c r="A1765" s="127">
        <v>44778</v>
      </c>
      <c r="B1765" s="29" t="s">
        <v>138</v>
      </c>
      <c r="C1765" s="21">
        <f t="shared" si="31"/>
        <v>-142.37</v>
      </c>
      <c r="AW1765" s="74">
        <v>-16.63</v>
      </c>
      <c r="BI1765" s="106">
        <v>-18.25</v>
      </c>
      <c r="BO1765" s="74">
        <v>-14.58</v>
      </c>
      <c r="CA1765" s="106">
        <v>-16.899999999999999</v>
      </c>
      <c r="CG1765" s="106">
        <v>-15.38</v>
      </c>
      <c r="CM1765" s="74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27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27">
        <v>44778</v>
      </c>
      <c r="B1767" s="29" t="s">
        <v>149</v>
      </c>
      <c r="C1767" s="21">
        <f t="shared" si="31"/>
        <v>-15.81</v>
      </c>
      <c r="BO1767" s="74">
        <v>-7.3</v>
      </c>
      <c r="BV1767" s="121">
        <v>-8.51</v>
      </c>
    </row>
    <row r="1768" spans="1:238" x14ac:dyDescent="0.25">
      <c r="A1768" s="127">
        <v>44779</v>
      </c>
      <c r="B1768" s="24" t="s">
        <v>12</v>
      </c>
      <c r="C1768" s="21">
        <f t="shared" si="31"/>
        <v>-193.095</v>
      </c>
      <c r="BZ1768" s="69">
        <v>-8.4949999999999992</v>
      </c>
      <c r="CM1768" s="74">
        <v>-16.7</v>
      </c>
      <c r="DP1768" s="74">
        <v>-17.48</v>
      </c>
      <c r="GA1768" s="88">
        <v>-150.41999999999999</v>
      </c>
    </row>
    <row r="1769" spans="1:238" x14ac:dyDescent="0.25">
      <c r="A1769" s="127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106">
        <v>-60.9</v>
      </c>
      <c r="BO1769" s="74">
        <v>-32.65</v>
      </c>
      <c r="CA1769" s="106">
        <v>-34.35</v>
      </c>
      <c r="CG1769" s="106">
        <v>-48</v>
      </c>
    </row>
    <row r="1770" spans="1:238" x14ac:dyDescent="0.25">
      <c r="A1770" s="127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27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27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27">
        <v>44781</v>
      </c>
      <c r="B1773" s="24" t="s">
        <v>95</v>
      </c>
      <c r="C1773" s="21">
        <f t="shared" si="31"/>
        <v>-304.54000000000002</v>
      </c>
      <c r="BI1773" s="106">
        <v>-103.4</v>
      </c>
      <c r="CG1773" s="106">
        <v>-66.37</v>
      </c>
      <c r="CM1773" s="74">
        <v>-66.95</v>
      </c>
      <c r="CR1773" s="69">
        <v>-67.819999999999993</v>
      </c>
    </row>
    <row r="1774" spans="1:238" x14ac:dyDescent="0.25">
      <c r="A1774" s="127">
        <v>44781</v>
      </c>
      <c r="B1774" s="24" t="s">
        <v>57</v>
      </c>
      <c r="C1774" s="21">
        <f t="shared" si="31"/>
        <v>-171.06</v>
      </c>
      <c r="AN1774" s="74">
        <v>-17.29</v>
      </c>
      <c r="AQ1774" s="69">
        <v>-8.4700000000000006</v>
      </c>
      <c r="AW1774" s="74">
        <v>-16.5</v>
      </c>
      <c r="BI1774" s="106">
        <v>-34.6</v>
      </c>
      <c r="BO1774" s="74">
        <v>-27.3</v>
      </c>
      <c r="CA1774" s="106">
        <v>-25.55</v>
      </c>
      <c r="CG1774" s="106">
        <v>-24.55</v>
      </c>
      <c r="CM1774" s="74">
        <v>-16.8</v>
      </c>
    </row>
    <row r="1775" spans="1:238" x14ac:dyDescent="0.25">
      <c r="A1775" s="127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27">
        <v>44782</v>
      </c>
      <c r="B1776" s="24" t="s">
        <v>127</v>
      </c>
      <c r="C1776" s="21">
        <f t="shared" si="31"/>
        <v>-15.7</v>
      </c>
      <c r="BI1776" s="106">
        <v>-8.6999999999999993</v>
      </c>
      <c r="BO1776" s="74">
        <v>-7</v>
      </c>
    </row>
    <row r="1777" spans="1:208" x14ac:dyDescent="0.25">
      <c r="A1777" s="127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27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27">
        <v>44782</v>
      </c>
      <c r="B1779" s="24" t="s">
        <v>26</v>
      </c>
      <c r="C1779" s="21">
        <f t="shared" si="32"/>
        <v>-66.355000000000004</v>
      </c>
      <c r="BI1779" s="106">
        <v>-8.6999999999999993</v>
      </c>
      <c r="BO1779" s="74">
        <v>-6.75</v>
      </c>
      <c r="CG1779" s="106">
        <v>-8.1999999999999993</v>
      </c>
      <c r="CM1779" s="74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27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27">
        <v>44782</v>
      </c>
      <c r="B1781" s="24" t="s">
        <v>20</v>
      </c>
      <c r="C1781" s="21">
        <f t="shared" si="32"/>
        <v>-74.680000000000007</v>
      </c>
      <c r="AV1781" s="69">
        <v>-8.4700000000000006</v>
      </c>
      <c r="GZ1781" s="106">
        <v>-66.209999999999994</v>
      </c>
    </row>
    <row r="1782" spans="1:208" x14ac:dyDescent="0.25">
      <c r="A1782" s="127">
        <v>44784</v>
      </c>
      <c r="B1782" s="24" t="s">
        <v>59</v>
      </c>
      <c r="C1782" s="21">
        <f t="shared" si="32"/>
        <v>-8.51</v>
      </c>
      <c r="CG1782" s="106">
        <v>-8.51</v>
      </c>
    </row>
    <row r="1783" spans="1:208" x14ac:dyDescent="0.25">
      <c r="A1783" s="127">
        <v>44784</v>
      </c>
      <c r="B1783" s="24" t="s">
        <v>32</v>
      </c>
      <c r="C1783" s="21">
        <f t="shared" si="32"/>
        <v>-34.68</v>
      </c>
      <c r="BI1783" s="106">
        <v>-26.1</v>
      </c>
      <c r="CR1783" s="69">
        <v>-8.58</v>
      </c>
    </row>
    <row r="1784" spans="1:208" x14ac:dyDescent="0.25">
      <c r="A1784" s="127">
        <v>44784</v>
      </c>
      <c r="B1784" s="24" t="s">
        <v>113</v>
      </c>
      <c r="C1784" s="21">
        <f t="shared" si="32"/>
        <v>2508.86</v>
      </c>
      <c r="BC1784" s="74">
        <v>507.8</v>
      </c>
      <c r="CA1784" s="106">
        <v>560.98</v>
      </c>
      <c r="CM1784" s="74">
        <v>166.4</v>
      </c>
      <c r="DK1784" s="74">
        <v>532.98</v>
      </c>
      <c r="DU1784" s="106">
        <v>740.7</v>
      </c>
    </row>
    <row r="1785" spans="1:208" x14ac:dyDescent="0.25">
      <c r="A1785" s="127">
        <v>44784</v>
      </c>
      <c r="B1785" s="24" t="s">
        <v>113</v>
      </c>
      <c r="C1785" s="21">
        <f t="shared" si="32"/>
        <v>356.65</v>
      </c>
      <c r="CM1785" s="74">
        <v>175.05</v>
      </c>
      <c r="DK1785" s="74">
        <v>181.6</v>
      </c>
    </row>
    <row r="1786" spans="1:208" x14ac:dyDescent="0.25">
      <c r="A1786" s="127">
        <v>44784</v>
      </c>
      <c r="B1786" s="24" t="s">
        <v>89</v>
      </c>
      <c r="C1786" s="21">
        <f t="shared" si="32"/>
        <v>-356.16</v>
      </c>
      <c r="BC1786" s="74">
        <v>-63.8</v>
      </c>
      <c r="BO1786" s="74">
        <v>-62.54</v>
      </c>
      <c r="CM1786" s="74">
        <v>-66.900000000000006</v>
      </c>
      <c r="DK1786" s="74">
        <v>-65.52</v>
      </c>
      <c r="DU1786" s="106">
        <v>-97.4</v>
      </c>
    </row>
    <row r="1787" spans="1:208" x14ac:dyDescent="0.25">
      <c r="A1787" s="127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27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27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27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27">
        <v>44784</v>
      </c>
      <c r="B1791" s="24" t="s">
        <v>123</v>
      </c>
      <c r="C1791" s="21">
        <f t="shared" si="32"/>
        <v>0</v>
      </c>
    </row>
    <row r="1792" spans="1:208" x14ac:dyDescent="0.25">
      <c r="A1792" s="127">
        <v>44785</v>
      </c>
      <c r="B1792" s="24" t="s">
        <v>20</v>
      </c>
      <c r="C1792" s="21">
        <f t="shared" si="32"/>
        <v>-8.0500000000000007</v>
      </c>
      <c r="BC1792" s="74">
        <v>-8.0500000000000007</v>
      </c>
    </row>
    <row r="1793" spans="1:229" x14ac:dyDescent="0.25">
      <c r="A1793" s="127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106">
        <v>-8.6999999999999993</v>
      </c>
      <c r="CA1793" s="106">
        <v>-17.05</v>
      </c>
    </row>
    <row r="1794" spans="1:229" x14ac:dyDescent="0.25">
      <c r="A1794" s="127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27">
        <v>44785</v>
      </c>
      <c r="B1795" s="24" t="s">
        <v>151</v>
      </c>
      <c r="C1795" s="21">
        <f t="shared" si="32"/>
        <v>0</v>
      </c>
    </row>
    <row r="1796" spans="1:229" x14ac:dyDescent="0.25">
      <c r="A1796" s="127">
        <v>44785</v>
      </c>
      <c r="B1796" s="24" t="s">
        <v>17</v>
      </c>
      <c r="C1796" s="21">
        <f t="shared" si="32"/>
        <v>-203.8</v>
      </c>
      <c r="AN1796" s="74">
        <v>-32.299999999999997</v>
      </c>
      <c r="BC1796" s="74">
        <v>-95.2</v>
      </c>
      <c r="BI1796" s="106">
        <v>-34.450000000000003</v>
      </c>
      <c r="CA1796" s="106">
        <v>-33.25</v>
      </c>
      <c r="DR1796" s="46">
        <v>-8.6</v>
      </c>
    </row>
    <row r="1797" spans="1:229" x14ac:dyDescent="0.25">
      <c r="A1797" s="127">
        <v>44788</v>
      </c>
      <c r="B1797" s="24" t="s">
        <v>59</v>
      </c>
      <c r="C1797" s="21">
        <f t="shared" si="32"/>
        <v>-13.86</v>
      </c>
      <c r="AW1797" s="74">
        <v>-0.94</v>
      </c>
      <c r="CR1797" s="69">
        <v>-3.03</v>
      </c>
      <c r="CV1797" s="115">
        <v>-9.89</v>
      </c>
    </row>
    <row r="1798" spans="1:229" x14ac:dyDescent="0.25">
      <c r="A1798" s="127">
        <v>44788</v>
      </c>
      <c r="B1798" s="24" t="s">
        <v>65</v>
      </c>
      <c r="C1798" s="21">
        <f t="shared" si="32"/>
        <v>-50.89</v>
      </c>
      <c r="AN1798" s="74">
        <v>-15.4</v>
      </c>
      <c r="AR1798" s="74">
        <v>-35.49</v>
      </c>
    </row>
    <row r="1799" spans="1:229" x14ac:dyDescent="0.25">
      <c r="A1799" s="127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106">
        <v>-8.6999999999999993</v>
      </c>
      <c r="CA1799" s="106">
        <v>-16.48</v>
      </c>
      <c r="CG1799" s="106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27">
        <v>44788</v>
      </c>
      <c r="B1800" s="24" t="s">
        <v>95</v>
      </c>
      <c r="C1800" s="21">
        <f t="shared" si="32"/>
        <v>-832.44</v>
      </c>
      <c r="AN1800" s="74">
        <v>-103.67</v>
      </c>
      <c r="AR1800" s="74">
        <v>-106.43</v>
      </c>
      <c r="AW1800" s="74">
        <v>-65.37</v>
      </c>
      <c r="BC1800" s="74">
        <v>-128</v>
      </c>
      <c r="CA1800" s="106">
        <v>-128.88999999999999</v>
      </c>
      <c r="CM1800" s="74">
        <v>-66.900000000000006</v>
      </c>
      <c r="DE1800" s="74">
        <v>-70.28</v>
      </c>
      <c r="DU1800" s="106">
        <v>-162.9</v>
      </c>
    </row>
    <row r="1801" spans="1:229" x14ac:dyDescent="0.25">
      <c r="A1801" s="127">
        <v>44788</v>
      </c>
      <c r="B1801" s="24" t="s">
        <v>133</v>
      </c>
      <c r="C1801" s="21">
        <f t="shared" si="32"/>
        <v>-202.72</v>
      </c>
      <c r="AN1801" s="74">
        <v>-32.25</v>
      </c>
      <c r="AR1801" s="74">
        <v>-35.54</v>
      </c>
      <c r="AW1801" s="74">
        <v>-33.130000000000003</v>
      </c>
      <c r="BC1801" s="74">
        <v>-31.9</v>
      </c>
      <c r="CA1801" s="106">
        <v>-34.25</v>
      </c>
      <c r="CM1801" s="74">
        <v>-35.65</v>
      </c>
    </row>
    <row r="1802" spans="1:229" x14ac:dyDescent="0.25">
      <c r="A1802" s="127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27">
        <v>44789</v>
      </c>
      <c r="B1803" s="24" t="s">
        <v>147</v>
      </c>
      <c r="C1803" s="21">
        <f t="shared" si="32"/>
        <v>-16.52</v>
      </c>
      <c r="CA1803" s="106">
        <v>-8.15</v>
      </c>
      <c r="CR1803" s="69">
        <v>-8.3699999999999992</v>
      </c>
    </row>
    <row r="1804" spans="1:229" x14ac:dyDescent="0.25">
      <c r="A1804" s="127">
        <v>44789</v>
      </c>
      <c r="B1804" s="24" t="s">
        <v>150</v>
      </c>
      <c r="C1804" s="21">
        <f t="shared" si="32"/>
        <v>-32.1</v>
      </c>
      <c r="AW1804" s="74">
        <v>-8.16</v>
      </c>
      <c r="BI1804" s="106">
        <v>-8.65</v>
      </c>
      <c r="BO1804" s="74">
        <v>-7</v>
      </c>
      <c r="CA1804" s="106">
        <v>-8.2899999999999991</v>
      </c>
    </row>
    <row r="1805" spans="1:229" x14ac:dyDescent="0.25">
      <c r="A1805" s="127">
        <v>44789</v>
      </c>
      <c r="B1805" s="24" t="s">
        <v>139</v>
      </c>
      <c r="C1805" s="21">
        <f t="shared" si="32"/>
        <v>-33.655000000000001</v>
      </c>
      <c r="AW1805" s="74">
        <v>-8.2899999999999991</v>
      </c>
      <c r="CA1805" s="106">
        <v>-8.4499999999999993</v>
      </c>
      <c r="CG1805" s="106">
        <v>-8.15</v>
      </c>
      <c r="CR1805" s="69">
        <v>-8.7650000000000006</v>
      </c>
    </row>
    <row r="1806" spans="1:229" x14ac:dyDescent="0.25">
      <c r="A1806" s="127">
        <v>44789</v>
      </c>
      <c r="B1806" s="24" t="s">
        <v>127</v>
      </c>
      <c r="C1806" s="21">
        <f t="shared" si="32"/>
        <v>-17.04</v>
      </c>
      <c r="BI1806" s="106">
        <v>-8.65</v>
      </c>
      <c r="BR1806" s="115">
        <v>-8.39</v>
      </c>
    </row>
    <row r="1807" spans="1:229" x14ac:dyDescent="0.25">
      <c r="A1807" s="127">
        <v>44789</v>
      </c>
      <c r="B1807" s="24" t="s">
        <v>75</v>
      </c>
      <c r="C1807" s="21">
        <f t="shared" si="32"/>
        <v>-8.0500000000000007</v>
      </c>
      <c r="BC1807" s="74">
        <v>-8.0500000000000007</v>
      </c>
    </row>
    <row r="1808" spans="1:229" x14ac:dyDescent="0.25">
      <c r="A1808" s="127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27">
        <v>44789</v>
      </c>
      <c r="B1809" s="24" t="s">
        <v>26</v>
      </c>
      <c r="C1809" s="21">
        <f t="shared" si="32"/>
        <v>-33.704999999999998</v>
      </c>
      <c r="BC1809" s="74">
        <v>-8</v>
      </c>
      <c r="CA1809" s="106">
        <v>-8.1300000000000008</v>
      </c>
      <c r="CR1809" s="69">
        <v>-8.4849999999999994</v>
      </c>
      <c r="DE1809" s="74">
        <v>-9.09</v>
      </c>
    </row>
    <row r="1810" spans="1:226" x14ac:dyDescent="0.25">
      <c r="A1810" s="127">
        <v>44789</v>
      </c>
      <c r="B1810" s="24" t="s">
        <v>20</v>
      </c>
      <c r="C1810" s="21">
        <f t="shared" si="32"/>
        <v>-9.33</v>
      </c>
      <c r="BR1810" s="115">
        <v>-9.33</v>
      </c>
    </row>
    <row r="1811" spans="1:226" x14ac:dyDescent="0.25">
      <c r="A1811" s="127">
        <v>44789</v>
      </c>
      <c r="B1811" s="24" t="s">
        <v>147</v>
      </c>
      <c r="C1811" s="21">
        <f t="shared" si="32"/>
        <v>-16.52</v>
      </c>
      <c r="CA1811" s="106">
        <v>-8.15</v>
      </c>
      <c r="CR1811" s="69">
        <v>-8.3699999999999992</v>
      </c>
    </row>
    <row r="1812" spans="1:226" x14ac:dyDescent="0.25">
      <c r="A1812" s="127">
        <v>44789</v>
      </c>
      <c r="B1812" s="24" t="s">
        <v>65</v>
      </c>
      <c r="C1812" s="21">
        <f t="shared" si="32"/>
        <v>-8.14</v>
      </c>
      <c r="AW1812" s="74">
        <v>-8.14</v>
      </c>
    </row>
    <row r="1813" spans="1:226" x14ac:dyDescent="0.25">
      <c r="A1813" s="127">
        <v>44789</v>
      </c>
      <c r="B1813" s="24" t="s">
        <v>2</v>
      </c>
      <c r="C1813" s="21">
        <f t="shared" si="32"/>
        <v>0</v>
      </c>
    </row>
    <row r="1814" spans="1:226" x14ac:dyDescent="0.25">
      <c r="A1814" s="127">
        <v>44790</v>
      </c>
      <c r="B1814" s="24" t="s">
        <v>113</v>
      </c>
      <c r="C1814" s="21">
        <f t="shared" si="32"/>
        <v>3814.23</v>
      </c>
      <c r="BO1814" s="74">
        <v>716.1</v>
      </c>
      <c r="BU1814" s="106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27">
        <v>44790</v>
      </c>
      <c r="B1815" s="24" t="s">
        <v>113</v>
      </c>
      <c r="C1815" s="21">
        <f t="shared" si="32"/>
        <v>3286.66</v>
      </c>
      <c r="BC1815" s="74">
        <v>338.25</v>
      </c>
      <c r="BI1815" s="106">
        <v>337.26</v>
      </c>
      <c r="BO1815" s="74">
        <v>345.8</v>
      </c>
      <c r="BU1815" s="106">
        <v>351.88</v>
      </c>
      <c r="CM1815" s="74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27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27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27">
        <v>44790</v>
      </c>
      <c r="B1818" s="24" t="s">
        <v>78</v>
      </c>
      <c r="C1818" s="21">
        <f t="shared" si="32"/>
        <v>-67.52</v>
      </c>
      <c r="CM1818" s="74">
        <v>-32.5</v>
      </c>
      <c r="DP1818" s="74">
        <v>-17.920000000000002</v>
      </c>
      <c r="DU1818" s="106">
        <v>-17.100000000000001</v>
      </c>
    </row>
    <row r="1819" spans="1:226" x14ac:dyDescent="0.25">
      <c r="A1819" s="127">
        <v>44790</v>
      </c>
      <c r="B1819" s="24" t="s">
        <v>89</v>
      </c>
      <c r="C1819" s="21">
        <f t="shared" si="32"/>
        <v>-365.62</v>
      </c>
      <c r="BC1819" s="74">
        <v>-34.5</v>
      </c>
      <c r="BI1819" s="106">
        <v>-32.159999999999997</v>
      </c>
      <c r="BO1819" s="74">
        <v>-33.1</v>
      </c>
      <c r="BU1819" s="106">
        <v>-100.08</v>
      </c>
      <c r="CA1819" s="106">
        <v>-32.619999999999997</v>
      </c>
      <c r="CM1819" s="74">
        <v>-30.5</v>
      </c>
      <c r="EA1819" s="74">
        <v>-102.66</v>
      </c>
    </row>
    <row r="1820" spans="1:226" x14ac:dyDescent="0.25">
      <c r="A1820" s="127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74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27">
        <v>44790</v>
      </c>
      <c r="B1821" s="24" t="s">
        <v>95</v>
      </c>
      <c r="C1821" s="21">
        <f t="shared" si="32"/>
        <v>-205.86</v>
      </c>
      <c r="CY1821" s="74">
        <v>-205.86</v>
      </c>
    </row>
    <row r="1822" spans="1:226" x14ac:dyDescent="0.25">
      <c r="A1822" s="127">
        <v>44790</v>
      </c>
      <c r="B1822" s="24" t="s">
        <v>15</v>
      </c>
      <c r="C1822" s="21">
        <f t="shared" si="32"/>
        <v>-331.5</v>
      </c>
      <c r="CM1822" s="74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27">
        <v>44790</v>
      </c>
      <c r="B1823" s="24" t="s">
        <v>17</v>
      </c>
      <c r="C1823" s="21">
        <f t="shared" si="32"/>
        <v>-299.86</v>
      </c>
      <c r="BO1823" s="74">
        <v>-97.9</v>
      </c>
      <c r="BU1823" s="106">
        <v>-102.34</v>
      </c>
      <c r="CA1823" s="106">
        <v>-65.92</v>
      </c>
      <c r="CM1823" s="74">
        <v>-33.700000000000003</v>
      </c>
    </row>
    <row r="1824" spans="1:226" x14ac:dyDescent="0.25">
      <c r="A1824" s="127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27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27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74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27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74">
        <v>-8.91</v>
      </c>
      <c r="BC1827" s="74">
        <v>-15.9</v>
      </c>
      <c r="BI1827" s="106">
        <v>-16.02</v>
      </c>
      <c r="BO1827" s="74">
        <v>-8.3000000000000007</v>
      </c>
      <c r="BU1827" s="106">
        <v>-8.4700000000000006</v>
      </c>
      <c r="CA1827" s="106">
        <v>-16.46</v>
      </c>
      <c r="CM1827" s="74">
        <v>-16.3</v>
      </c>
      <c r="CS1827" s="74">
        <v>-15.78</v>
      </c>
    </row>
    <row r="1828" spans="1:226" x14ac:dyDescent="0.25">
      <c r="A1828" s="127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27">
        <v>44791</v>
      </c>
      <c r="B1829" s="24" t="s">
        <v>17</v>
      </c>
      <c r="C1829" s="21">
        <f t="shared" si="32"/>
        <v>-396.59</v>
      </c>
      <c r="BI1829" s="106">
        <v>-67.23</v>
      </c>
      <c r="BO1829" s="74">
        <v>-69.959999999999994</v>
      </c>
      <c r="BU1829" s="106">
        <v>-64.94</v>
      </c>
      <c r="CA1829" s="106">
        <v>-66.28</v>
      </c>
      <c r="CM1829" s="74">
        <v>-64.3</v>
      </c>
      <c r="CS1829" s="74">
        <v>-63.88</v>
      </c>
    </row>
    <row r="1830" spans="1:226" x14ac:dyDescent="0.25">
      <c r="A1830" s="127">
        <v>44791</v>
      </c>
      <c r="B1830" s="24" t="s">
        <v>15</v>
      </c>
      <c r="C1830" s="21">
        <f t="shared" si="32"/>
        <v>-160.30000000000001</v>
      </c>
      <c r="CM1830" s="74">
        <v>-69.5</v>
      </c>
      <c r="CS1830" s="74">
        <v>-56.78</v>
      </c>
      <c r="CY1830" s="74">
        <v>-34.020000000000003</v>
      </c>
    </row>
    <row r="1831" spans="1:226" x14ac:dyDescent="0.25">
      <c r="A1831" s="127">
        <v>44791</v>
      </c>
      <c r="B1831" s="24" t="s">
        <v>18</v>
      </c>
      <c r="C1831" s="21">
        <f t="shared" si="32"/>
        <v>-703.36</v>
      </c>
      <c r="BC1831" s="74">
        <v>-101.46</v>
      </c>
      <c r="BI1831" s="106">
        <v>-61.1</v>
      </c>
      <c r="BO1831" s="74">
        <v>-166.63</v>
      </c>
      <c r="BU1831" s="106">
        <v>-70.05</v>
      </c>
      <c r="CA1831" s="106">
        <v>-98.2</v>
      </c>
      <c r="CM1831" s="74">
        <v>-66.8</v>
      </c>
      <c r="CY1831" s="74">
        <v>-68.7</v>
      </c>
      <c r="DE1831" s="74">
        <v>-70.42</v>
      </c>
    </row>
    <row r="1832" spans="1:226" x14ac:dyDescent="0.25">
      <c r="A1832" s="127">
        <v>44791</v>
      </c>
      <c r="B1832" s="24" t="s">
        <v>29</v>
      </c>
      <c r="C1832" s="21">
        <f t="shared" si="32"/>
        <v>-16.5</v>
      </c>
      <c r="BI1832" s="106">
        <v>-8.65</v>
      </c>
      <c r="BO1832" s="74">
        <v>-7.85</v>
      </c>
    </row>
    <row r="1833" spans="1:226" x14ac:dyDescent="0.25">
      <c r="A1833" s="127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74">
        <v>-17.73</v>
      </c>
      <c r="BC1833" s="74">
        <v>-33.520000000000003</v>
      </c>
      <c r="BO1833" s="74">
        <v>-35.24</v>
      </c>
      <c r="BU1833" s="106">
        <v>-33.659999999999997</v>
      </c>
    </row>
    <row r="1834" spans="1:226" x14ac:dyDescent="0.25">
      <c r="A1834" s="127">
        <v>44791</v>
      </c>
      <c r="B1834" s="24" t="s">
        <v>18</v>
      </c>
      <c r="C1834" s="21">
        <f t="shared" si="32"/>
        <v>-171.32</v>
      </c>
      <c r="BI1834" s="106">
        <v>-31.8</v>
      </c>
      <c r="BO1834" s="74">
        <v>-70.52</v>
      </c>
      <c r="BU1834" s="106">
        <v>-69</v>
      </c>
    </row>
    <row r="1835" spans="1:226" x14ac:dyDescent="0.25">
      <c r="A1835" s="127">
        <v>44791</v>
      </c>
      <c r="B1835" s="24" t="s">
        <v>59</v>
      </c>
      <c r="C1835" s="21">
        <f t="shared" si="32"/>
        <v>-13.35</v>
      </c>
      <c r="CM1835" s="74">
        <v>-7.8</v>
      </c>
      <c r="CR1835" s="69">
        <v>-5.55</v>
      </c>
    </row>
    <row r="1836" spans="1:226" x14ac:dyDescent="0.25">
      <c r="A1836" s="127">
        <v>44792</v>
      </c>
      <c r="B1836" s="24" t="s">
        <v>68</v>
      </c>
      <c r="C1836" s="21">
        <f t="shared" si="32"/>
        <v>-135.38999999999999</v>
      </c>
      <c r="AN1836" s="74">
        <v>-34.54</v>
      </c>
      <c r="AQ1836" s="69">
        <v>-8.51</v>
      </c>
      <c r="AR1836" s="74">
        <f>-8.81-8.93-8.9</f>
        <v>-26.64</v>
      </c>
      <c r="BC1836" s="74">
        <v>-33.9</v>
      </c>
      <c r="BI1836" s="106">
        <v>-31.8</v>
      </c>
    </row>
    <row r="1837" spans="1:226" x14ac:dyDescent="0.25">
      <c r="A1837" s="127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27">
        <v>44792</v>
      </c>
      <c r="B1838" s="24" t="s">
        <v>15</v>
      </c>
      <c r="C1838" s="21">
        <f t="shared" si="32"/>
        <v>-16.350000000000001</v>
      </c>
      <c r="CM1838" s="74">
        <v>-16.350000000000001</v>
      </c>
    </row>
    <row r="1839" spans="1:226" x14ac:dyDescent="0.25">
      <c r="A1839" s="127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27">
        <v>44792</v>
      </c>
      <c r="B1840" s="24" t="s">
        <v>20</v>
      </c>
      <c r="C1840" s="21">
        <f t="shared" si="32"/>
        <v>-74.19</v>
      </c>
      <c r="BC1840" s="74">
        <v>-8</v>
      </c>
      <c r="BH1840" s="69">
        <v>-7</v>
      </c>
      <c r="BO1840" s="74">
        <v>-9.19</v>
      </c>
      <c r="BU1840" s="106">
        <v>-8.59</v>
      </c>
      <c r="CA1840" s="106">
        <v>-8.74</v>
      </c>
      <c r="CG1840" s="106">
        <v>-8.15</v>
      </c>
      <c r="CM1840" s="74">
        <v>-7.95</v>
      </c>
      <c r="GZ1840" s="106">
        <v>-16.57</v>
      </c>
    </row>
    <row r="1841" spans="1:178" x14ac:dyDescent="0.25">
      <c r="A1841" s="127">
        <v>44792</v>
      </c>
      <c r="B1841" s="24" t="s">
        <v>25</v>
      </c>
      <c r="C1841" s="21">
        <f t="shared" ref="C1841:C1904" si="33">SUM(D1841:JT1841)</f>
        <v>-33.590000000000003</v>
      </c>
      <c r="DB1841" s="115">
        <v>-24.7</v>
      </c>
      <c r="DE1841" s="74">
        <v>-8.89</v>
      </c>
    </row>
    <row r="1842" spans="1:178" x14ac:dyDescent="0.25">
      <c r="A1842" s="127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106">
        <v>361.5</v>
      </c>
      <c r="FV1842" s="106">
        <v>328.35</v>
      </c>
    </row>
    <row r="1843" spans="1:178" x14ac:dyDescent="0.25">
      <c r="A1843" s="127">
        <v>44793</v>
      </c>
      <c r="B1843" s="24" t="s">
        <v>150</v>
      </c>
      <c r="C1843" s="21">
        <f t="shared" si="33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27">
        <v>44793</v>
      </c>
      <c r="B1844" s="24" t="s">
        <v>32</v>
      </c>
      <c r="C1844" s="21">
        <f t="shared" si="33"/>
        <v>-483.01</v>
      </c>
      <c r="AE1844" s="42">
        <v>-16.7</v>
      </c>
      <c r="BC1844" s="74">
        <v>-67.45</v>
      </c>
      <c r="BI1844" s="106">
        <v>-66.34</v>
      </c>
      <c r="BO1844" s="74">
        <v>-66.739999999999995</v>
      </c>
      <c r="BU1844" s="106">
        <v>-68.95</v>
      </c>
      <c r="CA1844" s="106">
        <v>-33.56</v>
      </c>
      <c r="CG1844" s="106">
        <v>-32.25</v>
      </c>
      <c r="CM1844" s="74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27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74">
        <v>-33.479999999999997</v>
      </c>
      <c r="BO1845" s="74">
        <v>-103.44</v>
      </c>
      <c r="BU1845" s="106">
        <v>-207.7</v>
      </c>
      <c r="CG1845" s="106">
        <v>-130.15</v>
      </c>
      <c r="CM1845" s="74">
        <v>-33.450000000000003</v>
      </c>
      <c r="DU1845" s="106">
        <v>-67.05</v>
      </c>
      <c r="EA1845" s="74">
        <v>-100.26</v>
      </c>
    </row>
    <row r="1846" spans="1:178" x14ac:dyDescent="0.25">
      <c r="A1846" s="127">
        <v>44795</v>
      </c>
      <c r="B1846" s="24" t="s">
        <v>15</v>
      </c>
      <c r="C1846" s="21">
        <f t="shared" si="33"/>
        <v>-100.12</v>
      </c>
      <c r="AC1846" s="74">
        <v>-31.85</v>
      </c>
      <c r="AW1846" s="74">
        <v>-33.39</v>
      </c>
      <c r="BO1846" s="74">
        <v>-34.880000000000003</v>
      </c>
    </row>
    <row r="1847" spans="1:178" x14ac:dyDescent="0.25">
      <c r="A1847" s="127">
        <v>44795</v>
      </c>
      <c r="B1847" s="29" t="s">
        <v>18</v>
      </c>
      <c r="C1847" s="21">
        <f t="shared" si="33"/>
        <v>5</v>
      </c>
      <c r="CY1847" s="74">
        <v>2</v>
      </c>
      <c r="DE1847" s="74">
        <v>3</v>
      </c>
    </row>
    <row r="1848" spans="1:178" x14ac:dyDescent="0.25">
      <c r="A1848" s="127">
        <v>44795</v>
      </c>
      <c r="B1848" s="24" t="s">
        <v>133</v>
      </c>
      <c r="C1848" s="21">
        <f t="shared" si="33"/>
        <v>-124.13</v>
      </c>
      <c r="BO1848" s="74">
        <v>-34.880000000000003</v>
      </c>
      <c r="BU1848" s="106">
        <v>-34.6</v>
      </c>
      <c r="CA1848" s="106">
        <v>-25.09</v>
      </c>
      <c r="CS1848" s="74">
        <v>-29.56</v>
      </c>
    </row>
    <row r="1849" spans="1:178" x14ac:dyDescent="0.25">
      <c r="A1849" s="127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27">
        <v>44795</v>
      </c>
      <c r="B1850" s="24" t="s">
        <v>59</v>
      </c>
      <c r="C1850" s="21">
        <f t="shared" si="33"/>
        <v>-9.52</v>
      </c>
      <c r="Z1850" s="79">
        <v>-1.31</v>
      </c>
      <c r="CG1850" s="106">
        <v>-8.2100000000000009</v>
      </c>
    </row>
    <row r="1851" spans="1:178" x14ac:dyDescent="0.25">
      <c r="A1851" s="127">
        <v>44796</v>
      </c>
      <c r="B1851" s="24" t="s">
        <v>20</v>
      </c>
      <c r="C1851" s="21">
        <f t="shared" si="33"/>
        <v>-16.489999999999998</v>
      </c>
      <c r="CA1851" s="106">
        <v>-8.19</v>
      </c>
      <c r="CG1851" s="106">
        <v>-8.3000000000000007</v>
      </c>
    </row>
    <row r="1852" spans="1:178" x14ac:dyDescent="0.25">
      <c r="A1852" s="127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74">
        <v>-16.920000000000002</v>
      </c>
      <c r="BI1852" s="106">
        <v>-8.51</v>
      </c>
      <c r="BO1852" s="74">
        <v>-8.85</v>
      </c>
    </row>
    <row r="1853" spans="1:178" x14ac:dyDescent="0.25">
      <c r="A1853" s="127">
        <v>44796</v>
      </c>
      <c r="B1853" s="24" t="s">
        <v>134</v>
      </c>
      <c r="C1853" s="21">
        <f t="shared" si="33"/>
        <v>-21.42</v>
      </c>
      <c r="E1853" s="145">
        <v>-21.42</v>
      </c>
    </row>
    <row r="1854" spans="1:178" x14ac:dyDescent="0.25">
      <c r="A1854" s="127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27">
        <v>44796</v>
      </c>
      <c r="B1855" s="24" t="s">
        <v>75</v>
      </c>
      <c r="C1855" s="21">
        <f t="shared" si="33"/>
        <v>-41.52</v>
      </c>
      <c r="BI1855" s="106">
        <v>-7.77</v>
      </c>
      <c r="BO1855" s="74">
        <v>-8.67</v>
      </c>
      <c r="BU1855" s="106">
        <v>-8.35</v>
      </c>
      <c r="CR1855" s="69">
        <v>-8.44</v>
      </c>
      <c r="CW1855" s="42">
        <v>-8.2899999999999991</v>
      </c>
    </row>
    <row r="1856" spans="1:178" x14ac:dyDescent="0.25">
      <c r="A1856" s="127">
        <v>44796</v>
      </c>
      <c r="B1856" s="24" t="s">
        <v>139</v>
      </c>
      <c r="C1856" s="21">
        <f t="shared" si="33"/>
        <v>-42.77</v>
      </c>
      <c r="BO1856" s="74">
        <v>-9.0500000000000007</v>
      </c>
      <c r="BU1856" s="106">
        <v>-8.65</v>
      </c>
      <c r="CA1856" s="106">
        <v>-8.17</v>
      </c>
      <c r="CG1856" s="106">
        <v>-8.25</v>
      </c>
      <c r="CM1856" s="74">
        <v>-8.65</v>
      </c>
    </row>
    <row r="1857" spans="1:199" x14ac:dyDescent="0.25">
      <c r="A1857" s="127">
        <v>44796</v>
      </c>
      <c r="B1857" s="24" t="s">
        <v>50</v>
      </c>
      <c r="C1857" s="21">
        <f t="shared" si="33"/>
        <v>0</v>
      </c>
    </row>
    <row r="1858" spans="1:199" x14ac:dyDescent="0.25">
      <c r="A1858" s="127">
        <v>44796</v>
      </c>
      <c r="B1858" s="24" t="s">
        <v>95</v>
      </c>
      <c r="C1858" s="21">
        <f t="shared" si="33"/>
        <v>-299.73</v>
      </c>
      <c r="BC1858" s="74">
        <v>-28.85</v>
      </c>
      <c r="BO1858" s="74">
        <v>-35.299999999999997</v>
      </c>
      <c r="BU1858" s="106">
        <v>-34.6</v>
      </c>
      <c r="CA1858" s="106">
        <v>-33.520000000000003</v>
      </c>
      <c r="CM1858" s="74">
        <v>-33.299999999999997</v>
      </c>
      <c r="DE1858" s="74">
        <v>-68.680000000000007</v>
      </c>
      <c r="DK1858" s="74">
        <v>-65.48</v>
      </c>
    </row>
    <row r="1859" spans="1:199" x14ac:dyDescent="0.25">
      <c r="A1859" s="127">
        <v>44796</v>
      </c>
      <c r="B1859" s="24" t="s">
        <v>147</v>
      </c>
      <c r="C1859" s="21">
        <f t="shared" si="33"/>
        <v>-25.94</v>
      </c>
      <c r="BC1859" s="74">
        <v>-8.5299999999999994</v>
      </c>
      <c r="BI1859" s="106">
        <v>-8.64</v>
      </c>
      <c r="BO1859" s="74">
        <v>-8.77</v>
      </c>
    </row>
    <row r="1860" spans="1:199" x14ac:dyDescent="0.25">
      <c r="A1860" s="127">
        <v>44796</v>
      </c>
      <c r="B1860" s="24" t="s">
        <v>151</v>
      </c>
      <c r="C1860" s="21">
        <f t="shared" si="33"/>
        <v>-59.93</v>
      </c>
      <c r="DK1860" s="74">
        <v>-59.93</v>
      </c>
    </row>
    <row r="1861" spans="1:199" x14ac:dyDescent="0.25">
      <c r="A1861" s="127">
        <v>44797</v>
      </c>
      <c r="B1861" s="24" t="s">
        <v>44</v>
      </c>
      <c r="C1861" s="21">
        <f t="shared" si="33"/>
        <v>-156.69999999999999</v>
      </c>
      <c r="GJ1861" s="202">
        <v>-30.8</v>
      </c>
      <c r="GP1861" s="42">
        <v>-113.3</v>
      </c>
      <c r="GQ1861" s="92">
        <v>-12.6</v>
      </c>
    </row>
    <row r="1862" spans="1:199" x14ac:dyDescent="0.25">
      <c r="A1862" s="127">
        <v>44797</v>
      </c>
      <c r="B1862" s="24" t="s">
        <v>95</v>
      </c>
      <c r="C1862" s="21">
        <f t="shared" si="33"/>
        <v>-169.45</v>
      </c>
      <c r="CG1862" s="106">
        <v>-33.15</v>
      </c>
      <c r="DU1862" s="106">
        <v>-136.30000000000001</v>
      </c>
    </row>
    <row r="1863" spans="1:199" x14ac:dyDescent="0.25">
      <c r="A1863" s="127">
        <v>44797</v>
      </c>
      <c r="B1863" s="24" t="s">
        <v>12</v>
      </c>
      <c r="C1863" s="21">
        <f t="shared" si="33"/>
        <v>-132.32</v>
      </c>
      <c r="O1863" s="375">
        <v>-8.49</v>
      </c>
      <c r="CA1863" s="106">
        <v>-8.11</v>
      </c>
      <c r="CG1863" s="106">
        <v>-32.700000000000003</v>
      </c>
      <c r="CN1863" s="121">
        <v>-16.78</v>
      </c>
      <c r="CY1863" s="74">
        <v>-49.4</v>
      </c>
      <c r="DE1863" s="74">
        <v>-16.84</v>
      </c>
    </row>
    <row r="1864" spans="1:199" x14ac:dyDescent="0.25">
      <c r="A1864" s="127">
        <v>44797</v>
      </c>
      <c r="B1864" s="24" t="s">
        <v>20</v>
      </c>
      <c r="C1864" s="21">
        <f t="shared" si="33"/>
        <v>-25.96</v>
      </c>
      <c r="BO1864" s="74">
        <v>-8.81</v>
      </c>
      <c r="BU1864" s="106">
        <v>-8.6999999999999993</v>
      </c>
      <c r="CS1864" s="74">
        <v>-8.4499999999999993</v>
      </c>
    </row>
    <row r="1865" spans="1:199" x14ac:dyDescent="0.25">
      <c r="A1865" s="127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6">
        <v>-8.25</v>
      </c>
    </row>
    <row r="1866" spans="1:199" x14ac:dyDescent="0.25">
      <c r="A1866" s="127">
        <v>44797</v>
      </c>
      <c r="B1866" s="24" t="s">
        <v>33</v>
      </c>
      <c r="C1866" s="21">
        <f t="shared" si="33"/>
        <v>-33.78</v>
      </c>
      <c r="AN1866" s="74">
        <v>-8.4</v>
      </c>
      <c r="BI1866" s="106">
        <v>-16.54</v>
      </c>
      <c r="CC1866" s="126">
        <v>-8.84</v>
      </c>
    </row>
    <row r="1867" spans="1:199" x14ac:dyDescent="0.25">
      <c r="A1867" s="127">
        <v>44797</v>
      </c>
      <c r="B1867" s="24" t="s">
        <v>139</v>
      </c>
      <c r="C1867" s="21">
        <f t="shared" si="33"/>
        <v>-25.16</v>
      </c>
      <c r="CC1867" s="126">
        <v>-8.2100000000000009</v>
      </c>
      <c r="CG1867" s="106">
        <v>-8.25</v>
      </c>
      <c r="CM1867" s="74">
        <v>-8.6999999999999993</v>
      </c>
    </row>
    <row r="1868" spans="1:199" x14ac:dyDescent="0.25">
      <c r="A1868" s="127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27">
        <v>44797</v>
      </c>
      <c r="B1869" s="24" t="s">
        <v>59</v>
      </c>
      <c r="C1869" s="21">
        <f t="shared" si="33"/>
        <v>-5.34</v>
      </c>
      <c r="BU1869" s="106">
        <v>-2.1800000000000002</v>
      </c>
      <c r="CA1869" s="106">
        <v>-3.16</v>
      </c>
    </row>
    <row r="1870" spans="1:199" x14ac:dyDescent="0.25">
      <c r="A1870" s="127">
        <v>44797</v>
      </c>
      <c r="B1870" s="24" t="s">
        <v>65</v>
      </c>
      <c r="C1870" s="21">
        <f t="shared" si="33"/>
        <v>0</v>
      </c>
    </row>
    <row r="1871" spans="1:199" x14ac:dyDescent="0.25">
      <c r="A1871" s="127">
        <v>44798</v>
      </c>
      <c r="B1871" s="24" t="s">
        <v>68</v>
      </c>
      <c r="C1871" s="21">
        <f t="shared" si="33"/>
        <v>-101.92</v>
      </c>
      <c r="BC1871" s="74">
        <v>-32.049999999999997</v>
      </c>
      <c r="BO1871" s="74">
        <v>-35.32</v>
      </c>
      <c r="BU1871" s="106">
        <v>-34.549999999999997</v>
      </c>
    </row>
    <row r="1872" spans="1:199" x14ac:dyDescent="0.25">
      <c r="A1872" s="127">
        <v>44798</v>
      </c>
      <c r="B1872" s="24" t="s">
        <v>152</v>
      </c>
      <c r="C1872" s="21">
        <f t="shared" si="33"/>
        <v>-880.89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74">
        <v>-105.78</v>
      </c>
      <c r="BU1872" s="106">
        <v>-69.05</v>
      </c>
      <c r="CG1872" s="106">
        <v>-66.900000000000006</v>
      </c>
      <c r="CM1872" s="74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27">
        <v>44798</v>
      </c>
      <c r="B1873" s="24" t="s">
        <v>138</v>
      </c>
      <c r="C1873" s="21">
        <f t="shared" si="33"/>
        <v>-31.87</v>
      </c>
      <c r="BD1873" s="121">
        <v>-6.88</v>
      </c>
      <c r="BI1873" s="106">
        <v>-8.2899999999999991</v>
      </c>
      <c r="BU1873" s="106">
        <v>-8.0500000000000007</v>
      </c>
      <c r="CM1873" s="74">
        <v>-8.65</v>
      </c>
    </row>
    <row r="1874" spans="1:226" x14ac:dyDescent="0.25">
      <c r="A1874" s="127">
        <v>44798</v>
      </c>
      <c r="B1874" s="24" t="s">
        <v>113</v>
      </c>
      <c r="C1874" s="21">
        <f t="shared" si="33"/>
        <v>1632.11</v>
      </c>
      <c r="BC1874" s="74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27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27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27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27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27">
        <v>44799</v>
      </c>
      <c r="B1879" s="24" t="s">
        <v>20</v>
      </c>
      <c r="C1879" s="21">
        <f t="shared" si="33"/>
        <v>-7.87</v>
      </c>
      <c r="BI1879" s="106">
        <v>-7.87</v>
      </c>
    </row>
    <row r="1880" spans="1:226" x14ac:dyDescent="0.25">
      <c r="A1880" s="127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27">
        <v>44799</v>
      </c>
      <c r="B1881" s="24" t="s">
        <v>59</v>
      </c>
      <c r="C1881" s="21">
        <f t="shared" si="33"/>
        <v>-1.78</v>
      </c>
      <c r="CG1881" s="106">
        <v>-1.78</v>
      </c>
    </row>
    <row r="1882" spans="1:226" x14ac:dyDescent="0.25">
      <c r="A1882" s="127">
        <v>44799</v>
      </c>
      <c r="B1882" s="24" t="s">
        <v>153</v>
      </c>
      <c r="C1882" s="21">
        <f t="shared" si="33"/>
        <v>0</v>
      </c>
    </row>
    <row r="1883" spans="1:226" x14ac:dyDescent="0.25">
      <c r="A1883" s="127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27">
        <v>44800</v>
      </c>
      <c r="B1884" s="24" t="s">
        <v>133</v>
      </c>
      <c r="C1884" s="21">
        <f t="shared" si="33"/>
        <v>-134.9</v>
      </c>
      <c r="AW1884" s="74">
        <v>-33.47</v>
      </c>
      <c r="BO1884" s="74">
        <v>-33.979999999999997</v>
      </c>
      <c r="CG1884" s="106">
        <v>-32.75</v>
      </c>
      <c r="DE1884" s="74">
        <v>-34.700000000000003</v>
      </c>
    </row>
    <row r="1885" spans="1:226" x14ac:dyDescent="0.25">
      <c r="A1885" s="127">
        <v>44802</v>
      </c>
      <c r="B1885" s="24" t="s">
        <v>89</v>
      </c>
      <c r="C1885" s="21">
        <f t="shared" si="33"/>
        <v>-201.65</v>
      </c>
      <c r="BU1885" s="106">
        <v>-64.400000000000006</v>
      </c>
      <c r="EA1885" s="74">
        <v>-53.04</v>
      </c>
      <c r="EC1885" s="126">
        <v>-16.559999999999999</v>
      </c>
      <c r="EG1885" s="74">
        <v>-67.650000000000006</v>
      </c>
    </row>
    <row r="1886" spans="1:226" x14ac:dyDescent="0.25">
      <c r="A1886" s="127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27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27">
        <v>44802</v>
      </c>
      <c r="B1888" s="24" t="s">
        <v>115</v>
      </c>
      <c r="C1888" s="21">
        <f t="shared" si="33"/>
        <v>0</v>
      </c>
    </row>
    <row r="1889" spans="1:220" x14ac:dyDescent="0.25">
      <c r="A1889" s="127">
        <v>44802</v>
      </c>
      <c r="B1889" s="24" t="s">
        <v>53</v>
      </c>
      <c r="C1889" s="21">
        <f t="shared" si="33"/>
        <v>-497.83</v>
      </c>
      <c r="EL1889" s="106">
        <v>-134.6</v>
      </c>
      <c r="ET1889" s="106">
        <f>-183.57-179.66</f>
        <v>-363.23</v>
      </c>
    </row>
    <row r="1890" spans="1:220" x14ac:dyDescent="0.25">
      <c r="A1890" s="127">
        <v>44803</v>
      </c>
      <c r="B1890" s="24" t="s">
        <v>136</v>
      </c>
      <c r="C1890" s="21">
        <f t="shared" si="33"/>
        <v>-33.75</v>
      </c>
      <c r="BO1890" s="74">
        <v>-8.89</v>
      </c>
      <c r="BU1890" s="106">
        <v>-8.0500000000000007</v>
      </c>
      <c r="CC1890" s="126">
        <v>-8.61</v>
      </c>
      <c r="CG1890" s="106">
        <v>-8.1999999999999993</v>
      </c>
    </row>
    <row r="1891" spans="1:220" x14ac:dyDescent="0.25">
      <c r="A1891" s="127">
        <v>44803</v>
      </c>
      <c r="B1891" s="24" t="s">
        <v>139</v>
      </c>
      <c r="C1891" s="21">
        <f t="shared" si="33"/>
        <v>-8.68</v>
      </c>
      <c r="O1891" s="375">
        <v>-8.68</v>
      </c>
    </row>
    <row r="1892" spans="1:220" x14ac:dyDescent="0.25">
      <c r="A1892" s="127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27">
        <v>44803</v>
      </c>
      <c r="B1893" s="24" t="s">
        <v>58</v>
      </c>
      <c r="C1893" s="21">
        <f t="shared" si="33"/>
        <v>0</v>
      </c>
    </row>
    <row r="1894" spans="1:220" x14ac:dyDescent="0.25">
      <c r="A1894" s="127">
        <v>44803</v>
      </c>
      <c r="B1894" s="24" t="s">
        <v>75</v>
      </c>
      <c r="C1894" s="21">
        <f t="shared" si="33"/>
        <v>-22.45</v>
      </c>
      <c r="AV1894" s="69">
        <v>-7.12</v>
      </c>
      <c r="CN1894" s="121">
        <v>-7.96</v>
      </c>
      <c r="CS1894" s="74">
        <v>-7.37</v>
      </c>
    </row>
    <row r="1895" spans="1:220" x14ac:dyDescent="0.25">
      <c r="A1895" s="127">
        <v>44803</v>
      </c>
      <c r="B1895" s="24" t="s">
        <v>138</v>
      </c>
      <c r="C1895" s="21">
        <f t="shared" si="33"/>
        <v>-204.06</v>
      </c>
      <c r="AW1895" s="74">
        <v>-16.68</v>
      </c>
      <c r="BC1895" s="74">
        <v>-8.35</v>
      </c>
      <c r="BI1895" s="106">
        <v>-8.19</v>
      </c>
      <c r="BR1895" s="115">
        <v>-28.32</v>
      </c>
      <c r="BU1895" s="106">
        <v>-17.350000000000001</v>
      </c>
      <c r="CC1895" s="126">
        <v>-25.58</v>
      </c>
      <c r="CG1895" s="106">
        <v>-24.65</v>
      </c>
      <c r="CP1895" s="115">
        <v>-16.59</v>
      </c>
      <c r="CV1895" s="115">
        <v>-16.43</v>
      </c>
      <c r="DE1895" s="74">
        <v>-16.68</v>
      </c>
      <c r="DM1895" s="150">
        <v>-16.690000000000001</v>
      </c>
      <c r="DU1895" s="106">
        <v>-8.5500000000000007</v>
      </c>
    </row>
    <row r="1896" spans="1:220" x14ac:dyDescent="0.25">
      <c r="A1896" s="127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27">
        <v>44803</v>
      </c>
      <c r="B1897" s="24" t="s">
        <v>20</v>
      </c>
      <c r="C1897" s="21">
        <f t="shared" si="33"/>
        <v>-16.914999999999999</v>
      </c>
      <c r="CN1897" s="121">
        <v>-8.48</v>
      </c>
      <c r="CR1897" s="69">
        <v>-8.4350000000000005</v>
      </c>
    </row>
    <row r="1898" spans="1:220" x14ac:dyDescent="0.25">
      <c r="A1898" s="127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27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27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27">
        <v>44804</v>
      </c>
      <c r="B1901" s="24" t="s">
        <v>154</v>
      </c>
      <c r="C1901" s="21">
        <f t="shared" si="33"/>
        <v>-42.09</v>
      </c>
      <c r="BU1901" s="106">
        <v>-8.6999999999999993</v>
      </c>
      <c r="CC1901" s="126">
        <v>-8.75</v>
      </c>
      <c r="CG1901" s="106">
        <v>-8.3000000000000007</v>
      </c>
      <c r="CP1901" s="115">
        <v>-8.0299999999999994</v>
      </c>
      <c r="CV1901" s="115">
        <v>-8.31</v>
      </c>
    </row>
    <row r="1902" spans="1:220" x14ac:dyDescent="0.25">
      <c r="A1902" s="127">
        <v>44804</v>
      </c>
      <c r="B1902" s="24" t="s">
        <v>25</v>
      </c>
      <c r="C1902" s="21">
        <f t="shared" si="33"/>
        <v>-25.355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27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27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27">
        <v>44804</v>
      </c>
      <c r="B1905" s="24" t="s">
        <v>113</v>
      </c>
      <c r="C1905" s="21">
        <f t="shared" ref="C1905:C1968" si="34">SUM(D1905:JT1905)</f>
        <v>2714.9</v>
      </c>
      <c r="V1905" s="74">
        <v>209.2</v>
      </c>
      <c r="BO1905" s="74">
        <v>354.28</v>
      </c>
      <c r="BU1905" s="106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27">
        <v>44804</v>
      </c>
      <c r="B1906" s="24" t="s">
        <v>161</v>
      </c>
      <c r="C1906" s="21">
        <f t="shared" si="34"/>
        <v>-1.53</v>
      </c>
      <c r="Y1906" s="69">
        <v>-8.57</v>
      </c>
      <c r="Z1906" s="79">
        <v>7.04</v>
      </c>
    </row>
    <row r="1907" spans="1:214" x14ac:dyDescent="0.25">
      <c r="A1907" s="127">
        <v>44804</v>
      </c>
      <c r="B1907" s="24" t="s">
        <v>155</v>
      </c>
      <c r="C1907" s="21">
        <f t="shared" si="34"/>
        <v>6.41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106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27">
        <v>44804</v>
      </c>
      <c r="B1908" s="24" t="s">
        <v>152</v>
      </c>
      <c r="C1908" s="21">
        <f t="shared" si="34"/>
        <v>-496.82</v>
      </c>
      <c r="AC1908" s="74">
        <v>-31.55</v>
      </c>
      <c r="AW1908" s="74">
        <v>-66.900000000000006</v>
      </c>
      <c r="BO1908" s="74">
        <v>-67.94</v>
      </c>
      <c r="BU1908" s="106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27">
        <v>44804</v>
      </c>
      <c r="B1909" s="24" t="s">
        <v>133</v>
      </c>
      <c r="C1909" s="21">
        <f t="shared" si="34"/>
        <v>-192.95</v>
      </c>
      <c r="AW1909" s="74">
        <v>-33.24</v>
      </c>
      <c r="BO1909" s="74">
        <v>-34.299999999999997</v>
      </c>
      <c r="BU1909" s="106">
        <v>-34</v>
      </c>
      <c r="CG1909" s="106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27">
        <v>44804</v>
      </c>
      <c r="B1910" s="24" t="s">
        <v>15</v>
      </c>
      <c r="C1910" s="21">
        <f t="shared" si="34"/>
        <v>-207.42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27">
        <v>44804</v>
      </c>
      <c r="B1911" s="24" t="s">
        <v>152</v>
      </c>
      <c r="C1911" s="21">
        <f t="shared" si="34"/>
        <v>-304.11</v>
      </c>
      <c r="AW1911" s="74">
        <v>-66.55</v>
      </c>
      <c r="BU1911" s="106">
        <v>-70.790000000000006</v>
      </c>
      <c r="CS1911" s="74">
        <v>-64.22</v>
      </c>
      <c r="CY1911" s="74">
        <v>-102.55</v>
      </c>
    </row>
    <row r="1912" spans="1:214" x14ac:dyDescent="0.25">
      <c r="A1912" s="127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27">
        <v>44806</v>
      </c>
      <c r="B1913" s="24" t="s">
        <v>95</v>
      </c>
      <c r="C1913" s="21">
        <f t="shared" si="34"/>
        <v>-171.86500000000001</v>
      </c>
      <c r="O1913" s="375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27">
        <v>44806</v>
      </c>
      <c r="B1914" s="24" t="s">
        <v>20</v>
      </c>
      <c r="C1914" s="21">
        <f t="shared" si="34"/>
        <v>-49.8</v>
      </c>
      <c r="AW1914" s="74">
        <v>-7.41</v>
      </c>
      <c r="BC1914" s="74">
        <v>-8</v>
      </c>
      <c r="BH1914" s="69">
        <v>-8.5500000000000007</v>
      </c>
      <c r="BO1914" s="74">
        <v>-9.09</v>
      </c>
      <c r="BU1914" s="106">
        <v>-8.4499999999999993</v>
      </c>
      <c r="CG1914" s="106">
        <v>-8.3000000000000007</v>
      </c>
    </row>
    <row r="1915" spans="1:214" x14ac:dyDescent="0.25">
      <c r="A1915" s="127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27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74">
        <v>-33.18</v>
      </c>
      <c r="BO1916" s="74">
        <v>-33.32</v>
      </c>
      <c r="BU1916" s="106">
        <v>-35.54</v>
      </c>
      <c r="CS1916" s="74">
        <v>-31.46</v>
      </c>
    </row>
    <row r="1917" spans="1:214" x14ac:dyDescent="0.25">
      <c r="A1917" s="127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27">
        <v>44806</v>
      </c>
      <c r="B1918" s="24" t="s">
        <v>25</v>
      </c>
      <c r="C1918" s="21">
        <f t="shared" si="34"/>
        <v>-10.96</v>
      </c>
      <c r="O1918" s="375">
        <v>-2.12</v>
      </c>
      <c r="V1918" s="74">
        <v>-8.84</v>
      </c>
    </row>
    <row r="1919" spans="1:214" x14ac:dyDescent="0.25">
      <c r="A1919" s="127">
        <v>44807</v>
      </c>
      <c r="B1919" s="24" t="s">
        <v>65</v>
      </c>
      <c r="C1919" s="21">
        <f t="shared" si="34"/>
        <v>0</v>
      </c>
    </row>
    <row r="1920" spans="1:214" x14ac:dyDescent="0.25">
      <c r="A1920" s="127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27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27">
        <v>44809</v>
      </c>
      <c r="B1922" s="24" t="s">
        <v>89</v>
      </c>
      <c r="C1922" s="21">
        <f t="shared" si="34"/>
        <v>-264.72000000000003</v>
      </c>
      <c r="BO1922" s="74">
        <v>-67.66</v>
      </c>
      <c r="BU1922" s="106">
        <v>-68.97</v>
      </c>
      <c r="CS1922" s="74">
        <v>-32.44</v>
      </c>
      <c r="EA1922" s="74">
        <v>-95.65</v>
      </c>
    </row>
    <row r="1923" spans="1:227" x14ac:dyDescent="0.25">
      <c r="A1923" s="127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27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27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27">
        <v>44810</v>
      </c>
      <c r="B1926" s="24" t="s">
        <v>32</v>
      </c>
      <c r="C1926" s="21">
        <f t="shared" si="34"/>
        <v>-84.23</v>
      </c>
      <c r="Z1926" s="79">
        <v>-9.06</v>
      </c>
      <c r="BO1926" s="74">
        <v>-33.22</v>
      </c>
      <c r="BU1926" s="106">
        <v>-33.4</v>
      </c>
      <c r="CY1926" s="74">
        <v>-8.5500000000000007</v>
      </c>
    </row>
    <row r="1927" spans="1:227" x14ac:dyDescent="0.25">
      <c r="A1927" s="127">
        <v>44810</v>
      </c>
      <c r="B1927" s="24" t="s">
        <v>113</v>
      </c>
      <c r="C1927" s="21">
        <f t="shared" si="34"/>
        <v>1223.52</v>
      </c>
      <c r="AN1927" s="74">
        <v>487.1</v>
      </c>
      <c r="BC1927" s="74">
        <v>358.32</v>
      </c>
      <c r="CA1927" s="106">
        <v>378.1</v>
      </c>
    </row>
    <row r="1928" spans="1:227" x14ac:dyDescent="0.25">
      <c r="A1928" s="127">
        <v>44810</v>
      </c>
      <c r="B1928" s="24" t="s">
        <v>65</v>
      </c>
      <c r="C1928" s="21">
        <f t="shared" si="34"/>
        <v>0</v>
      </c>
    </row>
    <row r="1929" spans="1:227" x14ac:dyDescent="0.25">
      <c r="A1929" s="127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106">
        <v>-34.9</v>
      </c>
    </row>
    <row r="1930" spans="1:227" x14ac:dyDescent="0.25">
      <c r="A1930" s="127">
        <v>44810</v>
      </c>
      <c r="B1930" s="24" t="s">
        <v>59</v>
      </c>
      <c r="C1930" s="21">
        <f t="shared" si="34"/>
        <v>-7.52</v>
      </c>
      <c r="CP1930" s="115">
        <v>-3.64</v>
      </c>
      <c r="CY1930" s="74">
        <v>-3.88</v>
      </c>
    </row>
    <row r="1931" spans="1:227" x14ac:dyDescent="0.25">
      <c r="A1931" s="127">
        <v>44811</v>
      </c>
      <c r="B1931" s="24" t="s">
        <v>111</v>
      </c>
      <c r="C1931" s="21">
        <f t="shared" si="34"/>
        <v>-34.1</v>
      </c>
      <c r="CA1931" s="106">
        <v>-17.45</v>
      </c>
      <c r="CG1931" s="106">
        <v>-16.649999999999999</v>
      </c>
    </row>
    <row r="1932" spans="1:227" x14ac:dyDescent="0.25">
      <c r="A1932" s="127">
        <v>44811</v>
      </c>
      <c r="B1932" s="24" t="s">
        <v>75</v>
      </c>
      <c r="C1932" s="21">
        <f t="shared" si="34"/>
        <v>-17.72</v>
      </c>
      <c r="CS1932" s="74">
        <v>-9.17</v>
      </c>
      <c r="CY1932" s="74">
        <v>-8.5500000000000007</v>
      </c>
    </row>
    <row r="1933" spans="1:227" x14ac:dyDescent="0.25">
      <c r="A1933" s="127">
        <v>44811</v>
      </c>
      <c r="B1933" s="24" t="s">
        <v>95</v>
      </c>
      <c r="C1933" s="21">
        <f t="shared" si="34"/>
        <v>-479.85</v>
      </c>
      <c r="Z1933" s="79">
        <v>-35.89</v>
      </c>
      <c r="BO1933" s="74">
        <v>-34.64</v>
      </c>
      <c r="BU1933" s="106">
        <v>-29.5</v>
      </c>
      <c r="CA1933" s="106">
        <v>-209.1</v>
      </c>
      <c r="DK1933" s="74">
        <v>-68.28</v>
      </c>
      <c r="DP1933" s="74">
        <v>-102.44</v>
      </c>
    </row>
    <row r="1934" spans="1:227" x14ac:dyDescent="0.25">
      <c r="A1934" s="127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27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106">
        <v>-8.6999999999999993</v>
      </c>
      <c r="GV1935" s="42">
        <v>-37.6</v>
      </c>
    </row>
    <row r="1936" spans="1:227" x14ac:dyDescent="0.25">
      <c r="A1936" s="127">
        <v>44811</v>
      </c>
      <c r="B1936" s="24" t="s">
        <v>17</v>
      </c>
      <c r="C1936" s="21">
        <f t="shared" si="34"/>
        <v>-41.27</v>
      </c>
      <c r="BO1936" s="74">
        <v>-7.37</v>
      </c>
      <c r="BU1936" s="106">
        <v>-16.45</v>
      </c>
      <c r="CA1936" s="106">
        <v>-17.45</v>
      </c>
    </row>
    <row r="1937" spans="1:231" x14ac:dyDescent="0.25">
      <c r="A1937" s="127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106">
        <v>-2.4</v>
      </c>
    </row>
    <row r="1938" spans="1:231" x14ac:dyDescent="0.25">
      <c r="A1938" s="127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27">
        <v>44811</v>
      </c>
      <c r="B1939" s="24" t="s">
        <v>136</v>
      </c>
      <c r="C1939" s="21">
        <f t="shared" si="34"/>
        <v>-41.88</v>
      </c>
      <c r="AW1939" s="74">
        <v>-8.27</v>
      </c>
      <c r="BC1939" s="74">
        <v>-8.0500000000000007</v>
      </c>
      <c r="BO1939" s="74">
        <v>-8.51</v>
      </c>
      <c r="CA1939" s="106">
        <v>-8.6999999999999993</v>
      </c>
      <c r="CG1939" s="106">
        <v>-8.35</v>
      </c>
    </row>
    <row r="1940" spans="1:231" x14ac:dyDescent="0.25">
      <c r="A1940" s="127">
        <v>44811</v>
      </c>
      <c r="B1940" s="24" t="s">
        <v>127</v>
      </c>
      <c r="C1940" s="21">
        <f t="shared" si="34"/>
        <v>-15.38</v>
      </c>
      <c r="BC1940" s="74">
        <v>-7.33</v>
      </c>
      <c r="BU1940" s="106">
        <v>-8.0500000000000007</v>
      </c>
    </row>
    <row r="1941" spans="1:231" x14ac:dyDescent="0.25">
      <c r="A1941" s="127">
        <v>44811</v>
      </c>
      <c r="B1941" s="24" t="s">
        <v>110</v>
      </c>
      <c r="C1941" s="21">
        <f t="shared" si="34"/>
        <v>0</v>
      </c>
    </row>
    <row r="1942" spans="1:231" x14ac:dyDescent="0.25">
      <c r="A1942" s="127">
        <v>44811</v>
      </c>
      <c r="B1942" s="24" t="s">
        <v>137</v>
      </c>
      <c r="C1942" s="21">
        <f t="shared" si="34"/>
        <v>-42.05</v>
      </c>
      <c r="AE1942" s="42">
        <v>-8.44</v>
      </c>
      <c r="AW1942" s="74">
        <v>-8.3800000000000008</v>
      </c>
      <c r="BC1942" s="74">
        <v>-7.43</v>
      </c>
      <c r="BO1942" s="74">
        <v>-9.15</v>
      </c>
      <c r="CA1942" s="106">
        <v>-8.65</v>
      </c>
    </row>
    <row r="1943" spans="1:231" x14ac:dyDescent="0.25">
      <c r="A1943" s="127">
        <v>44811</v>
      </c>
      <c r="B1943" s="24" t="s">
        <v>113</v>
      </c>
      <c r="C1943" s="21">
        <f t="shared" si="34"/>
        <v>1212.22</v>
      </c>
      <c r="AR1943" s="74">
        <v>511.44</v>
      </c>
      <c r="CA1943" s="106">
        <v>350.86</v>
      </c>
      <c r="CS1943" s="74">
        <v>349.92</v>
      </c>
    </row>
    <row r="1944" spans="1:231" x14ac:dyDescent="0.25">
      <c r="A1944" s="127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27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27">
        <v>44812</v>
      </c>
      <c r="B1946" s="24" t="s">
        <v>133</v>
      </c>
      <c r="C1946" s="21">
        <f t="shared" si="34"/>
        <v>-275.73500000000001</v>
      </c>
      <c r="AR1946" s="74">
        <v>-50.87</v>
      </c>
      <c r="BC1946" s="74">
        <v>-57.96</v>
      </c>
      <c r="BO1946" s="74">
        <v>-34.700000000000003</v>
      </c>
      <c r="BT1946" s="69">
        <v>-33.905000000000001</v>
      </c>
      <c r="BU1946" s="106">
        <v>-31.42</v>
      </c>
      <c r="CA1946" s="106">
        <v>-34.020000000000003</v>
      </c>
      <c r="DP1946" s="74">
        <v>-16.96</v>
      </c>
      <c r="EA1946" s="74">
        <v>-15.9</v>
      </c>
    </row>
    <row r="1947" spans="1:231" x14ac:dyDescent="0.25">
      <c r="A1947" s="127">
        <v>44812</v>
      </c>
      <c r="B1947" s="24" t="s">
        <v>20</v>
      </c>
      <c r="C1947" s="21">
        <f t="shared" si="34"/>
        <v>-8.51</v>
      </c>
      <c r="AR1947" s="74">
        <v>-8.51</v>
      </c>
    </row>
    <row r="1948" spans="1:231" x14ac:dyDescent="0.25">
      <c r="A1948" s="127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27">
        <v>44812</v>
      </c>
      <c r="B1949" s="24" t="s">
        <v>68</v>
      </c>
      <c r="C1949" s="21">
        <f t="shared" si="34"/>
        <v>-61.71</v>
      </c>
      <c r="AZ1949" s="115">
        <v>-33.79</v>
      </c>
      <c r="BC1949" s="74">
        <v>-27.92</v>
      </c>
    </row>
    <row r="1950" spans="1:231" x14ac:dyDescent="0.25">
      <c r="A1950" s="127">
        <v>44812</v>
      </c>
      <c r="B1950" s="24" t="s">
        <v>15</v>
      </c>
      <c r="C1950" s="21">
        <f t="shared" si="34"/>
        <v>-265.92</v>
      </c>
      <c r="AR1950" s="74">
        <v>-68.12</v>
      </c>
      <c r="CA1950" s="106">
        <v>-33.64</v>
      </c>
      <c r="DE1950" s="74">
        <v>-98.42</v>
      </c>
      <c r="DK1950" s="74">
        <v>-65.739999999999995</v>
      </c>
    </row>
    <row r="1951" spans="1:231" x14ac:dyDescent="0.25">
      <c r="A1951" s="127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27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27">
        <v>44812</v>
      </c>
      <c r="B1953" s="24" t="s">
        <v>19</v>
      </c>
      <c r="C1953" s="21">
        <f t="shared" si="34"/>
        <v>0</v>
      </c>
    </row>
    <row r="1954" spans="1:240" x14ac:dyDescent="0.25">
      <c r="A1954" s="127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27">
        <v>44813</v>
      </c>
      <c r="B1955" s="24" t="s">
        <v>59</v>
      </c>
      <c r="C1955" s="21">
        <f t="shared" si="34"/>
        <v>-2.2000000000000002</v>
      </c>
      <c r="CP1955" s="115">
        <v>-2.2000000000000002</v>
      </c>
    </row>
    <row r="1956" spans="1:240" x14ac:dyDescent="0.25">
      <c r="A1956" s="127">
        <v>44813</v>
      </c>
      <c r="B1956" s="24" t="s">
        <v>89</v>
      </c>
      <c r="C1956" s="21">
        <f t="shared" si="34"/>
        <v>-398.04</v>
      </c>
      <c r="Z1956" s="79">
        <v>-35.67</v>
      </c>
      <c r="AR1956" s="74">
        <v>-102.59</v>
      </c>
      <c r="BC1956" s="74">
        <v>-57.8</v>
      </c>
      <c r="CA1956" s="106">
        <v>-66.819999999999993</v>
      </c>
      <c r="CG1956" s="106">
        <v>-67.48</v>
      </c>
      <c r="CS1956" s="74">
        <v>-67.680000000000007</v>
      </c>
    </row>
    <row r="1957" spans="1:240" x14ac:dyDescent="0.25">
      <c r="A1957" s="127">
        <v>44813</v>
      </c>
      <c r="B1957" s="24" t="s">
        <v>113</v>
      </c>
      <c r="C1957" s="21">
        <f t="shared" si="34"/>
        <v>1194.4000000000001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27">
        <v>44814</v>
      </c>
      <c r="B1958" s="24" t="s">
        <v>78</v>
      </c>
      <c r="C1958" s="21">
        <f t="shared" si="34"/>
        <v>-32.36</v>
      </c>
      <c r="CA1958" s="106">
        <v>-17.100000000000001</v>
      </c>
      <c r="CG1958" s="106">
        <v>-15.26</v>
      </c>
    </row>
    <row r="1959" spans="1:240" x14ac:dyDescent="0.25">
      <c r="A1959" s="127">
        <v>44816</v>
      </c>
      <c r="B1959" s="24" t="s">
        <v>141</v>
      </c>
      <c r="C1959" s="21">
        <f t="shared" si="34"/>
        <v>-51.21</v>
      </c>
      <c r="AR1959" s="74">
        <v>-51.21</v>
      </c>
    </row>
    <row r="1960" spans="1:240" x14ac:dyDescent="0.25">
      <c r="A1960" s="127">
        <v>44816</v>
      </c>
      <c r="B1960" s="24" t="s">
        <v>151</v>
      </c>
      <c r="C1960" s="21">
        <f t="shared" si="34"/>
        <v>0</v>
      </c>
    </row>
    <row r="1961" spans="1:240" x14ac:dyDescent="0.25">
      <c r="A1961" s="127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27">
        <v>44817</v>
      </c>
      <c r="B1962" s="24" t="s">
        <v>113</v>
      </c>
      <c r="C1962" s="21">
        <f t="shared" si="34"/>
        <v>1283.9100000000001</v>
      </c>
      <c r="AW1962" s="74">
        <v>499.01</v>
      </c>
      <c r="BI1962" s="106">
        <v>396.1</v>
      </c>
      <c r="CM1962" s="74">
        <v>388.8</v>
      </c>
    </row>
    <row r="1963" spans="1:240" x14ac:dyDescent="0.25">
      <c r="A1963" s="127">
        <v>44817</v>
      </c>
      <c r="B1963" s="24" t="s">
        <v>113</v>
      </c>
      <c r="C1963" s="21">
        <f t="shared" si="34"/>
        <v>2017.99</v>
      </c>
      <c r="BO1963" s="74">
        <v>510.94</v>
      </c>
      <c r="CM1963" s="74">
        <v>575.70000000000005</v>
      </c>
      <c r="EA1963" s="74">
        <v>575</v>
      </c>
      <c r="EL1963" s="106">
        <v>356.35</v>
      </c>
    </row>
    <row r="1964" spans="1:240" x14ac:dyDescent="0.25">
      <c r="A1964" s="127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27">
        <v>44817</v>
      </c>
      <c r="B1965" s="24" t="s">
        <v>31</v>
      </c>
      <c r="C1965" s="21">
        <f t="shared" si="34"/>
        <v>-25.55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27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27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27">
        <v>44817</v>
      </c>
      <c r="B1968" s="24" t="s">
        <v>150</v>
      </c>
      <c r="C1968" s="21">
        <f t="shared" si="34"/>
        <v>-7.75</v>
      </c>
      <c r="CG1968" s="106">
        <v>-7.75</v>
      </c>
    </row>
    <row r="1969" spans="1:208" x14ac:dyDescent="0.25">
      <c r="A1969" s="127">
        <v>44817</v>
      </c>
      <c r="B1969" s="24" t="s">
        <v>139</v>
      </c>
      <c r="C1969" s="21">
        <f t="shared" ref="C1969:C2032" si="35">SUM(D1969:JT1969)</f>
        <v>-74.12</v>
      </c>
      <c r="AW1969" s="74">
        <v>-8.31</v>
      </c>
      <c r="BC1969" s="74">
        <v>-7.23</v>
      </c>
      <c r="BI1969" s="106">
        <v>-8.65</v>
      </c>
      <c r="BS1969" s="42">
        <v>-7.58</v>
      </c>
      <c r="CA1969" s="106">
        <v>-8.6999999999999993</v>
      </c>
      <c r="CM1969" s="74">
        <v>-8.1999999999999993</v>
      </c>
      <c r="CS1969" s="74">
        <v>-8.35</v>
      </c>
      <c r="CY1969" s="74">
        <v>-17.100000000000001</v>
      </c>
    </row>
    <row r="1970" spans="1:208" x14ac:dyDescent="0.25">
      <c r="A1970" s="127">
        <v>44817</v>
      </c>
      <c r="B1970" s="24" t="s">
        <v>136</v>
      </c>
      <c r="C1970" s="21">
        <f t="shared" si="35"/>
        <v>-34.340000000000003</v>
      </c>
      <c r="AR1970" s="74">
        <v>-8.56</v>
      </c>
      <c r="BI1970" s="106">
        <v>-8.5500000000000007</v>
      </c>
      <c r="BS1970" s="42">
        <v>-7.68</v>
      </c>
      <c r="CM1970" s="74">
        <v>-9.5500000000000007</v>
      </c>
    </row>
    <row r="1971" spans="1:208" x14ac:dyDescent="0.25">
      <c r="A1971" s="127">
        <v>44817</v>
      </c>
      <c r="B1971" s="24" t="s">
        <v>25</v>
      </c>
      <c r="C1971" s="21">
        <f t="shared" si="35"/>
        <v>-17.25</v>
      </c>
      <c r="BI1971" s="106">
        <v>-8.5500000000000007</v>
      </c>
      <c r="CA1971" s="106">
        <v>-8.6999999999999993</v>
      </c>
    </row>
    <row r="1972" spans="1:208" x14ac:dyDescent="0.25">
      <c r="A1972" s="127">
        <v>44817</v>
      </c>
      <c r="B1972" s="24" t="s">
        <v>27</v>
      </c>
      <c r="C1972" s="21">
        <f t="shared" si="35"/>
        <v>-64.3</v>
      </c>
      <c r="AC1972" s="74">
        <v>-7.9</v>
      </c>
      <c r="AR1972" s="74">
        <v>-8.58</v>
      </c>
      <c r="BO1972" s="74">
        <v>-17.18</v>
      </c>
      <c r="BS1972" s="42">
        <v>-14.72</v>
      </c>
      <c r="CG1972" s="106">
        <v>-7.57</v>
      </c>
      <c r="CM1972" s="74">
        <v>-8.35</v>
      </c>
    </row>
    <row r="1973" spans="1:208" x14ac:dyDescent="0.25">
      <c r="A1973" s="127">
        <v>44817</v>
      </c>
      <c r="B1973" s="24" t="s">
        <v>95</v>
      </c>
      <c r="C1973" s="21">
        <f t="shared" si="35"/>
        <v>-134.5</v>
      </c>
      <c r="CG1973" s="106">
        <v>-67.14</v>
      </c>
      <c r="CM1973" s="74">
        <v>-33.200000000000003</v>
      </c>
      <c r="CS1973" s="74">
        <v>-34.159999999999997</v>
      </c>
    </row>
    <row r="1974" spans="1:208" x14ac:dyDescent="0.25">
      <c r="A1974" s="127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74">
        <v>-16.96</v>
      </c>
      <c r="AW1974" s="74">
        <v>-31.22</v>
      </c>
      <c r="BC1974" s="74">
        <v>-28.12</v>
      </c>
      <c r="BO1974" s="74">
        <v>-29.78</v>
      </c>
      <c r="CA1974" s="106">
        <v>-33.4</v>
      </c>
      <c r="CM1974" s="74">
        <v>-33.65</v>
      </c>
    </row>
    <row r="1975" spans="1:208" x14ac:dyDescent="0.25">
      <c r="A1975" s="127">
        <v>44817</v>
      </c>
      <c r="B1975" s="24" t="s">
        <v>133</v>
      </c>
      <c r="C1975" s="21">
        <f t="shared" si="35"/>
        <v>-191.49</v>
      </c>
      <c r="AN1975" s="74">
        <v>-32.25</v>
      </c>
      <c r="AW1975" s="74">
        <v>-33.76</v>
      </c>
      <c r="BC1975" s="74">
        <v>-28.8</v>
      </c>
      <c r="BO1975" s="74">
        <v>-62.76</v>
      </c>
      <c r="CA1975" s="106">
        <v>-33.92</v>
      </c>
    </row>
    <row r="1976" spans="1:208" x14ac:dyDescent="0.25">
      <c r="A1976" s="127">
        <v>44817</v>
      </c>
      <c r="B1976" s="24" t="s">
        <v>137</v>
      </c>
      <c r="C1976" s="21">
        <f t="shared" si="35"/>
        <v>-26.55</v>
      </c>
      <c r="AR1976" s="74">
        <v>-8.5500000000000007</v>
      </c>
      <c r="BI1976" s="106">
        <v>-8.6</v>
      </c>
      <c r="BS1976" s="42">
        <v>-9.4</v>
      </c>
    </row>
    <row r="1977" spans="1:208" x14ac:dyDescent="0.25">
      <c r="A1977" s="127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74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27">
        <v>44817</v>
      </c>
      <c r="B1978" s="24" t="s">
        <v>53</v>
      </c>
      <c r="C1978" s="21">
        <f t="shared" si="35"/>
        <v>-781.37</v>
      </c>
      <c r="BI1978" s="106">
        <v>-344.5</v>
      </c>
      <c r="CG1978" s="106">
        <v>-334.58</v>
      </c>
      <c r="DK1978" s="74">
        <f>-7.53-8.53-8.35-34.9</f>
        <v>-59.31</v>
      </c>
      <c r="DL1978" s="121">
        <f>-8.71-7.91-8.56-9.76-8.04</f>
        <v>-42.98</v>
      </c>
    </row>
    <row r="1979" spans="1:208" x14ac:dyDescent="0.25">
      <c r="A1979" s="127">
        <v>44817</v>
      </c>
      <c r="B1979" s="24" t="s">
        <v>59</v>
      </c>
      <c r="C1979" s="21">
        <f t="shared" si="35"/>
        <v>-15.49</v>
      </c>
      <c r="AM1979" s="69">
        <v>-2.06</v>
      </c>
      <c r="CM1979" s="74">
        <v>-2.82</v>
      </c>
      <c r="DE1979" s="74">
        <f>-8.79-1.82</f>
        <v>-10.61</v>
      </c>
    </row>
    <row r="1980" spans="1:208" x14ac:dyDescent="0.25">
      <c r="A1980" s="127">
        <v>44818</v>
      </c>
      <c r="B1980" s="24" t="s">
        <v>152</v>
      </c>
      <c r="C1980" s="21">
        <f t="shared" si="35"/>
        <v>-750.87</v>
      </c>
      <c r="AC1980" s="74">
        <v>-31.5</v>
      </c>
      <c r="AW1980" s="74">
        <v>-33.450000000000003</v>
      </c>
      <c r="BC1980" s="74">
        <v>-57.76</v>
      </c>
      <c r="BI1980" s="106">
        <v>-17.25</v>
      </c>
      <c r="BO1980" s="74">
        <v>-65.14</v>
      </c>
      <c r="CA1980" s="106">
        <v>-96.04</v>
      </c>
      <c r="CM1980" s="74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27">
        <v>44818</v>
      </c>
      <c r="B1981" s="24" t="s">
        <v>17</v>
      </c>
      <c r="C1981" s="21">
        <f t="shared" si="35"/>
        <v>-16.55</v>
      </c>
      <c r="CM1981" s="74">
        <f>-8.25-8.3</f>
        <v>-16.55</v>
      </c>
    </row>
    <row r="1982" spans="1:208" x14ac:dyDescent="0.25">
      <c r="A1982" s="127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27">
        <v>44818</v>
      </c>
      <c r="B1983" s="24" t="s">
        <v>20</v>
      </c>
      <c r="C1983" s="21">
        <f t="shared" si="35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27">
        <v>44818</v>
      </c>
      <c r="B1984" s="24" t="s">
        <v>39</v>
      </c>
      <c r="C1984" s="21">
        <f t="shared" si="35"/>
        <v>-48.05</v>
      </c>
      <c r="AW1984" s="74">
        <v>-8.34</v>
      </c>
      <c r="BC1984" s="74">
        <v>-6.41</v>
      </c>
      <c r="BO1984" s="74">
        <v>-8.15</v>
      </c>
      <c r="BS1984" s="42">
        <v>-8.1</v>
      </c>
      <c r="CA1984" s="106">
        <v>-8.6999999999999993</v>
      </c>
      <c r="CM1984" s="74">
        <v>-8.35</v>
      </c>
    </row>
    <row r="1985" spans="1:225" x14ac:dyDescent="0.25">
      <c r="A1985" s="127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27">
        <v>44818</v>
      </c>
      <c r="B1986" s="24" t="s">
        <v>59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27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27">
        <v>44819</v>
      </c>
      <c r="B1988" s="24" t="s">
        <v>44</v>
      </c>
      <c r="C1988" s="21">
        <f t="shared" si="35"/>
        <v>-204.42</v>
      </c>
      <c r="GP1988" s="42">
        <v>-165.4</v>
      </c>
      <c r="HQ1988" s="42">
        <v>-39.020000000000003</v>
      </c>
    </row>
    <row r="1989" spans="1:225" x14ac:dyDescent="0.25">
      <c r="A1989" s="127">
        <v>44820</v>
      </c>
      <c r="B1989" s="24" t="s">
        <v>133</v>
      </c>
      <c r="C1989" s="21">
        <f t="shared" si="35"/>
        <v>-210.98</v>
      </c>
      <c r="AW1989" s="74">
        <v>-33.33</v>
      </c>
      <c r="BC1989" s="74">
        <v>-32.049999999999997</v>
      </c>
      <c r="BO1989" s="74">
        <v>-29.94</v>
      </c>
      <c r="BS1989" s="42">
        <v>-32.06</v>
      </c>
      <c r="CA1989" s="106">
        <v>-32.24</v>
      </c>
      <c r="CS1989" s="74">
        <v>-33.9</v>
      </c>
      <c r="DE1989" s="74">
        <v>-17.46</v>
      </c>
    </row>
    <row r="1990" spans="1:225" x14ac:dyDescent="0.25">
      <c r="A1990" s="127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27">
        <v>44820</v>
      </c>
      <c r="B1991" s="24" t="s">
        <v>123</v>
      </c>
      <c r="C1991" s="21">
        <f t="shared" si="35"/>
        <v>0</v>
      </c>
    </row>
    <row r="1992" spans="1:225" x14ac:dyDescent="0.25">
      <c r="A1992" s="127">
        <v>44820</v>
      </c>
      <c r="B1992" s="24" t="s">
        <v>94</v>
      </c>
      <c r="C1992" s="21">
        <f t="shared" si="35"/>
        <v>0</v>
      </c>
    </row>
    <row r="1993" spans="1:225" x14ac:dyDescent="0.25">
      <c r="A1993" s="127">
        <v>44820</v>
      </c>
      <c r="B1993" s="24" t="s">
        <v>84</v>
      </c>
      <c r="C1993" s="21">
        <f t="shared" si="35"/>
        <v>-51.85</v>
      </c>
      <c r="CS1993" s="74">
        <v>-16.78</v>
      </c>
      <c r="DE1993" s="74">
        <v>-26.13</v>
      </c>
      <c r="DL1993" s="121">
        <v>-8.94</v>
      </c>
    </row>
    <row r="1994" spans="1:225" x14ac:dyDescent="0.25">
      <c r="A1994" s="127">
        <v>44823</v>
      </c>
      <c r="B1994" s="24" t="s">
        <v>95</v>
      </c>
      <c r="C1994" s="21">
        <f t="shared" si="35"/>
        <v>-921.67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74">
        <v>-99.39</v>
      </c>
      <c r="BO1994" s="74">
        <v>-88.95</v>
      </c>
      <c r="CA1994" s="106">
        <v>-33.380000000000003</v>
      </c>
      <c r="CM1994" s="74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27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27">
        <v>44824</v>
      </c>
      <c r="B1996" s="24" t="s">
        <v>113</v>
      </c>
      <c r="C1996" s="21">
        <f t="shared" si="35"/>
        <v>2099.54</v>
      </c>
      <c r="BI1996" s="106">
        <v>348</v>
      </c>
      <c r="BU1996" s="106">
        <v>355.4</v>
      </c>
      <c r="CG1996" s="106">
        <v>589.15</v>
      </c>
      <c r="CY1996" s="74">
        <v>368.95</v>
      </c>
      <c r="DK1996" s="74">
        <f>100.84+337.2</f>
        <v>438.04</v>
      </c>
    </row>
    <row r="1997" spans="1:225" x14ac:dyDescent="0.25">
      <c r="A1997" s="127">
        <v>44824</v>
      </c>
      <c r="B1997" s="24" t="s">
        <v>43</v>
      </c>
      <c r="C1997" s="21">
        <f t="shared" si="35"/>
        <v>-366.01</v>
      </c>
      <c r="BI1997" s="106">
        <v>-165</v>
      </c>
      <c r="BU1997" s="106">
        <v>-65.75</v>
      </c>
      <c r="CG1997" s="106">
        <v>-104.5</v>
      </c>
      <c r="DK1997" s="74">
        <v>-30.76</v>
      </c>
    </row>
    <row r="1998" spans="1:225" x14ac:dyDescent="0.25">
      <c r="A1998" s="127">
        <v>44824</v>
      </c>
      <c r="B1998" s="24" t="s">
        <v>133</v>
      </c>
      <c r="C1998" s="21">
        <f t="shared" si="35"/>
        <v>-167.28</v>
      </c>
      <c r="AR1998" s="74">
        <v>-34.08</v>
      </c>
      <c r="AW1998" s="74">
        <v>-33.58</v>
      </c>
      <c r="CM1998" s="74">
        <v>-34.1</v>
      </c>
      <c r="CS1998" s="74">
        <v>-33.200000000000003</v>
      </c>
      <c r="DK1998" s="74">
        <v>-32.32</v>
      </c>
    </row>
    <row r="1999" spans="1:225" x14ac:dyDescent="0.25">
      <c r="A1999" s="127">
        <v>44824</v>
      </c>
      <c r="B1999" s="24" t="s">
        <v>17</v>
      </c>
      <c r="C1999" s="21">
        <f t="shared" si="35"/>
        <v>-166.25</v>
      </c>
      <c r="BI1999" s="106">
        <v>-32.799999999999997</v>
      </c>
      <c r="BU1999" s="106">
        <v>-62.55</v>
      </c>
      <c r="CG1999" s="106">
        <v>-34.5</v>
      </c>
      <c r="CY1999" s="74">
        <v>-36.4</v>
      </c>
    </row>
    <row r="2000" spans="1:225" x14ac:dyDescent="0.25">
      <c r="A2000" s="127">
        <v>44824</v>
      </c>
      <c r="B2000" s="24" t="s">
        <v>78</v>
      </c>
      <c r="C2000" s="21">
        <f t="shared" si="35"/>
        <v>-43.1</v>
      </c>
      <c r="BI2000" s="106">
        <v>-34.35</v>
      </c>
      <c r="CA2000" s="106">
        <v>-8.75</v>
      </c>
    </row>
    <row r="2001" spans="1:238" x14ac:dyDescent="0.25">
      <c r="A2001" s="127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27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27">
        <v>44824</v>
      </c>
      <c r="B2003" s="24" t="s">
        <v>29</v>
      </c>
      <c r="C2003" s="21">
        <f t="shared" si="35"/>
        <v>-15.35</v>
      </c>
      <c r="BU2003" s="106">
        <v>-15.35</v>
      </c>
    </row>
    <row r="2004" spans="1:238" x14ac:dyDescent="0.25">
      <c r="A2004" s="127">
        <v>44824</v>
      </c>
      <c r="B2004" s="24" t="s">
        <v>20</v>
      </c>
      <c r="C2004" s="21">
        <f t="shared" si="35"/>
        <v>-47.93</v>
      </c>
      <c r="BI2004" s="106">
        <v>-8.35</v>
      </c>
      <c r="BO2004" s="74">
        <v>-7.89</v>
      </c>
      <c r="BU2004" s="106">
        <v>-8.15</v>
      </c>
      <c r="CG2004" s="106">
        <v>-8.65</v>
      </c>
      <c r="CM2004" s="74">
        <v>-8.3000000000000007</v>
      </c>
      <c r="CS2004" s="74">
        <v>-6.59</v>
      </c>
    </row>
    <row r="2005" spans="1:238" x14ac:dyDescent="0.25">
      <c r="A2005" s="127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27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106">
        <v>-2.06</v>
      </c>
      <c r="CM2006" s="74">
        <v>-5.99</v>
      </c>
    </row>
    <row r="2007" spans="1:238" x14ac:dyDescent="0.25">
      <c r="A2007" s="127">
        <v>44825</v>
      </c>
      <c r="B2007" s="24" t="s">
        <v>65</v>
      </c>
      <c r="C2007" s="21">
        <f t="shared" si="35"/>
        <v>-24.23</v>
      </c>
      <c r="AR2007" s="74">
        <v>-17</v>
      </c>
      <c r="BC2007" s="74">
        <v>-7.23</v>
      </c>
    </row>
    <row r="2008" spans="1:238" x14ac:dyDescent="0.25">
      <c r="A2008" s="127">
        <v>44825</v>
      </c>
      <c r="B2008" s="24" t="s">
        <v>79</v>
      </c>
      <c r="C2008" s="21">
        <f t="shared" si="35"/>
        <v>-23.33</v>
      </c>
      <c r="AW2008" s="74">
        <v>-8.4</v>
      </c>
      <c r="BI2008" s="106">
        <v>-7.6</v>
      </c>
      <c r="BO2008" s="74">
        <v>-7.33</v>
      </c>
    </row>
    <row r="2009" spans="1:238" x14ac:dyDescent="0.25">
      <c r="A2009" s="127">
        <v>44825</v>
      </c>
      <c r="B2009" s="24" t="s">
        <v>25</v>
      </c>
      <c r="C2009" s="21">
        <f t="shared" si="35"/>
        <v>-66.19</v>
      </c>
      <c r="AR2009" s="74">
        <v>-8.58</v>
      </c>
      <c r="AW2009" s="74">
        <v>-8.4</v>
      </c>
      <c r="BI2009" s="106">
        <v>-16.75</v>
      </c>
      <c r="BO2009" s="74">
        <v>-7.51</v>
      </c>
      <c r="BU2009" s="106">
        <v>-16.3</v>
      </c>
      <c r="CG2009" s="106">
        <v>-8.65</v>
      </c>
    </row>
    <row r="2010" spans="1:238" x14ac:dyDescent="0.25">
      <c r="A2010" s="127">
        <v>44825</v>
      </c>
      <c r="B2010" s="24" t="s">
        <v>33</v>
      </c>
      <c r="C2010" s="21">
        <f t="shared" si="35"/>
        <v>-24.89</v>
      </c>
      <c r="AW2010" s="74">
        <v>-8.36</v>
      </c>
      <c r="BO2010" s="74">
        <v>-8.83</v>
      </c>
      <c r="BU2010" s="106">
        <v>-7.7</v>
      </c>
    </row>
    <row r="2011" spans="1:238" x14ac:dyDescent="0.25">
      <c r="A2011" s="127">
        <v>44825</v>
      </c>
      <c r="B2011" s="24" t="s">
        <v>138</v>
      </c>
      <c r="C2011" s="21">
        <f t="shared" si="35"/>
        <v>-45.44</v>
      </c>
      <c r="AW2011" s="74">
        <v>-8.4</v>
      </c>
      <c r="BC2011" s="74">
        <v>-5.6</v>
      </c>
      <c r="BD2011" s="121">
        <v>-6.97</v>
      </c>
      <c r="BI2011" s="106">
        <v>-16.8</v>
      </c>
      <c r="BO2011" s="74">
        <v>-7.67</v>
      </c>
    </row>
    <row r="2012" spans="1:238" x14ac:dyDescent="0.25">
      <c r="A2012" s="127">
        <v>44825</v>
      </c>
      <c r="B2012" s="24" t="s">
        <v>139</v>
      </c>
      <c r="C2012" s="21">
        <f t="shared" si="35"/>
        <v>-16.670000000000002</v>
      </c>
      <c r="CG2012" s="106">
        <v>-8.6</v>
      </c>
      <c r="CS2012" s="74">
        <v>-8.07</v>
      </c>
    </row>
    <row r="2013" spans="1:238" x14ac:dyDescent="0.25">
      <c r="A2013" s="127">
        <v>44825</v>
      </c>
      <c r="B2013" s="24" t="s">
        <v>84</v>
      </c>
      <c r="C2013" s="21">
        <f t="shared" si="35"/>
        <v>-36.64</v>
      </c>
      <c r="O2013" s="375">
        <v>-6.58</v>
      </c>
      <c r="BI2013" s="106">
        <v>-8.4499999999999993</v>
      </c>
      <c r="BO2013" s="74">
        <v>-6.97</v>
      </c>
      <c r="BS2013" s="42">
        <v>-8</v>
      </c>
      <c r="CA2013" s="106">
        <v>-6.64</v>
      </c>
    </row>
    <row r="2014" spans="1:238" x14ac:dyDescent="0.25">
      <c r="A2014" s="127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27">
        <v>44825</v>
      </c>
      <c r="B2015" s="24" t="s">
        <v>147</v>
      </c>
      <c r="C2015" s="21">
        <f t="shared" si="35"/>
        <v>-7.55</v>
      </c>
      <c r="BI2015" s="106">
        <v>-7.55</v>
      </c>
    </row>
    <row r="2016" spans="1:238" x14ac:dyDescent="0.25">
      <c r="A2016" s="127">
        <v>44825</v>
      </c>
      <c r="B2016" s="24" t="s">
        <v>162</v>
      </c>
      <c r="C2016" s="21">
        <f t="shared" si="35"/>
        <v>-89.54</v>
      </c>
      <c r="AN2016" s="74">
        <v>-8.4499999999999993</v>
      </c>
      <c r="AR2016" s="74">
        <v>-8.56</v>
      </c>
      <c r="AW2016" s="74">
        <v>-8.41</v>
      </c>
      <c r="BI2016" s="106">
        <v>-16.7</v>
      </c>
      <c r="BO2016" s="74">
        <v>-14.76</v>
      </c>
      <c r="BU2016" s="106">
        <v>-7.6</v>
      </c>
      <c r="CG2016" s="106">
        <v>-8.65</v>
      </c>
      <c r="CS2016" s="74">
        <v>-7.81</v>
      </c>
      <c r="CY2016" s="74">
        <v>-8.6</v>
      </c>
    </row>
    <row r="2017" spans="1:224" x14ac:dyDescent="0.25">
      <c r="A2017" s="127">
        <v>44825</v>
      </c>
      <c r="B2017" s="24" t="s">
        <v>75</v>
      </c>
      <c r="C2017" s="21">
        <f t="shared" si="35"/>
        <v>-32.33</v>
      </c>
      <c r="AW2017" s="74">
        <v>-8.36</v>
      </c>
      <c r="BI2017" s="106">
        <v>-8.4499999999999993</v>
      </c>
      <c r="BO2017" s="74">
        <v>-7.37</v>
      </c>
      <c r="BU2017" s="106">
        <v>-8.15</v>
      </c>
    </row>
    <row r="2018" spans="1:224" x14ac:dyDescent="0.25">
      <c r="A2018" s="127">
        <v>44825</v>
      </c>
      <c r="B2018" s="24" t="s">
        <v>25</v>
      </c>
      <c r="C2018" s="21">
        <f t="shared" si="35"/>
        <v>-15.85</v>
      </c>
      <c r="BU2018" s="106">
        <v>-15.85</v>
      </c>
    </row>
    <row r="2019" spans="1:224" x14ac:dyDescent="0.25">
      <c r="A2019" s="127">
        <v>44826</v>
      </c>
      <c r="B2019" s="24" t="s">
        <v>89</v>
      </c>
      <c r="C2019" s="21">
        <f t="shared" si="35"/>
        <v>-744.15</v>
      </c>
      <c r="AW2019" s="74">
        <v>-66.8</v>
      </c>
      <c r="BO2019" s="74">
        <v>-59.68</v>
      </c>
      <c r="CG2019" s="106">
        <v>-69.2</v>
      </c>
      <c r="CM2019" s="74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27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106">
        <v>-8.4</v>
      </c>
      <c r="BO2020" s="74">
        <v>-29.02</v>
      </c>
      <c r="BU2020" s="106">
        <v>-40.75</v>
      </c>
      <c r="CG2020" s="106">
        <v>-34.549999999999997</v>
      </c>
      <c r="CM2020" s="74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27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27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27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106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27">
        <v>44827</v>
      </c>
      <c r="B2024" s="24" t="s">
        <v>43</v>
      </c>
      <c r="C2024" s="21">
        <f t="shared" si="35"/>
        <v>-142.94</v>
      </c>
      <c r="AG2024" s="106">
        <v>-70.7</v>
      </c>
      <c r="BC2024" s="74">
        <v>-72.239999999999995</v>
      </c>
    </row>
    <row r="2025" spans="1:224" x14ac:dyDescent="0.25">
      <c r="A2025" s="127">
        <v>44827</v>
      </c>
      <c r="B2025" s="24" t="s">
        <v>78</v>
      </c>
      <c r="C2025" s="21">
        <f t="shared" si="35"/>
        <v>-70.38</v>
      </c>
      <c r="BI2025" s="106">
        <v>-70.38</v>
      </c>
    </row>
    <row r="2026" spans="1:224" x14ac:dyDescent="0.25">
      <c r="A2026" s="127">
        <v>44827</v>
      </c>
      <c r="B2026" s="24" t="s">
        <v>20</v>
      </c>
      <c r="C2026" s="21">
        <f t="shared" si="35"/>
        <v>-59.65</v>
      </c>
      <c r="O2026" s="375">
        <v>-8.64</v>
      </c>
      <c r="V2026" s="74">
        <v>-8.7799999999999994</v>
      </c>
      <c r="AG2026" s="106">
        <v>-8.86</v>
      </c>
      <c r="BU2026" s="106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27">
        <v>44827</v>
      </c>
      <c r="B2027" s="24" t="s">
        <v>164</v>
      </c>
      <c r="C2027" s="21">
        <f t="shared" si="35"/>
        <v>-8.4</v>
      </c>
      <c r="CM2027" s="74">
        <v>-8.4</v>
      </c>
    </row>
    <row r="2028" spans="1:224" x14ac:dyDescent="0.25">
      <c r="A2028" s="127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27">
        <v>44827</v>
      </c>
      <c r="B2029" s="24" t="s">
        <v>163</v>
      </c>
      <c r="C2029" s="21">
        <f t="shared" si="35"/>
        <v>655.82</v>
      </c>
      <c r="BI2029" s="106">
        <v>30.1</v>
      </c>
      <c r="BO2029" s="74">
        <f>32.8+33.15</f>
        <v>65.95</v>
      </c>
      <c r="BU2029" s="106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27">
        <v>44828</v>
      </c>
      <c r="B2030" s="24" t="s">
        <v>57</v>
      </c>
      <c r="C2030" s="21">
        <f t="shared" si="35"/>
        <v>-150.66</v>
      </c>
      <c r="AR2030" s="74">
        <v>-8.4700000000000006</v>
      </c>
      <c r="AW2030" s="74">
        <v>-16.77</v>
      </c>
      <c r="BC2030" s="74">
        <v>-9.0399999999999991</v>
      </c>
      <c r="BI2030" s="106">
        <v>-22.61</v>
      </c>
      <c r="BO2030" s="74">
        <v>-21.75</v>
      </c>
      <c r="BU2030" s="106">
        <v>-25.85</v>
      </c>
      <c r="BY2030" s="42">
        <v>-16.27</v>
      </c>
      <c r="CM2030" s="74">
        <v>-16.55</v>
      </c>
      <c r="GB2030" s="106">
        <v>-13.35</v>
      </c>
    </row>
    <row r="2031" spans="1:224" x14ac:dyDescent="0.25">
      <c r="A2031" s="127">
        <v>44828</v>
      </c>
      <c r="B2031" s="24" t="s">
        <v>89</v>
      </c>
      <c r="C2031" s="21">
        <f t="shared" si="35"/>
        <v>-244.25</v>
      </c>
      <c r="BC2031" s="74">
        <v>-72.2</v>
      </c>
      <c r="BI2031" s="106">
        <v>-71</v>
      </c>
      <c r="DU2031" s="106">
        <v>-101.05</v>
      </c>
    </row>
    <row r="2032" spans="1:224" x14ac:dyDescent="0.25">
      <c r="A2032" s="127">
        <v>44828</v>
      </c>
      <c r="B2032" s="24" t="s">
        <v>59</v>
      </c>
      <c r="C2032" s="21">
        <f t="shared" si="35"/>
        <v>-11.35</v>
      </c>
      <c r="CM2032" s="74">
        <v>-3.57</v>
      </c>
      <c r="CP2032" s="115">
        <v>-2.91</v>
      </c>
      <c r="CS2032" s="74">
        <v>-4.87</v>
      </c>
    </row>
    <row r="2033" spans="1:224" x14ac:dyDescent="0.25">
      <c r="A2033" s="127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27">
        <v>44830</v>
      </c>
      <c r="B2034" s="24" t="s">
        <v>43</v>
      </c>
      <c r="C2034" s="21">
        <f t="shared" si="36"/>
        <v>-796.08</v>
      </c>
      <c r="Z2034" s="79">
        <v>-33.58</v>
      </c>
      <c r="AR2034" s="74">
        <v>-34.04</v>
      </c>
      <c r="BC2034" s="74">
        <v>-107.73</v>
      </c>
      <c r="BI2034" s="106">
        <v>-105.89</v>
      </c>
      <c r="BO2034" s="74">
        <v>-94.73</v>
      </c>
      <c r="CG2034" s="106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27">
        <v>44830</v>
      </c>
      <c r="B2035" s="24" t="s">
        <v>59</v>
      </c>
      <c r="C2035" s="21">
        <f t="shared" si="36"/>
        <v>-11.18</v>
      </c>
      <c r="CE2035" s="42">
        <f>-(8.79-4.34)</f>
        <v>-4.45</v>
      </c>
      <c r="CY2035" s="74">
        <f>-((4.62+8.7)-6.59)</f>
        <v>-6.73</v>
      </c>
    </row>
    <row r="2036" spans="1:224" x14ac:dyDescent="0.25">
      <c r="A2036" s="127">
        <v>44830</v>
      </c>
      <c r="B2036" s="24" t="s">
        <v>127</v>
      </c>
      <c r="C2036" s="21">
        <f t="shared" si="36"/>
        <v>-17.61</v>
      </c>
      <c r="DC2036" s="42">
        <v>-8.66</v>
      </c>
      <c r="DL2036" s="121">
        <v>-8.9499999999999993</v>
      </c>
    </row>
    <row r="2037" spans="1:224" x14ac:dyDescent="0.25">
      <c r="A2037" s="127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27">
        <v>44830</v>
      </c>
      <c r="B2038" s="24" t="s">
        <v>140</v>
      </c>
      <c r="C2038" s="21">
        <f t="shared" si="36"/>
        <v>-25.64</v>
      </c>
      <c r="D2038" s="145">
        <v>-25.64</v>
      </c>
    </row>
    <row r="2039" spans="1:224" x14ac:dyDescent="0.25">
      <c r="A2039" s="127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27">
        <v>44831</v>
      </c>
      <c r="B2040" s="24" t="s">
        <v>15</v>
      </c>
      <c r="C2040" s="21">
        <f t="shared" si="36"/>
        <v>-219.54</v>
      </c>
      <c r="AW2040" s="74">
        <v>-33.58</v>
      </c>
      <c r="BI2040" s="106">
        <v>-70.040000000000006</v>
      </c>
      <c r="BO2040" s="74">
        <v>-14.42</v>
      </c>
      <c r="BU2040" s="106">
        <v>-32.25</v>
      </c>
      <c r="CG2040" s="106">
        <v>-69.25</v>
      </c>
    </row>
    <row r="2041" spans="1:224" x14ac:dyDescent="0.25">
      <c r="A2041" s="127">
        <v>44831</v>
      </c>
      <c r="B2041" s="24" t="s">
        <v>162</v>
      </c>
      <c r="C2041" s="21">
        <f t="shared" si="36"/>
        <v>-58.72</v>
      </c>
      <c r="BC2041" s="74">
        <v>-18.010000000000002</v>
      </c>
      <c r="BU2041" s="106">
        <v>-15.66</v>
      </c>
      <c r="CG2041" s="106">
        <v>-16.7</v>
      </c>
      <c r="CM2041" s="74">
        <v>-8.35</v>
      </c>
    </row>
    <row r="2042" spans="1:224" x14ac:dyDescent="0.25">
      <c r="A2042" s="127">
        <v>44831</v>
      </c>
      <c r="B2042" s="24" t="s">
        <v>127</v>
      </c>
      <c r="C2042" s="21">
        <f t="shared" si="36"/>
        <v>-23.21</v>
      </c>
      <c r="BO2042" s="74">
        <v>-7.27</v>
      </c>
      <c r="BU2042" s="106">
        <v>-7.16</v>
      </c>
      <c r="CW2042" s="42">
        <v>-8.7799999999999994</v>
      </c>
    </row>
    <row r="2043" spans="1:224" x14ac:dyDescent="0.25">
      <c r="A2043" s="127">
        <v>44831</v>
      </c>
      <c r="B2043" s="24" t="s">
        <v>136</v>
      </c>
      <c r="C2043" s="21">
        <f t="shared" si="36"/>
        <v>-59.27</v>
      </c>
      <c r="Z2043" s="79">
        <v>-8.81</v>
      </c>
      <c r="BU2043" s="106">
        <v>-16.09</v>
      </c>
      <c r="BY2043" s="42">
        <v>-8.3699999999999992</v>
      </c>
      <c r="CG2043" s="106">
        <v>-17.350000000000001</v>
      </c>
      <c r="CM2043" s="74">
        <v>-8.65</v>
      </c>
    </row>
    <row r="2044" spans="1:224" x14ac:dyDescent="0.25">
      <c r="A2044" s="127">
        <v>44831</v>
      </c>
      <c r="B2044" s="24" t="s">
        <v>33</v>
      </c>
      <c r="C2044" s="21">
        <f t="shared" si="36"/>
        <v>-23.91</v>
      </c>
      <c r="BC2044" s="74">
        <v>-9.02</v>
      </c>
      <c r="BO2044" s="74">
        <v>-6.69</v>
      </c>
      <c r="BU2044" s="106">
        <v>-8.1999999999999993</v>
      </c>
    </row>
    <row r="2045" spans="1:224" x14ac:dyDescent="0.25">
      <c r="A2045" s="127">
        <v>44831</v>
      </c>
      <c r="B2045" s="24" t="s">
        <v>26</v>
      </c>
      <c r="C2045" s="21">
        <f t="shared" si="36"/>
        <v>-41.22</v>
      </c>
      <c r="AG2045" s="106">
        <v>-8.84</v>
      </c>
      <c r="AW2045" s="74">
        <v>-8.3000000000000007</v>
      </c>
      <c r="BI2045" s="106">
        <v>-8.4</v>
      </c>
      <c r="BO2045" s="74">
        <v>-7.43</v>
      </c>
      <c r="BU2045" s="106">
        <v>-8.25</v>
      </c>
    </row>
    <row r="2046" spans="1:224" x14ac:dyDescent="0.25">
      <c r="A2046" s="127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27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27">
        <v>44831</v>
      </c>
      <c r="B2048" s="24" t="s">
        <v>140</v>
      </c>
      <c r="C2048" s="21">
        <f t="shared" si="36"/>
        <v>-35.76</v>
      </c>
      <c r="D2048" s="145">
        <v>-25.68</v>
      </c>
      <c r="E2048" s="145">
        <v>-10.08</v>
      </c>
    </row>
    <row r="2049" spans="1:221" x14ac:dyDescent="0.25">
      <c r="A2049" s="127">
        <v>44832</v>
      </c>
      <c r="B2049" s="24" t="s">
        <v>152</v>
      </c>
      <c r="C2049" s="21">
        <f t="shared" si="36"/>
        <v>-701.65</v>
      </c>
      <c r="BI2049" s="106">
        <v>-70.680000000000007</v>
      </c>
      <c r="CG2049" s="106">
        <v>-104.15</v>
      </c>
      <c r="CM2049" s="74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27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27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27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27">
        <v>44832</v>
      </c>
      <c r="B2053" s="24" t="s">
        <v>39</v>
      </c>
      <c r="C2053" s="21">
        <f t="shared" si="36"/>
        <v>-55.45</v>
      </c>
      <c r="AW2053" s="74">
        <v>-8.36</v>
      </c>
      <c r="BC2053" s="74">
        <v>-8.85</v>
      </c>
      <c r="BI2053" s="106">
        <v>-7.49</v>
      </c>
      <c r="BO2053" s="74">
        <v>-8.15</v>
      </c>
      <c r="BU2053" s="106">
        <v>-8.1999999999999993</v>
      </c>
      <c r="CE2053" s="42">
        <v>-5.75</v>
      </c>
      <c r="CM2053" s="74">
        <v>-8.65</v>
      </c>
    </row>
    <row r="2054" spans="1:221" x14ac:dyDescent="0.25">
      <c r="A2054" s="127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27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27">
        <v>44833</v>
      </c>
      <c r="B2056" s="24" t="s">
        <v>84</v>
      </c>
      <c r="C2056" s="21">
        <f t="shared" si="36"/>
        <v>-16.850000000000001</v>
      </c>
      <c r="CM2056" s="74">
        <v>-16.850000000000001</v>
      </c>
    </row>
    <row r="2057" spans="1:221" x14ac:dyDescent="0.25">
      <c r="A2057" s="127">
        <v>44833</v>
      </c>
      <c r="B2057" s="24" t="s">
        <v>65</v>
      </c>
      <c r="C2057" s="21">
        <f t="shared" si="36"/>
        <v>-8.8800000000000008</v>
      </c>
      <c r="BC2057" s="74">
        <v>-8.8800000000000008</v>
      </c>
    </row>
    <row r="2058" spans="1:221" x14ac:dyDescent="0.25">
      <c r="A2058" s="127">
        <v>44833</v>
      </c>
      <c r="B2058" s="24" t="s">
        <v>17</v>
      </c>
      <c r="C2058" s="21">
        <f t="shared" si="36"/>
        <v>0</v>
      </c>
    </row>
    <row r="2059" spans="1:221" x14ac:dyDescent="0.25">
      <c r="A2059" s="127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74">
        <v>-9.06</v>
      </c>
      <c r="BR2059" s="115">
        <v>-9.81</v>
      </c>
      <c r="BU2059" s="106">
        <v>-8.1999999999999993</v>
      </c>
      <c r="CE2059" s="42">
        <v>-9.34</v>
      </c>
      <c r="CM2059" s="74">
        <v>-8.4499999999999993</v>
      </c>
    </row>
    <row r="2060" spans="1:221" x14ac:dyDescent="0.25">
      <c r="A2060" s="127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106">
        <v>-8.82</v>
      </c>
      <c r="BS2060" s="42">
        <v>-6.84</v>
      </c>
      <c r="CW2060" s="42">
        <v>-17.46</v>
      </c>
    </row>
    <row r="2061" spans="1:221" x14ac:dyDescent="0.25">
      <c r="A2061" s="127">
        <v>44834</v>
      </c>
      <c r="B2061" s="23" t="s">
        <v>78</v>
      </c>
      <c r="C2061" s="21">
        <f t="shared" si="36"/>
        <v>-67.17</v>
      </c>
      <c r="BC2061" s="74">
        <f>-9.35-8.89</f>
        <v>-18.239999999999998</v>
      </c>
      <c r="BI2061" s="106">
        <f>-8.9-8.89</f>
        <v>-17.79</v>
      </c>
      <c r="DK2061" s="74">
        <v>-31.14</v>
      </c>
    </row>
    <row r="2062" spans="1:221" x14ac:dyDescent="0.25">
      <c r="A2062" s="127">
        <v>44834</v>
      </c>
      <c r="B2062" s="23" t="s">
        <v>133</v>
      </c>
      <c r="C2062" s="21">
        <f t="shared" si="36"/>
        <v>-70.73</v>
      </c>
      <c r="AG2062" s="106">
        <v>-35.409999999999997</v>
      </c>
      <c r="BI2062" s="106">
        <v>-35.32</v>
      </c>
    </row>
    <row r="2063" spans="1:221" x14ac:dyDescent="0.25">
      <c r="A2063" s="127">
        <v>44834</v>
      </c>
      <c r="B2063" s="24" t="s">
        <v>113</v>
      </c>
      <c r="C2063" s="21">
        <f t="shared" si="36"/>
        <v>3276.14</v>
      </c>
      <c r="V2063" s="74">
        <v>340.62</v>
      </c>
      <c r="AW2063" s="74">
        <v>333.32</v>
      </c>
      <c r="BC2063" s="74">
        <v>346.41</v>
      </c>
      <c r="BI2063" s="106">
        <v>348.1</v>
      </c>
      <c r="BO2063" s="74">
        <v>578.35</v>
      </c>
      <c r="BU2063" s="106">
        <v>459.4</v>
      </c>
      <c r="CG2063" s="106">
        <v>360.24</v>
      </c>
      <c r="GQ2063" s="92">
        <v>509.7</v>
      </c>
    </row>
    <row r="2064" spans="1:221" x14ac:dyDescent="0.25">
      <c r="A2064" s="127">
        <v>44834</v>
      </c>
      <c r="B2064" s="24" t="s">
        <v>113</v>
      </c>
      <c r="C2064" s="21">
        <f t="shared" si="36"/>
        <v>1088.8499999999999</v>
      </c>
      <c r="BU2064" s="106">
        <v>533.4</v>
      </c>
      <c r="HM2064" s="106">
        <v>555.45000000000005</v>
      </c>
    </row>
    <row r="2065" spans="1:240" x14ac:dyDescent="0.25">
      <c r="A2065" s="127">
        <v>44834</v>
      </c>
      <c r="B2065" s="24" t="s">
        <v>165</v>
      </c>
      <c r="C2065" s="21">
        <f t="shared" si="36"/>
        <v>-42.87</v>
      </c>
      <c r="AN2065" s="74">
        <v>-8.15</v>
      </c>
      <c r="AW2065" s="74">
        <v>-8.4</v>
      </c>
      <c r="BC2065" s="74">
        <v>-17.920000000000002</v>
      </c>
      <c r="BI2065" s="106">
        <v>-8.4</v>
      </c>
    </row>
    <row r="2066" spans="1:240" x14ac:dyDescent="0.25">
      <c r="A2066" s="127">
        <v>44834</v>
      </c>
      <c r="B2066" s="24" t="s">
        <v>152</v>
      </c>
      <c r="C2066" s="21">
        <f t="shared" si="36"/>
        <v>-420.99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27">
        <v>44834</v>
      </c>
      <c r="B2067" s="24" t="s">
        <v>15</v>
      </c>
      <c r="C2067" s="21">
        <f t="shared" si="36"/>
        <v>-286.57</v>
      </c>
      <c r="AW2067" s="74">
        <v>-49.23</v>
      </c>
      <c r="BC2067" s="74">
        <v>-65.900000000000006</v>
      </c>
      <c r="BO2067" s="74">
        <v>-69.099999999999994</v>
      </c>
      <c r="BU2067" s="106">
        <v>-68.8</v>
      </c>
      <c r="CG2067" s="106">
        <v>-33.54</v>
      </c>
    </row>
    <row r="2068" spans="1:240" x14ac:dyDescent="0.25">
      <c r="A2068" s="127">
        <v>44834</v>
      </c>
      <c r="B2068" s="24" t="s">
        <v>37</v>
      </c>
      <c r="C2068" s="21">
        <f t="shared" si="36"/>
        <v>-227.37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27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106">
        <v>-29.75</v>
      </c>
      <c r="BO2069" s="74">
        <v>-66.75</v>
      </c>
      <c r="BU2069" s="106">
        <v>-69.150000000000006</v>
      </c>
      <c r="CG2069" s="106">
        <v>-34.24</v>
      </c>
      <c r="CM2069" s="74">
        <v>-17</v>
      </c>
      <c r="DU2069" s="106">
        <v>-33.6</v>
      </c>
    </row>
    <row r="2070" spans="1:240" x14ac:dyDescent="0.25">
      <c r="A2070" s="127">
        <v>44834</v>
      </c>
      <c r="B2070" s="24" t="s">
        <v>133</v>
      </c>
      <c r="C2070" s="21">
        <f t="shared" si="36"/>
        <v>-267.33999999999997</v>
      </c>
      <c r="BI2070" s="106">
        <v>-64.2</v>
      </c>
      <c r="BO2070" s="74">
        <v>-68.55</v>
      </c>
      <c r="BU2070" s="106">
        <v>-69.349999999999994</v>
      </c>
      <c r="CG2070" s="106">
        <v>-65.239999999999995</v>
      </c>
    </row>
    <row r="2071" spans="1:240" x14ac:dyDescent="0.25">
      <c r="A2071" s="127">
        <v>44838</v>
      </c>
      <c r="B2071" s="24" t="s">
        <v>113</v>
      </c>
      <c r="C2071" s="21">
        <f t="shared" si="36"/>
        <v>2090.23</v>
      </c>
      <c r="AR2071" s="74">
        <v>385.25</v>
      </c>
      <c r="CA2071" s="106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27">
        <v>44838</v>
      </c>
      <c r="B2072" s="24" t="s">
        <v>139</v>
      </c>
      <c r="C2072" s="21">
        <f t="shared" si="36"/>
        <v>-17.14</v>
      </c>
      <c r="CA2072" s="106">
        <v>-8.5500000000000007</v>
      </c>
      <c r="CS2072" s="74">
        <v>-8.59</v>
      </c>
    </row>
    <row r="2073" spans="1:240" x14ac:dyDescent="0.25">
      <c r="A2073" s="127">
        <v>44838</v>
      </c>
      <c r="B2073" s="24" t="s">
        <v>20</v>
      </c>
      <c r="C2073" s="21">
        <f t="shared" si="36"/>
        <v>-33.47</v>
      </c>
      <c r="AW2073" s="74">
        <v>-8.4</v>
      </c>
      <c r="BC2073" s="74">
        <v>-8.9700000000000006</v>
      </c>
      <c r="BI2073" s="106">
        <v>-7.95</v>
      </c>
      <c r="CG2073" s="106">
        <v>-8.15</v>
      </c>
    </row>
    <row r="2074" spans="1:240" x14ac:dyDescent="0.25">
      <c r="A2074" s="127">
        <v>44838</v>
      </c>
      <c r="B2074" s="24" t="s">
        <v>162</v>
      </c>
      <c r="C2074" s="21">
        <f t="shared" si="36"/>
        <v>-16.760000000000002</v>
      </c>
      <c r="CA2074" s="106">
        <v>-16.760000000000002</v>
      </c>
    </row>
    <row r="2075" spans="1:240" x14ac:dyDescent="0.25">
      <c r="A2075" s="127">
        <v>44838</v>
      </c>
      <c r="B2075" s="24" t="s">
        <v>29</v>
      </c>
      <c r="C2075" s="21">
        <f t="shared" si="36"/>
        <v>-24.6</v>
      </c>
      <c r="BO2075" s="74">
        <v>-8.4</v>
      </c>
      <c r="CA2075" s="106">
        <v>-16.2</v>
      </c>
    </row>
    <row r="2076" spans="1:240" x14ac:dyDescent="0.25">
      <c r="A2076" s="127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74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27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106">
        <v>-8.75</v>
      </c>
      <c r="CA2077" s="106">
        <v>-8.4499999999999993</v>
      </c>
    </row>
    <row r="2078" spans="1:240" x14ac:dyDescent="0.25">
      <c r="A2078" s="127">
        <v>44838</v>
      </c>
      <c r="B2078" s="24" t="s">
        <v>25</v>
      </c>
      <c r="C2078" s="21">
        <f t="shared" si="36"/>
        <v>-50.16</v>
      </c>
      <c r="AG2078" s="106">
        <v>-8.85</v>
      </c>
      <c r="BC2078" s="74">
        <v>-8.4499999999999993</v>
      </c>
      <c r="BI2078" s="106">
        <v>-7.95</v>
      </c>
      <c r="BO2078" s="74">
        <v>-8.4499999999999993</v>
      </c>
      <c r="CA2078" s="106">
        <v>-8.35</v>
      </c>
      <c r="CG2078" s="106">
        <v>-8.11</v>
      </c>
    </row>
    <row r="2079" spans="1:240" x14ac:dyDescent="0.25">
      <c r="A2079" s="127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27">
        <v>44838</v>
      </c>
      <c r="B2080" s="24" t="s">
        <v>84</v>
      </c>
      <c r="C2080" s="21">
        <f t="shared" si="36"/>
        <v>-33.380000000000003</v>
      </c>
      <c r="BI2080" s="106">
        <v>-7.9</v>
      </c>
      <c r="BU2080" s="106">
        <v>-8.6999999999999993</v>
      </c>
      <c r="CA2080" s="106">
        <v>-8.73</v>
      </c>
      <c r="CG2080" s="106">
        <v>-8.0500000000000007</v>
      </c>
    </row>
    <row r="2081" spans="1:214" x14ac:dyDescent="0.25">
      <c r="A2081" s="127">
        <v>44838</v>
      </c>
      <c r="B2081" s="24" t="s">
        <v>144</v>
      </c>
      <c r="C2081" s="21">
        <f t="shared" si="36"/>
        <v>-508.82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27">
        <v>44838</v>
      </c>
      <c r="B2082" s="24" t="s">
        <v>79</v>
      </c>
      <c r="C2082" s="21">
        <f t="shared" si="36"/>
        <v>-17.05</v>
      </c>
      <c r="BC2082" s="74">
        <v>-8.4</v>
      </c>
      <c r="BU2082" s="106">
        <v>-8.65</v>
      </c>
    </row>
    <row r="2083" spans="1:214" x14ac:dyDescent="0.25">
      <c r="A2083" s="127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27">
        <v>44839</v>
      </c>
      <c r="B2084" s="24" t="s">
        <v>43</v>
      </c>
      <c r="C2084" s="21">
        <f t="shared" si="36"/>
        <v>-634.41999999999996</v>
      </c>
      <c r="AR2084" s="74">
        <v>-31.9</v>
      </c>
      <c r="BI2084" s="106">
        <v>-99.38</v>
      </c>
      <c r="BO2084" s="74">
        <v>-135.80000000000001</v>
      </c>
      <c r="BU2084" s="106">
        <v>-69.05</v>
      </c>
      <c r="CA2084" s="106">
        <v>-66.36</v>
      </c>
      <c r="CM2084" s="74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27">
        <v>44839</v>
      </c>
      <c r="B2085" s="24" t="s">
        <v>43</v>
      </c>
      <c r="C2085" s="21">
        <f t="shared" si="36"/>
        <v>-167.8</v>
      </c>
      <c r="CG2085" s="106">
        <v>-33.159999999999997</v>
      </c>
      <c r="CM2085" s="74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27">
        <v>44839</v>
      </c>
      <c r="B2086" s="24" t="s">
        <v>43</v>
      </c>
      <c r="C2086" s="21">
        <f t="shared" si="36"/>
        <v>-133.80000000000001</v>
      </c>
      <c r="BC2086" s="74">
        <v>-33.61</v>
      </c>
      <c r="BI2086" s="106">
        <v>-31.65</v>
      </c>
      <c r="DP2086" s="74">
        <v>-35.340000000000003</v>
      </c>
      <c r="DU2086" s="106">
        <v>-33.200000000000003</v>
      </c>
    </row>
    <row r="2087" spans="1:214" x14ac:dyDescent="0.25">
      <c r="A2087" s="127">
        <v>44839</v>
      </c>
      <c r="B2087" s="24" t="s">
        <v>44</v>
      </c>
      <c r="C2087" s="21">
        <f t="shared" si="36"/>
        <v>0</v>
      </c>
    </row>
    <row r="2088" spans="1:214" x14ac:dyDescent="0.25">
      <c r="A2088" s="127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74">
        <v>-32.15</v>
      </c>
      <c r="BC2088" s="74">
        <v>-97.05</v>
      </c>
      <c r="BO2088" s="74">
        <v>-34.15</v>
      </c>
      <c r="BU2088" s="106">
        <v>-34.15</v>
      </c>
      <c r="CA2088" s="106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27">
        <v>44839</v>
      </c>
      <c r="B2089" s="24" t="s">
        <v>15</v>
      </c>
      <c r="C2089" s="21">
        <f t="shared" si="36"/>
        <v>-33.11</v>
      </c>
      <c r="BY2089" s="42">
        <v>33.99</v>
      </c>
      <c r="CA2089" s="106">
        <v>-67.099999999999994</v>
      </c>
    </row>
    <row r="2090" spans="1:214" x14ac:dyDescent="0.25">
      <c r="A2090" s="127">
        <v>44840</v>
      </c>
      <c r="B2090" s="24" t="s">
        <v>113</v>
      </c>
      <c r="C2090" s="21">
        <f t="shared" si="36"/>
        <v>2195.9299999999998</v>
      </c>
      <c r="BI2090" s="106">
        <v>343.2</v>
      </c>
      <c r="BO2090" s="74">
        <v>342.52</v>
      </c>
      <c r="CA2090" s="106">
        <f>421.99+320.08</f>
        <v>742.07</v>
      </c>
      <c r="CM2090" s="74">
        <v>385.6</v>
      </c>
      <c r="CS2090" s="74">
        <v>382.54</v>
      </c>
    </row>
    <row r="2091" spans="1:214" x14ac:dyDescent="0.25">
      <c r="A2091" s="127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74">
        <v>-31.95</v>
      </c>
      <c r="BI2091" s="106">
        <v>-32.020000000000003</v>
      </c>
      <c r="BU2091" s="106">
        <v>-32.85</v>
      </c>
      <c r="CG2091" s="106">
        <v>-33.5</v>
      </c>
      <c r="CM2091" s="74">
        <v>-67.45</v>
      </c>
      <c r="CS2091" s="74">
        <v>-62.76</v>
      </c>
    </row>
    <row r="2092" spans="1:214" x14ac:dyDescent="0.25">
      <c r="A2092" s="127">
        <v>44841</v>
      </c>
      <c r="B2092" s="24" t="s">
        <v>43</v>
      </c>
      <c r="C2092" s="21">
        <f t="shared" si="36"/>
        <v>-460.74</v>
      </c>
      <c r="AW2092" s="74">
        <v>-67.94</v>
      </c>
      <c r="BI2092" s="106">
        <v>-60.9</v>
      </c>
      <c r="BO2092" s="74">
        <v>-102.6</v>
      </c>
      <c r="BU2092" s="106">
        <v>-95.05</v>
      </c>
      <c r="CG2092" s="106">
        <v>-67.3</v>
      </c>
      <c r="CM2092" s="74">
        <v>-66.95</v>
      </c>
    </row>
    <row r="2093" spans="1:214" x14ac:dyDescent="0.25">
      <c r="A2093" s="127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27">
        <v>44841</v>
      </c>
      <c r="B2094" s="24" t="s">
        <v>13</v>
      </c>
      <c r="C2094" s="21">
        <f t="shared" si="36"/>
        <v>0</v>
      </c>
    </row>
    <row r="2095" spans="1:214" x14ac:dyDescent="0.25">
      <c r="A2095" s="127">
        <v>44841</v>
      </c>
      <c r="B2095" s="24" t="s">
        <v>20</v>
      </c>
      <c r="C2095" s="21">
        <f t="shared" si="36"/>
        <v>-17.23</v>
      </c>
      <c r="CM2095" s="74">
        <v>-8.4</v>
      </c>
      <c r="CS2095" s="74">
        <v>-8.83</v>
      </c>
    </row>
    <row r="2096" spans="1:214" x14ac:dyDescent="0.25">
      <c r="A2096" s="127">
        <v>44842</v>
      </c>
      <c r="B2096" s="24" t="s">
        <v>25</v>
      </c>
      <c r="C2096" s="21">
        <f t="shared" si="36"/>
        <v>-51.61</v>
      </c>
      <c r="CG2096" s="106">
        <v>-8.0299999999999994</v>
      </c>
      <c r="CM2096" s="74">
        <v>-17.7</v>
      </c>
      <c r="CS2096" s="74">
        <v>-8.73</v>
      </c>
      <c r="CY2096" s="74">
        <v>-17.149999999999999</v>
      </c>
    </row>
    <row r="2097" spans="1:225" x14ac:dyDescent="0.25">
      <c r="A2097" s="127">
        <v>44844</v>
      </c>
      <c r="B2097" s="24" t="s">
        <v>37</v>
      </c>
      <c r="C2097" s="21">
        <f t="shared" ref="C2097:C2160" si="37">SUM(D2097:JT2097)</f>
        <v>-220.21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27">
        <v>44844</v>
      </c>
      <c r="B2098" s="24" t="s">
        <v>165</v>
      </c>
      <c r="C2098" s="21">
        <f t="shared" si="37"/>
        <v>-65.92</v>
      </c>
      <c r="BC2098" s="74">
        <v>-8.4</v>
      </c>
      <c r="BI2098" s="106">
        <v>-15.8</v>
      </c>
      <c r="BO2098" s="74">
        <v>-15.92</v>
      </c>
      <c r="BU2098" s="106">
        <v>-8.6999999999999993</v>
      </c>
      <c r="CG2098" s="106">
        <v>-8.6999999999999993</v>
      </c>
      <c r="CM2098" s="74">
        <v>-8.4</v>
      </c>
    </row>
    <row r="2099" spans="1:225" x14ac:dyDescent="0.25">
      <c r="A2099" s="127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74">
        <v>-95.95</v>
      </c>
      <c r="AW2099" s="74">
        <v>-101.4</v>
      </c>
      <c r="BC2099" s="74">
        <v>-32.049999999999997</v>
      </c>
      <c r="BI2099" s="106">
        <v>-62.64</v>
      </c>
      <c r="BO2099" s="74">
        <v>-127.65</v>
      </c>
      <c r="BU2099" s="106">
        <v>-136.69999999999999</v>
      </c>
      <c r="CA2099" s="106">
        <v>-95.96</v>
      </c>
      <c r="CG2099" s="106">
        <v>-100.71</v>
      </c>
      <c r="CM2099" s="74">
        <v>-33.5</v>
      </c>
      <c r="CS2099" s="74">
        <v>-63.62</v>
      </c>
    </row>
    <row r="2100" spans="1:225" x14ac:dyDescent="0.25">
      <c r="A2100" s="127">
        <v>44845</v>
      </c>
      <c r="B2100" s="24" t="s">
        <v>25</v>
      </c>
      <c r="C2100" s="21">
        <f t="shared" si="37"/>
        <v>-15.66</v>
      </c>
      <c r="AW2100" s="74">
        <v>-8.7100000000000009</v>
      </c>
      <c r="BI2100" s="106">
        <v>-6.95</v>
      </c>
    </row>
    <row r="2101" spans="1:225" x14ac:dyDescent="0.25">
      <c r="A2101" s="127">
        <v>44845</v>
      </c>
      <c r="B2101" s="24" t="s">
        <v>127</v>
      </c>
      <c r="C2101" s="21">
        <f t="shared" si="37"/>
        <v>-17.2</v>
      </c>
      <c r="AW2101" s="74">
        <v>-8.75</v>
      </c>
      <c r="BC2101" s="74">
        <v>-8.4499999999999993</v>
      </c>
    </row>
    <row r="2102" spans="1:225" x14ac:dyDescent="0.25">
      <c r="A2102" s="127">
        <v>44845</v>
      </c>
      <c r="B2102" s="24" t="s">
        <v>75</v>
      </c>
      <c r="C2102" s="21">
        <f t="shared" si="37"/>
        <v>-57.41</v>
      </c>
      <c r="AW2102" s="74">
        <v>-8.49</v>
      </c>
      <c r="BC2102" s="74">
        <v>-8.4499999999999993</v>
      </c>
      <c r="BU2102" s="106">
        <v>-8.6999999999999993</v>
      </c>
      <c r="CA2102" s="106">
        <v>-8.77</v>
      </c>
      <c r="CG2102" s="106">
        <v>-23</v>
      </c>
    </row>
    <row r="2103" spans="1:225" x14ac:dyDescent="0.25">
      <c r="A2103" s="127">
        <v>44845</v>
      </c>
      <c r="B2103" s="24" t="s">
        <v>139</v>
      </c>
      <c r="C2103" s="21">
        <f t="shared" si="37"/>
        <v>-42.19</v>
      </c>
      <c r="BU2103" s="106">
        <v>-8.6</v>
      </c>
      <c r="CA2103" s="106">
        <v>-8.33</v>
      </c>
      <c r="CG2103" s="106">
        <v>-8.4499999999999993</v>
      </c>
      <c r="CM2103" s="74">
        <v>-8.4</v>
      </c>
      <c r="CS2103" s="74">
        <v>-8.41</v>
      </c>
    </row>
    <row r="2104" spans="1:225" x14ac:dyDescent="0.25">
      <c r="A2104" s="127">
        <v>44845</v>
      </c>
      <c r="B2104" s="24" t="s">
        <v>20</v>
      </c>
      <c r="C2104" s="21">
        <f t="shared" si="37"/>
        <v>-33.46</v>
      </c>
      <c r="BO2104" s="74">
        <v>-8.5500000000000007</v>
      </c>
      <c r="BU2104" s="106">
        <v>-8.65</v>
      </c>
      <c r="CA2104" s="106">
        <v>-7.77</v>
      </c>
      <c r="CS2104" s="74">
        <v>-8.49</v>
      </c>
    </row>
    <row r="2105" spans="1:225" x14ac:dyDescent="0.25">
      <c r="A2105" s="127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27">
        <v>44845</v>
      </c>
      <c r="B2106" s="24" t="s">
        <v>32</v>
      </c>
      <c r="C2106" s="21">
        <f t="shared" si="37"/>
        <v>-42.65</v>
      </c>
      <c r="BC2106" s="74">
        <v>-42.65</v>
      </c>
    </row>
    <row r="2107" spans="1:225" x14ac:dyDescent="0.25">
      <c r="A2107" s="127">
        <v>44845</v>
      </c>
      <c r="B2107" s="24" t="s">
        <v>79</v>
      </c>
      <c r="C2107" s="21">
        <f t="shared" si="37"/>
        <v>-8.31</v>
      </c>
      <c r="CA2107" s="106">
        <v>-8.31</v>
      </c>
    </row>
    <row r="2108" spans="1:225" x14ac:dyDescent="0.25">
      <c r="A2108" s="127">
        <v>44846</v>
      </c>
      <c r="B2108" s="24" t="s">
        <v>44</v>
      </c>
      <c r="C2108" s="21">
        <f t="shared" si="37"/>
        <v>-220.13</v>
      </c>
      <c r="GJ2108" s="202">
        <v>-30.38</v>
      </c>
      <c r="GQ2108" s="92">
        <v>-157.69999999999999</v>
      </c>
      <c r="HF2108" s="79">
        <v>-32.049999999999997</v>
      </c>
    </row>
    <row r="2109" spans="1:225" x14ac:dyDescent="0.25">
      <c r="A2109" s="127">
        <v>44847</v>
      </c>
      <c r="B2109" s="24" t="s">
        <v>17</v>
      </c>
      <c r="C2109" s="21">
        <f t="shared" si="37"/>
        <v>-226.99</v>
      </c>
      <c r="AC2109" s="74">
        <v>-15.7</v>
      </c>
      <c r="AG2109" s="106">
        <v>-17.75</v>
      </c>
      <c r="AN2109" s="74">
        <v>-16.2</v>
      </c>
      <c r="BI2109" s="106">
        <v>-31.28</v>
      </c>
      <c r="BO2109" s="74">
        <v>-30.64</v>
      </c>
      <c r="CA2109" s="106">
        <v>-34.299999999999997</v>
      </c>
      <c r="CM2109" s="74">
        <v>-33.799999999999997</v>
      </c>
      <c r="CS2109" s="74">
        <v>-29.42</v>
      </c>
      <c r="DC2109" s="42">
        <v>-17.899999999999999</v>
      </c>
    </row>
    <row r="2110" spans="1:225" x14ac:dyDescent="0.25">
      <c r="A2110" s="127">
        <v>44847</v>
      </c>
      <c r="B2110" s="24" t="s">
        <v>15</v>
      </c>
      <c r="C2110" s="21">
        <f t="shared" si="37"/>
        <v>-4.37</v>
      </c>
      <c r="AU2110" s="42">
        <v>34.82</v>
      </c>
      <c r="AW2110" s="74">
        <v>-33.28</v>
      </c>
      <c r="BG2110" s="42">
        <v>33.57</v>
      </c>
      <c r="BI2110" s="106">
        <v>-30.08</v>
      </c>
      <c r="BU2110" s="106">
        <v>-9.4</v>
      </c>
    </row>
    <row r="2111" spans="1:225" x14ac:dyDescent="0.25">
      <c r="A2111" s="127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27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27">
        <v>44847</v>
      </c>
      <c r="B2113" s="24" t="s">
        <v>113</v>
      </c>
      <c r="C2113" s="21">
        <f t="shared" si="37"/>
        <v>2074.75</v>
      </c>
      <c r="AW2113" s="74">
        <v>354.35</v>
      </c>
      <c r="CG2113" s="106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27">
        <v>44847</v>
      </c>
      <c r="B2114" s="24" t="s">
        <v>152</v>
      </c>
      <c r="C2114" s="21">
        <f t="shared" si="37"/>
        <v>-1318.48</v>
      </c>
      <c r="AR2114" s="74">
        <v>-31.85</v>
      </c>
      <c r="AW2114" s="74">
        <v>-29.88</v>
      </c>
      <c r="BI2114" s="106">
        <v>-95.54</v>
      </c>
      <c r="BU2114" s="106">
        <v>-66.599999999999994</v>
      </c>
      <c r="CA2114" s="106">
        <v>-68.5</v>
      </c>
      <c r="CG2114" s="106">
        <v>-132.55000000000001</v>
      </c>
      <c r="CM2114" s="74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27">
        <v>44847</v>
      </c>
      <c r="B2115" s="24" t="s">
        <v>110</v>
      </c>
      <c r="C2115" s="21">
        <f t="shared" si="37"/>
        <v>-355.82</v>
      </c>
      <c r="AR2115" s="74">
        <v>-63.9</v>
      </c>
      <c r="BI2115" s="106">
        <v>-29.9</v>
      </c>
      <c r="BO2115" s="74">
        <v>-60.16</v>
      </c>
      <c r="BU2115" s="106">
        <v>-66.75</v>
      </c>
      <c r="CA2115" s="106">
        <v>-135.11000000000001</v>
      </c>
    </row>
    <row r="2116" spans="1:221" x14ac:dyDescent="0.25">
      <c r="A2116" s="127">
        <v>44847</v>
      </c>
      <c r="B2116" s="24" t="s">
        <v>43</v>
      </c>
      <c r="C2116" s="21">
        <f t="shared" si="37"/>
        <v>-132.19</v>
      </c>
      <c r="L2116" s="69">
        <v>-33.78</v>
      </c>
      <c r="O2116" s="375">
        <v>-34.630000000000003</v>
      </c>
      <c r="S2116" s="74">
        <v>-32.6</v>
      </c>
      <c r="V2116" s="74">
        <v>-31.18</v>
      </c>
    </row>
    <row r="2117" spans="1:221" x14ac:dyDescent="0.25">
      <c r="A2117" s="127">
        <v>44847</v>
      </c>
      <c r="B2117" s="24" t="s">
        <v>133</v>
      </c>
      <c r="C2117" s="21">
        <f t="shared" si="37"/>
        <v>-199.48</v>
      </c>
      <c r="AR2117" s="74">
        <v>-33.799999999999997</v>
      </c>
      <c r="BO2117" s="74">
        <v>-29.42</v>
      </c>
      <c r="BU2117" s="106">
        <v>-33.799999999999997</v>
      </c>
      <c r="CA2117" s="106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27">
        <v>44847</v>
      </c>
      <c r="B2118" s="24" t="s">
        <v>15</v>
      </c>
      <c r="C2118" s="21">
        <f t="shared" si="37"/>
        <v>-8.7899999999999991</v>
      </c>
      <c r="CA2118" s="106">
        <v>-8.7899999999999991</v>
      </c>
    </row>
    <row r="2119" spans="1:221" x14ac:dyDescent="0.25">
      <c r="A2119" s="127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27">
        <v>44848</v>
      </c>
      <c r="B2120" s="24" t="s">
        <v>134</v>
      </c>
      <c r="C2120" s="21">
        <f t="shared" si="37"/>
        <v>-25.68</v>
      </c>
      <c r="E2120" s="145">
        <v>-25.68</v>
      </c>
    </row>
    <row r="2121" spans="1:221" x14ac:dyDescent="0.25">
      <c r="A2121" s="127">
        <v>44848</v>
      </c>
      <c r="B2121" s="24" t="s">
        <v>84</v>
      </c>
      <c r="C2121" s="21">
        <f t="shared" si="37"/>
        <v>0</v>
      </c>
    </row>
    <row r="2122" spans="1:221" x14ac:dyDescent="0.25">
      <c r="A2122" s="127">
        <v>44851</v>
      </c>
      <c r="B2122" s="24" t="s">
        <v>113</v>
      </c>
      <c r="C2122" s="21">
        <f t="shared" si="37"/>
        <v>2442.9499999999998</v>
      </c>
      <c r="AR2122" s="74">
        <v>347.6</v>
      </c>
      <c r="BU2122" s="106">
        <v>343.79</v>
      </c>
      <c r="CA2122" s="106">
        <v>361.64</v>
      </c>
      <c r="CM2122" s="74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27">
        <v>44851</v>
      </c>
      <c r="B2123" s="24" t="s">
        <v>15</v>
      </c>
      <c r="C2123" s="21">
        <f t="shared" si="37"/>
        <v>-91.084999999999994</v>
      </c>
      <c r="CA2123" s="106">
        <v>-31.94</v>
      </c>
      <c r="CG2123" s="106">
        <v>-16.8</v>
      </c>
      <c r="FX2123" s="34">
        <v>-42.344999999999999</v>
      </c>
    </row>
    <row r="2124" spans="1:221" x14ac:dyDescent="0.25">
      <c r="A2124" s="127">
        <v>44851</v>
      </c>
      <c r="B2124" s="24" t="s">
        <v>152</v>
      </c>
      <c r="C2124" s="21">
        <f t="shared" si="37"/>
        <v>-684.14</v>
      </c>
      <c r="BU2124" s="106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27">
        <v>44851</v>
      </c>
      <c r="B2125" s="24" t="s">
        <v>37</v>
      </c>
      <c r="C2125" s="21">
        <f t="shared" si="37"/>
        <v>0</v>
      </c>
    </row>
    <row r="2126" spans="1:221" x14ac:dyDescent="0.25">
      <c r="A2126" s="127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106">
        <v>-32.9</v>
      </c>
      <c r="BO2126" s="74">
        <v>-58.68</v>
      </c>
      <c r="BU2126" s="106">
        <v>-90.15</v>
      </c>
      <c r="CA2126" s="106">
        <v>-90.6</v>
      </c>
      <c r="CG2126" s="106">
        <v>-66.2</v>
      </c>
      <c r="CM2126" s="74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27">
        <v>44851</v>
      </c>
      <c r="B2127" s="24" t="s">
        <v>133</v>
      </c>
      <c r="C2127" s="21">
        <f t="shared" si="37"/>
        <v>-99.75</v>
      </c>
      <c r="AW2127" s="74">
        <v>-32.1</v>
      </c>
      <c r="CG2127" s="106">
        <v>-33.15</v>
      </c>
      <c r="EA2127" s="74">
        <v>-34.5</v>
      </c>
    </row>
    <row r="2128" spans="1:221" x14ac:dyDescent="0.25">
      <c r="A2128" s="127">
        <v>44852</v>
      </c>
      <c r="B2128" s="24" t="s">
        <v>57</v>
      </c>
      <c r="C2128" s="21">
        <f t="shared" si="37"/>
        <v>-29.46</v>
      </c>
      <c r="BU2128" s="106">
        <v>-29.46</v>
      </c>
    </row>
    <row r="2129" spans="1:233" x14ac:dyDescent="0.25">
      <c r="A2129" s="127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27">
        <v>44852</v>
      </c>
      <c r="B2130" s="24" t="s">
        <v>137</v>
      </c>
      <c r="C2130" s="21">
        <f t="shared" si="37"/>
        <v>-32.549999999999997</v>
      </c>
      <c r="O2130" s="375">
        <v>-8.66</v>
      </c>
      <c r="BI2130" s="106">
        <v>-7.9</v>
      </c>
      <c r="BO2130" s="74">
        <v>-7.89</v>
      </c>
      <c r="CG2130" s="106">
        <v>-8.1</v>
      </c>
    </row>
    <row r="2131" spans="1:233" x14ac:dyDescent="0.25">
      <c r="A2131" s="127">
        <v>44852</v>
      </c>
      <c r="B2131" s="24" t="s">
        <v>139</v>
      </c>
      <c r="C2131" s="21">
        <f t="shared" si="37"/>
        <v>-16.79</v>
      </c>
      <c r="CM2131" s="74">
        <v>-8.4</v>
      </c>
      <c r="CS2131" s="74">
        <v>-8.39</v>
      </c>
    </row>
    <row r="2132" spans="1:233" x14ac:dyDescent="0.25">
      <c r="A2132" s="127">
        <v>44852</v>
      </c>
      <c r="B2132" s="24" t="s">
        <v>32</v>
      </c>
      <c r="C2132" s="21">
        <f t="shared" si="37"/>
        <v>-162.55000000000001</v>
      </c>
      <c r="AR2132" s="74">
        <v>-17.059999999999999</v>
      </c>
      <c r="AW2132" s="74">
        <v>-32</v>
      </c>
      <c r="BI2132" s="106">
        <v>-15.94</v>
      </c>
      <c r="BU2132" s="106">
        <v>-30.85</v>
      </c>
      <c r="CG2132" s="106">
        <v>-49.6</v>
      </c>
      <c r="CS2132" s="74">
        <v>-17.100000000000001</v>
      </c>
    </row>
    <row r="2133" spans="1:233" x14ac:dyDescent="0.25">
      <c r="A2133" s="127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27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106">
        <v>-7.9</v>
      </c>
      <c r="CA2134" s="106">
        <v>-8.15</v>
      </c>
    </row>
    <row r="2135" spans="1:233" x14ac:dyDescent="0.25">
      <c r="A2135" s="127">
        <v>44852</v>
      </c>
      <c r="B2135" s="24" t="s">
        <v>25</v>
      </c>
      <c r="C2135" s="21">
        <f t="shared" si="37"/>
        <v>-68.19</v>
      </c>
      <c r="BI2135" s="106">
        <v>-8.0500000000000007</v>
      </c>
      <c r="BO2135" s="74">
        <v>-7.61</v>
      </c>
      <c r="BU2135" s="106">
        <v>-16.350000000000001</v>
      </c>
      <c r="DE2135" s="74">
        <v>-9.35</v>
      </c>
      <c r="DK2135" s="74">
        <v>-26.83</v>
      </c>
    </row>
    <row r="2136" spans="1:233" x14ac:dyDescent="0.25">
      <c r="A2136" s="127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27">
        <v>44852</v>
      </c>
      <c r="B2137" s="24" t="s">
        <v>27</v>
      </c>
      <c r="C2137" s="21">
        <f t="shared" si="37"/>
        <v>-32.049999999999997</v>
      </c>
      <c r="AW2137" s="74">
        <v>-16.100000000000001</v>
      </c>
      <c r="BI2137" s="106">
        <v>-15.95</v>
      </c>
    </row>
    <row r="2138" spans="1:233" x14ac:dyDescent="0.25">
      <c r="A2138" s="127">
        <v>44852</v>
      </c>
      <c r="B2138" s="24" t="s">
        <v>138</v>
      </c>
      <c r="C2138" s="21">
        <f t="shared" si="37"/>
        <v>-16.3</v>
      </c>
      <c r="V2138" s="74">
        <v>-8.1999999999999993</v>
      </c>
      <c r="AN2138" s="74">
        <v>-8.1</v>
      </c>
    </row>
    <row r="2139" spans="1:233" x14ac:dyDescent="0.25">
      <c r="A2139" s="127">
        <v>44852</v>
      </c>
      <c r="B2139" s="24" t="s">
        <v>88</v>
      </c>
      <c r="C2139" s="21">
        <f t="shared" si="37"/>
        <v>-42.99</v>
      </c>
      <c r="GZ2139" s="106">
        <v>-21.24</v>
      </c>
      <c r="HY2139" s="38">
        <v>-21.75</v>
      </c>
    </row>
    <row r="2140" spans="1:233" x14ac:dyDescent="0.25">
      <c r="A2140" s="127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106">
        <v>-32.1</v>
      </c>
      <c r="BO2140" s="74">
        <v>-29.36</v>
      </c>
    </row>
    <row r="2141" spans="1:233" x14ac:dyDescent="0.25">
      <c r="A2141" s="127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27">
        <v>44852</v>
      </c>
      <c r="B2142" s="24" t="s">
        <v>89</v>
      </c>
      <c r="C2142" s="21">
        <f t="shared" si="37"/>
        <v>-628.29</v>
      </c>
      <c r="AR2142" s="74">
        <v>-32.9</v>
      </c>
      <c r="BU2142" s="106">
        <v>-95.98</v>
      </c>
      <c r="CA2142" s="106">
        <v>-158.68</v>
      </c>
      <c r="CG2142" s="106">
        <v>-67.8</v>
      </c>
      <c r="CM2142" s="74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27">
        <v>44853</v>
      </c>
      <c r="B2143" s="23" t="s">
        <v>133</v>
      </c>
      <c r="C2143" s="21">
        <f t="shared" si="37"/>
        <v>-130.82</v>
      </c>
      <c r="BU2143" s="106">
        <v>-31.65</v>
      </c>
      <c r="CM2143" s="74">
        <v>-33.65</v>
      </c>
      <c r="CY2143" s="74">
        <v>-31.8</v>
      </c>
      <c r="DE2143" s="74">
        <v>-33.72</v>
      </c>
    </row>
    <row r="2144" spans="1:233" x14ac:dyDescent="0.25">
      <c r="A2144" s="127">
        <v>44853</v>
      </c>
      <c r="B2144" s="24" t="s">
        <v>15</v>
      </c>
      <c r="C2144" s="21">
        <f t="shared" si="37"/>
        <v>-17.079999999999998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106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27">
        <v>44853</v>
      </c>
      <c r="B2145" s="24" t="s">
        <v>14</v>
      </c>
      <c r="C2145" s="21">
        <f t="shared" si="37"/>
        <v>-194.51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27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</v>
      </c>
      <c r="J2146" s="110">
        <v>218.1</v>
      </c>
      <c r="GT2146" s="110">
        <f>12.35+57.8</f>
        <v>70.150000000000006</v>
      </c>
      <c r="HX2146" s="92">
        <v>343.55</v>
      </c>
    </row>
    <row r="2147" spans="1:232" x14ac:dyDescent="0.25">
      <c r="A2147" s="127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27">
        <v>44854</v>
      </c>
      <c r="B2148" s="24" t="s">
        <v>20</v>
      </c>
      <c r="C2148" s="21">
        <f t="shared" si="37"/>
        <v>-50.4</v>
      </c>
      <c r="AR2148" s="74">
        <v>-8.52</v>
      </c>
      <c r="BU2148" s="106">
        <v>-8.1999999999999993</v>
      </c>
      <c r="CA2148" s="106">
        <v>-6.77</v>
      </c>
      <c r="DK2148" s="74">
        <v>-26.91</v>
      </c>
    </row>
    <row r="2149" spans="1:232" x14ac:dyDescent="0.25">
      <c r="A2149" s="127">
        <v>44854</v>
      </c>
      <c r="B2149" s="24" t="s">
        <v>15</v>
      </c>
      <c r="C2149" s="21">
        <f t="shared" si="37"/>
        <v>-78.14</v>
      </c>
      <c r="BO2149" s="74">
        <v>-13.66</v>
      </c>
      <c r="CA2149" s="106">
        <v>-64.48</v>
      </c>
    </row>
    <row r="2150" spans="1:232" x14ac:dyDescent="0.25">
      <c r="A2150" s="127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27">
        <v>44855</v>
      </c>
      <c r="B2151" s="24" t="s">
        <v>113</v>
      </c>
      <c r="C2151" s="21">
        <f t="shared" si="37"/>
        <v>1183.95</v>
      </c>
      <c r="AN2151" s="74">
        <v>353.25</v>
      </c>
      <c r="BC2151" s="74">
        <v>349.34</v>
      </c>
      <c r="BO2151" s="74">
        <v>134.9</v>
      </c>
      <c r="DE2151" s="74">
        <v>346.46</v>
      </c>
    </row>
    <row r="2152" spans="1:232" x14ac:dyDescent="0.25">
      <c r="A2152" s="127">
        <v>44856</v>
      </c>
      <c r="B2152" s="23" t="s">
        <v>78</v>
      </c>
      <c r="C2152" s="21">
        <f t="shared" si="37"/>
        <v>-149.62</v>
      </c>
      <c r="AR2152" s="74">
        <v>-67.150000000000006</v>
      </c>
      <c r="AW2152" s="74">
        <f>-8.75-8-7.8</f>
        <v>-24.55</v>
      </c>
      <c r="CA2152" s="106">
        <v>-34.46</v>
      </c>
      <c r="CY2152" s="74">
        <v>-7.21</v>
      </c>
      <c r="DK2152" s="74">
        <v>-16.25</v>
      </c>
    </row>
    <row r="2153" spans="1:232" x14ac:dyDescent="0.25">
      <c r="A2153" s="127">
        <v>44856</v>
      </c>
      <c r="B2153" s="23" t="s">
        <v>48</v>
      </c>
      <c r="C2153" s="21">
        <f t="shared" si="37"/>
        <v>-52.3</v>
      </c>
      <c r="BC2153" s="74">
        <v>-29.88</v>
      </c>
      <c r="GA2153" s="88">
        <v>-22.42</v>
      </c>
    </row>
    <row r="2154" spans="1:232" x14ac:dyDescent="0.25">
      <c r="A2154" s="127">
        <v>44856</v>
      </c>
      <c r="B2154" s="23" t="s">
        <v>48</v>
      </c>
      <c r="C2154" s="21">
        <f t="shared" si="37"/>
        <v>-59.5</v>
      </c>
      <c r="BC2154" s="74">
        <v>-59.5</v>
      </c>
    </row>
    <row r="2155" spans="1:232" x14ac:dyDescent="0.25">
      <c r="A2155" s="127">
        <v>44858</v>
      </c>
      <c r="B2155" s="24" t="s">
        <v>146</v>
      </c>
      <c r="C2155" s="21">
        <f t="shared" si="37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27">
        <v>44859</v>
      </c>
      <c r="B2156" s="24" t="s">
        <v>153</v>
      </c>
      <c r="C2156" s="21">
        <f t="shared" si="37"/>
        <v>0</v>
      </c>
    </row>
    <row r="2157" spans="1:232" x14ac:dyDescent="0.25">
      <c r="A2157" s="127">
        <v>44859</v>
      </c>
      <c r="B2157" s="24" t="s">
        <v>139</v>
      </c>
      <c r="C2157" s="21">
        <f t="shared" si="37"/>
        <v>-32.880000000000003</v>
      </c>
      <c r="V2157" s="74">
        <v>-8.1999999999999993</v>
      </c>
      <c r="AN2157" s="74">
        <v>-8.15</v>
      </c>
      <c r="BO2157" s="74">
        <v>-8.33</v>
      </c>
      <c r="BU2157" s="106">
        <v>-8.1999999999999993</v>
      </c>
    </row>
    <row r="2158" spans="1:232" x14ac:dyDescent="0.25">
      <c r="A2158" s="127">
        <v>44859</v>
      </c>
      <c r="B2158" s="24" t="s">
        <v>150</v>
      </c>
      <c r="C2158" s="21">
        <f t="shared" si="37"/>
        <v>-32.79</v>
      </c>
      <c r="O2158" s="375">
        <v>-8.67</v>
      </c>
      <c r="AR2158" s="74">
        <v>-7.55</v>
      </c>
      <c r="CG2158" s="106">
        <v>-8.4</v>
      </c>
      <c r="CS2158" s="74">
        <v>-8.17</v>
      </c>
    </row>
    <row r="2159" spans="1:232" x14ac:dyDescent="0.25">
      <c r="A2159" s="127">
        <v>44859</v>
      </c>
      <c r="B2159" s="24" t="s">
        <v>20</v>
      </c>
      <c r="C2159" s="21">
        <f t="shared" si="37"/>
        <v>-75.86</v>
      </c>
      <c r="BO2159" s="74">
        <v>-8.7100000000000009</v>
      </c>
      <c r="BU2159" s="106">
        <v>-8.1999999999999993</v>
      </c>
      <c r="GZ2159" s="106">
        <v>-58.95</v>
      </c>
    </row>
    <row r="2160" spans="1:232" x14ac:dyDescent="0.25">
      <c r="A2160" s="127">
        <v>44859</v>
      </c>
      <c r="B2160" s="24" t="s">
        <v>84</v>
      </c>
      <c r="C2160" s="21">
        <f t="shared" si="37"/>
        <v>-71.83</v>
      </c>
      <c r="BC2160" s="74">
        <v>-15.95</v>
      </c>
      <c r="BO2160" s="74">
        <v>-17.440000000000001</v>
      </c>
      <c r="BU2160" s="106">
        <v>-16.45</v>
      </c>
      <c r="CA2160" s="106">
        <v>-13.64</v>
      </c>
      <c r="CG2160" s="106">
        <v>-8.35</v>
      </c>
    </row>
    <row r="2161" spans="1:219" x14ac:dyDescent="0.25">
      <c r="A2161" s="127">
        <v>44859</v>
      </c>
      <c r="B2161" s="24" t="s">
        <v>25</v>
      </c>
      <c r="C2161" s="21">
        <f t="shared" ref="C2161:C2224" si="38">SUM(D2161:JT2161)</f>
        <v>-67.41</v>
      </c>
      <c r="BU2161" s="106">
        <v>-16.3</v>
      </c>
      <c r="CA2161" s="106">
        <v>-17.260000000000002</v>
      </c>
      <c r="CG2161" s="106">
        <v>-17.2</v>
      </c>
      <c r="CM2161" s="74">
        <v>-16.649999999999999</v>
      </c>
    </row>
    <row r="2162" spans="1:219" x14ac:dyDescent="0.25">
      <c r="A2162" s="127">
        <v>44859</v>
      </c>
      <c r="B2162" s="24" t="s">
        <v>75</v>
      </c>
      <c r="C2162" s="21">
        <f t="shared" si="38"/>
        <v>-24.08</v>
      </c>
      <c r="BO2162" s="74">
        <v>-7.41</v>
      </c>
      <c r="BU2162" s="106">
        <v>-8.1999999999999993</v>
      </c>
      <c r="CA2162" s="106">
        <v>-8.4700000000000006</v>
      </c>
    </row>
    <row r="2163" spans="1:219" x14ac:dyDescent="0.25">
      <c r="A2163" s="127">
        <v>44859</v>
      </c>
      <c r="B2163" s="24" t="s">
        <v>32</v>
      </c>
      <c r="C2163" s="21">
        <f t="shared" si="38"/>
        <v>-39</v>
      </c>
      <c r="AW2163" s="74">
        <v>-8.15</v>
      </c>
      <c r="BC2163" s="74">
        <v>-14.55</v>
      </c>
      <c r="BU2163" s="106">
        <v>-16.3</v>
      </c>
    </row>
    <row r="2164" spans="1:219" x14ac:dyDescent="0.25">
      <c r="A2164" s="127">
        <v>44859</v>
      </c>
      <c r="B2164" s="24" t="s">
        <v>68</v>
      </c>
      <c r="C2164" s="21">
        <f t="shared" si="38"/>
        <v>-63.97</v>
      </c>
      <c r="V2164" s="74">
        <v>-32.42</v>
      </c>
      <c r="BC2164" s="74">
        <v>-31.55</v>
      </c>
    </row>
    <row r="2165" spans="1:219" x14ac:dyDescent="0.25">
      <c r="A2165" s="127">
        <v>44860</v>
      </c>
      <c r="B2165" s="24" t="s">
        <v>113</v>
      </c>
      <c r="C2165" s="21">
        <f t="shared" si="38"/>
        <v>1708.84</v>
      </c>
      <c r="BI2165" s="106">
        <v>339.56</v>
      </c>
      <c r="BU2165" s="106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27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27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27">
        <v>44861</v>
      </c>
      <c r="B2168" s="24" t="s">
        <v>44</v>
      </c>
      <c r="C2168" s="21">
        <f t="shared" si="38"/>
        <v>-145.94999999999999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27">
        <v>44861</v>
      </c>
      <c r="B2169" s="24" t="s">
        <v>78</v>
      </c>
      <c r="C2169" s="21">
        <f t="shared" si="38"/>
        <v>-88.01</v>
      </c>
      <c r="BI2169" s="106">
        <v>-31.25</v>
      </c>
      <c r="BO2169" s="74">
        <v>-7.75</v>
      </c>
      <c r="CA2169" s="106">
        <v>-33.159999999999997</v>
      </c>
      <c r="DU2169" s="106">
        <v>-15.85</v>
      </c>
    </row>
    <row r="2170" spans="1:219" x14ac:dyDescent="0.25">
      <c r="A2170" s="127">
        <v>44861</v>
      </c>
      <c r="B2170" s="24" t="s">
        <v>133</v>
      </c>
      <c r="C2170" s="21">
        <f t="shared" si="38"/>
        <v>-198.97</v>
      </c>
      <c r="AN2170" s="74">
        <v>-31.7</v>
      </c>
      <c r="AW2170" s="74">
        <v>-32.049999999999997</v>
      </c>
      <c r="BC2170" s="74">
        <v>-27.78</v>
      </c>
      <c r="BI2170" s="106">
        <v>-30.06</v>
      </c>
      <c r="BO2170" s="74">
        <v>-44.4</v>
      </c>
      <c r="BU2170" s="106">
        <v>-32.979999999999997</v>
      </c>
    </row>
    <row r="2171" spans="1:219" x14ac:dyDescent="0.25">
      <c r="A2171" s="127">
        <v>44861</v>
      </c>
      <c r="B2171" s="24" t="s">
        <v>17</v>
      </c>
      <c r="C2171" s="21">
        <f t="shared" si="38"/>
        <v>-191.96</v>
      </c>
      <c r="BC2171" s="74">
        <v>-29.66</v>
      </c>
      <c r="BO2171" s="74">
        <v>-25.66</v>
      </c>
      <c r="BU2171" s="106">
        <v>-34.549999999999997</v>
      </c>
      <c r="CA2171" s="106">
        <v>-69.540000000000006</v>
      </c>
      <c r="CG2171" s="106">
        <v>-32.549999999999997</v>
      </c>
    </row>
    <row r="2172" spans="1:219" x14ac:dyDescent="0.25">
      <c r="A2172" s="127">
        <v>44861</v>
      </c>
      <c r="B2172" s="24" t="s">
        <v>95</v>
      </c>
      <c r="C2172" s="21">
        <f t="shared" si="38"/>
        <v>-135.15</v>
      </c>
      <c r="BU2172" s="106">
        <v>-34.5</v>
      </c>
      <c r="CG2172" s="106">
        <v>-66</v>
      </c>
      <c r="CM2172" s="74">
        <v>-34.65</v>
      </c>
    </row>
    <row r="2173" spans="1:219" x14ac:dyDescent="0.25">
      <c r="A2173" s="127">
        <v>44861</v>
      </c>
      <c r="B2173" s="24" t="s">
        <v>39</v>
      </c>
      <c r="C2173" s="21">
        <f t="shared" si="38"/>
        <v>-40.5</v>
      </c>
      <c r="AR2173" s="74">
        <v>-7.5</v>
      </c>
      <c r="BC2173" s="74">
        <v>-8.1</v>
      </c>
      <c r="BI2173" s="106">
        <v>-7.8</v>
      </c>
      <c r="CA2173" s="106">
        <v>-8.7100000000000009</v>
      </c>
      <c r="CS2173" s="74">
        <v>-8.39</v>
      </c>
    </row>
    <row r="2174" spans="1:219" x14ac:dyDescent="0.25">
      <c r="A2174" s="127">
        <v>44862</v>
      </c>
      <c r="B2174" s="24" t="s">
        <v>95</v>
      </c>
      <c r="C2174" s="21">
        <f t="shared" si="38"/>
        <v>-199.35</v>
      </c>
      <c r="BI2174" s="106">
        <v>-30</v>
      </c>
      <c r="BU2174" s="106">
        <v>-30.2</v>
      </c>
      <c r="CG2174" s="106">
        <v>-103.9</v>
      </c>
      <c r="CM2174" s="74">
        <v>-35.25</v>
      </c>
    </row>
    <row r="2175" spans="1:219" x14ac:dyDescent="0.25">
      <c r="A2175" s="127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27">
        <v>44862</v>
      </c>
      <c r="B2176" s="24" t="s">
        <v>20</v>
      </c>
      <c r="C2176" s="21">
        <f t="shared" si="38"/>
        <v>-33.11</v>
      </c>
      <c r="BI2176" s="106">
        <v>-7.75</v>
      </c>
      <c r="BU2176" s="106">
        <v>-8.3000000000000007</v>
      </c>
      <c r="CA2176" s="106">
        <v>-8.7100000000000009</v>
      </c>
      <c r="CG2176" s="106">
        <v>-8.35</v>
      </c>
    </row>
    <row r="2177" spans="1:221" x14ac:dyDescent="0.25">
      <c r="A2177" s="127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74">
        <v>-8.1</v>
      </c>
      <c r="BI2177" s="106">
        <v>-7.7</v>
      </c>
      <c r="BO2177" s="74">
        <v>-8.2899999999999991</v>
      </c>
    </row>
    <row r="2178" spans="1:221" x14ac:dyDescent="0.25">
      <c r="A2178" s="127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27">
        <v>44865</v>
      </c>
      <c r="B2179" s="24" t="s">
        <v>167</v>
      </c>
      <c r="C2179" s="21">
        <f t="shared" si="38"/>
        <v>-10</v>
      </c>
      <c r="D2179" s="145">
        <v>-5</v>
      </c>
      <c r="E2179" s="145">
        <v>-5</v>
      </c>
    </row>
    <row r="2180" spans="1:221" x14ac:dyDescent="0.25">
      <c r="A2180" s="127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74">
        <v>-29.5</v>
      </c>
      <c r="AW2180" s="74">
        <v>-32.15</v>
      </c>
      <c r="BC2180" s="74">
        <v>-29.62</v>
      </c>
      <c r="BI2180" s="106">
        <v>-63.4</v>
      </c>
      <c r="BO2180" s="74">
        <v>-29.48</v>
      </c>
      <c r="BU2180" s="106">
        <v>-128.88999999999999</v>
      </c>
      <c r="CA2180" s="106">
        <v>-103.04</v>
      </c>
      <c r="CG2180" s="106">
        <v>-103.4</v>
      </c>
      <c r="CM2180" s="74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27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27">
        <v>44865</v>
      </c>
      <c r="B2182" s="24" t="s">
        <v>139</v>
      </c>
      <c r="C2182" s="21">
        <f t="shared" si="38"/>
        <v>-35.19</v>
      </c>
      <c r="CM2182" s="74">
        <v>-8.6999999999999993</v>
      </c>
      <c r="CY2182" s="74">
        <v>-17.399999999999999</v>
      </c>
      <c r="DE2182" s="74">
        <v>-9.09</v>
      </c>
    </row>
    <row r="2183" spans="1:221" x14ac:dyDescent="0.25">
      <c r="A2183" s="127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27">
        <v>44865</v>
      </c>
      <c r="B2184" s="24" t="s">
        <v>166</v>
      </c>
      <c r="C2184" s="21">
        <f t="shared" si="38"/>
        <v>-22.11</v>
      </c>
      <c r="AW2184" s="74">
        <v>-8.1</v>
      </c>
      <c r="BI2184" s="106">
        <v>-7.1</v>
      </c>
      <c r="BO2184" s="74">
        <v>-6.91</v>
      </c>
    </row>
    <row r="2185" spans="1:221" x14ac:dyDescent="0.25">
      <c r="A2185" s="127">
        <v>44865</v>
      </c>
      <c r="B2185" s="24" t="s">
        <v>127</v>
      </c>
      <c r="C2185" s="21">
        <f t="shared" si="38"/>
        <v>-16.66</v>
      </c>
      <c r="BR2185" s="115">
        <v>-8.76</v>
      </c>
      <c r="CG2185" s="106">
        <v>-7.9</v>
      </c>
    </row>
    <row r="2186" spans="1:221" x14ac:dyDescent="0.25">
      <c r="A2186" s="127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27">
        <v>44865</v>
      </c>
      <c r="B2187" s="24" t="s">
        <v>75</v>
      </c>
      <c r="C2187" s="21">
        <f t="shared" si="38"/>
        <v>-67.984999999999999</v>
      </c>
      <c r="O2187" s="375">
        <v>-8.6449999999999996</v>
      </c>
      <c r="BI2187" s="106">
        <v>-7.7</v>
      </c>
      <c r="BU2187" s="106">
        <v>-8.25</v>
      </c>
      <c r="CA2187" s="106">
        <v>-8.77</v>
      </c>
      <c r="CG2187" s="106">
        <v>-8.6999999999999993</v>
      </c>
      <c r="CM2187" s="74">
        <v>-8.65</v>
      </c>
      <c r="DK2187" s="74">
        <v>-8.94</v>
      </c>
      <c r="DP2187" s="74">
        <v>-8.33</v>
      </c>
    </row>
    <row r="2188" spans="1:221" x14ac:dyDescent="0.25">
      <c r="A2188" s="127">
        <v>45230</v>
      </c>
      <c r="B2188" s="24" t="s">
        <v>17</v>
      </c>
      <c r="C2188" s="21">
        <f t="shared" si="38"/>
        <v>-30.85</v>
      </c>
      <c r="CM2188" s="74">
        <v>-17.399999999999999</v>
      </c>
      <c r="GB2188" s="106">
        <v>-13.45</v>
      </c>
    </row>
    <row r="2189" spans="1:221" x14ac:dyDescent="0.25">
      <c r="A2189" s="127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27">
        <v>44865</v>
      </c>
      <c r="B2190" s="24" t="s">
        <v>25</v>
      </c>
      <c r="C2190" s="21">
        <f t="shared" si="38"/>
        <v>-35.39</v>
      </c>
      <c r="BI2190" s="106">
        <v>-7.7</v>
      </c>
      <c r="CY2190" s="74">
        <v>-27.69</v>
      </c>
    </row>
    <row r="2191" spans="1:221" x14ac:dyDescent="0.25">
      <c r="A2191" s="127">
        <v>44865</v>
      </c>
      <c r="B2191" s="24" t="s">
        <v>32</v>
      </c>
      <c r="C2191" s="21">
        <f t="shared" si="38"/>
        <v>-127.06</v>
      </c>
      <c r="AR2191" s="74">
        <v>-7.55</v>
      </c>
      <c r="AW2191" s="74">
        <v>-32.35</v>
      </c>
      <c r="BU2191" s="106">
        <v>-31.26</v>
      </c>
      <c r="CA2191" s="106">
        <v>-8.69</v>
      </c>
      <c r="CM2191" s="74">
        <v>-16.95</v>
      </c>
      <c r="CS2191" s="74">
        <v>-14.9</v>
      </c>
      <c r="DK2191" s="74">
        <v>-15.36</v>
      </c>
    </row>
    <row r="2192" spans="1:221" x14ac:dyDescent="0.25">
      <c r="A2192" s="127">
        <v>44865</v>
      </c>
      <c r="B2192" s="24" t="s">
        <v>133</v>
      </c>
      <c r="C2192" s="21">
        <f t="shared" si="38"/>
        <v>-137.66</v>
      </c>
      <c r="AR2192" s="74">
        <v>-33.65</v>
      </c>
      <c r="CA2192" s="106">
        <v>-34.64</v>
      </c>
      <c r="CM2192" s="74">
        <v>-35.61</v>
      </c>
      <c r="CS2192" s="74">
        <v>-33.76</v>
      </c>
    </row>
    <row r="2193" spans="1:178" x14ac:dyDescent="0.25">
      <c r="A2193" s="127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27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27">
        <v>44867</v>
      </c>
      <c r="B2195" s="24" t="s">
        <v>167</v>
      </c>
      <c r="C2195" s="21">
        <f t="shared" si="38"/>
        <v>-5.48</v>
      </c>
      <c r="E2195" s="145">
        <v>-5.48</v>
      </c>
    </row>
    <row r="2196" spans="1:178" x14ac:dyDescent="0.25">
      <c r="A2196" s="127">
        <v>44868</v>
      </c>
      <c r="B2196" s="24" t="s">
        <v>113</v>
      </c>
      <c r="C2196" s="21">
        <f t="shared" si="38"/>
        <v>4020.14</v>
      </c>
      <c r="Z2196" s="79">
        <v>354.4</v>
      </c>
      <c r="AW2196" s="74">
        <v>360.59</v>
      </c>
      <c r="BC2196" s="74">
        <v>401.67</v>
      </c>
      <c r="BO2196" s="74">
        <v>387.48</v>
      </c>
      <c r="CA2196" s="106">
        <v>403.53</v>
      </c>
      <c r="CM2196" s="74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27">
        <v>44868</v>
      </c>
      <c r="B2197" s="24" t="s">
        <v>113</v>
      </c>
      <c r="C2197" s="21">
        <f t="shared" si="38"/>
        <v>1278.49</v>
      </c>
      <c r="BO2197" s="74">
        <v>428.65</v>
      </c>
      <c r="CM2197" s="74">
        <v>409.19</v>
      </c>
      <c r="CS2197" s="74">
        <v>339</v>
      </c>
      <c r="DK2197" s="74">
        <v>101.65</v>
      </c>
    </row>
    <row r="2198" spans="1:178" x14ac:dyDescent="0.25">
      <c r="A2198" s="127">
        <v>44868</v>
      </c>
      <c r="B2198" s="24" t="s">
        <v>57</v>
      </c>
      <c r="C2198" s="21">
        <f t="shared" si="38"/>
        <v>-49.52</v>
      </c>
      <c r="BC2198" s="74">
        <v>-25.17</v>
      </c>
      <c r="BI2198" s="106">
        <v>-24.35</v>
      </c>
    </row>
    <row r="2199" spans="1:178" x14ac:dyDescent="0.25">
      <c r="A2199" s="127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74">
        <v>-22.85</v>
      </c>
      <c r="AW2199" s="74">
        <v>-23.47</v>
      </c>
      <c r="BI2199" s="106">
        <v>-23.05</v>
      </c>
      <c r="BO2199" s="74">
        <v>-26.65</v>
      </c>
      <c r="CA2199" s="106">
        <v>-16.75</v>
      </c>
      <c r="CS2199" s="74">
        <v>-16.12</v>
      </c>
    </row>
    <row r="2200" spans="1:178" x14ac:dyDescent="0.25">
      <c r="A2200" s="127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27">
        <v>44869</v>
      </c>
      <c r="B2201" s="24" t="s">
        <v>20</v>
      </c>
      <c r="C2201" s="21">
        <f t="shared" si="38"/>
        <v>-32.17</v>
      </c>
      <c r="Z2201" s="79">
        <v>-8.1</v>
      </c>
      <c r="BC2201" s="74">
        <v>-8.32</v>
      </c>
      <c r="BI2201" s="106">
        <v>-7.7</v>
      </c>
      <c r="BO2201" s="74">
        <v>-8.0500000000000007</v>
      </c>
    </row>
    <row r="2202" spans="1:178" x14ac:dyDescent="0.25">
      <c r="A2202" s="127">
        <v>44869</v>
      </c>
      <c r="B2202" s="24" t="s">
        <v>133</v>
      </c>
      <c r="C2202" s="21">
        <f t="shared" si="38"/>
        <v>-195.11</v>
      </c>
      <c r="AW2202" s="74">
        <v>-32.72</v>
      </c>
      <c r="BC2202" s="74">
        <v>-33.36</v>
      </c>
      <c r="BI2202" s="106">
        <v>-30.95</v>
      </c>
      <c r="BO2202" s="74">
        <v>-32.799999999999997</v>
      </c>
      <c r="BU2202" s="106">
        <v>-33.04</v>
      </c>
      <c r="CA2202" s="106">
        <v>-32.24</v>
      </c>
    </row>
    <row r="2203" spans="1:178" x14ac:dyDescent="0.25">
      <c r="A2203" s="127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27">
        <v>44869</v>
      </c>
      <c r="B2204" s="24" t="s">
        <v>84</v>
      </c>
      <c r="C2204" s="21">
        <f t="shared" si="38"/>
        <v>-14.35</v>
      </c>
      <c r="BI2204" s="106">
        <f>-6.6-7.75</f>
        <v>-14.35</v>
      </c>
    </row>
    <row r="2205" spans="1:178" x14ac:dyDescent="0.25">
      <c r="A2205" s="127">
        <v>44869</v>
      </c>
      <c r="B2205" s="24" t="s">
        <v>68</v>
      </c>
      <c r="C2205" s="21">
        <f t="shared" si="38"/>
        <v>-61.48</v>
      </c>
      <c r="BI2205" s="106">
        <v>-30.9</v>
      </c>
      <c r="BO2205" s="74">
        <v>-30.58</v>
      </c>
    </row>
    <row r="2206" spans="1:178" x14ac:dyDescent="0.25">
      <c r="A2206" s="127">
        <v>44869</v>
      </c>
      <c r="B2206" s="24" t="s">
        <v>57</v>
      </c>
      <c r="C2206" s="21">
        <f t="shared" si="38"/>
        <v>-534.85</v>
      </c>
      <c r="Z2206" s="79">
        <v>-8.48</v>
      </c>
      <c r="AN2206" s="74">
        <v>-63.6</v>
      </c>
      <c r="AR2206" s="74">
        <v>-64.599999999999994</v>
      </c>
      <c r="AW2206" s="74">
        <v>-67.739999999999995</v>
      </c>
      <c r="BC2206" s="74">
        <v>-66.790000000000006</v>
      </c>
      <c r="BO2206" s="74">
        <v>-64.849999999999994</v>
      </c>
      <c r="CA2206" s="106">
        <v>-64.34</v>
      </c>
      <c r="CM2206" s="74">
        <v>-68</v>
      </c>
      <c r="CS2206" s="74">
        <v>-66.45</v>
      </c>
    </row>
    <row r="2207" spans="1:178" x14ac:dyDescent="0.25">
      <c r="A2207" s="127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27">
        <v>44872</v>
      </c>
      <c r="B2208" s="24" t="s">
        <v>32</v>
      </c>
      <c r="C2208" s="21">
        <f t="shared" si="38"/>
        <v>-116</v>
      </c>
      <c r="AW2208" s="74">
        <v>-33.840000000000003</v>
      </c>
      <c r="BC2208" s="74">
        <v>-33.43</v>
      </c>
      <c r="BO2208" s="74">
        <v>-32.15</v>
      </c>
      <c r="CA2208" s="106">
        <v>-16.579999999999998</v>
      </c>
    </row>
    <row r="2209" spans="1:214" x14ac:dyDescent="0.25">
      <c r="A2209" s="127">
        <v>44872</v>
      </c>
      <c r="B2209" s="24" t="s">
        <v>43</v>
      </c>
      <c r="C2209" s="21">
        <f t="shared" si="38"/>
        <v>-591.34</v>
      </c>
      <c r="BO2209" s="74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27">
        <v>44872</v>
      </c>
      <c r="B2210" s="24" t="s">
        <v>167</v>
      </c>
      <c r="C2210" s="21">
        <f t="shared" si="38"/>
        <v>-20</v>
      </c>
      <c r="D2210" s="145">
        <v>-10</v>
      </c>
      <c r="E2210" s="145">
        <v>-10</v>
      </c>
    </row>
    <row r="2211" spans="1:214" x14ac:dyDescent="0.25">
      <c r="A2211" s="127">
        <v>44873</v>
      </c>
      <c r="B2211" s="24" t="s">
        <v>149</v>
      </c>
      <c r="C2211" s="21">
        <f t="shared" si="38"/>
        <v>-17.45</v>
      </c>
      <c r="CM2211" s="74">
        <v>-17.45</v>
      </c>
    </row>
    <row r="2212" spans="1:214" x14ac:dyDescent="0.25">
      <c r="A2212" s="127">
        <v>44873</v>
      </c>
      <c r="B2212" s="24" t="s">
        <v>84</v>
      </c>
      <c r="C2212" s="21">
        <f t="shared" si="38"/>
        <v>-16.489999999999998</v>
      </c>
      <c r="AW2212" s="74">
        <v>-8.15</v>
      </c>
      <c r="BC2212" s="74">
        <v>-8.34</v>
      </c>
    </row>
    <row r="2213" spans="1:214" x14ac:dyDescent="0.25">
      <c r="A2213" s="127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27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27">
        <v>44873</v>
      </c>
      <c r="B2215" s="24" t="s">
        <v>138</v>
      </c>
      <c r="C2215" s="21">
        <f t="shared" si="38"/>
        <v>-8.66</v>
      </c>
      <c r="O2215" s="375">
        <v>-8.66</v>
      </c>
    </row>
    <row r="2216" spans="1:214" x14ac:dyDescent="0.25">
      <c r="A2216" s="127">
        <v>44873</v>
      </c>
      <c r="B2216" s="29" t="s">
        <v>25</v>
      </c>
      <c r="C2216" s="21">
        <f t="shared" si="38"/>
        <v>-49.86</v>
      </c>
      <c r="AN2216" s="74">
        <v>-7.85</v>
      </c>
      <c r="AW2216" s="74">
        <v>-8.73</v>
      </c>
      <c r="BC2216" s="74">
        <v>-8.44</v>
      </c>
      <c r="BO2216" s="74">
        <v>-8</v>
      </c>
      <c r="BU2216" s="106">
        <v>-8.65</v>
      </c>
      <c r="CA2216" s="106">
        <v>-8.19</v>
      </c>
    </row>
    <row r="2217" spans="1:214" x14ac:dyDescent="0.25">
      <c r="A2217" s="127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27">
        <v>44873</v>
      </c>
      <c r="B2218" s="29" t="s">
        <v>59</v>
      </c>
      <c r="C2218" s="21">
        <f t="shared" si="38"/>
        <v>-7.82</v>
      </c>
      <c r="BC2218" s="74">
        <v>-3.67</v>
      </c>
      <c r="CS2218" s="74">
        <v>-4.1500000000000004</v>
      </c>
    </row>
    <row r="2219" spans="1:214" x14ac:dyDescent="0.25">
      <c r="A2219" s="127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27">
        <v>44874</v>
      </c>
      <c r="B2220" s="24" t="s">
        <v>113</v>
      </c>
      <c r="C2220" s="21">
        <f t="shared" si="38"/>
        <v>346.66</v>
      </c>
      <c r="BI2220" s="106">
        <v>346.66</v>
      </c>
    </row>
    <row r="2221" spans="1:214" x14ac:dyDescent="0.25">
      <c r="A2221" s="127">
        <v>44874</v>
      </c>
      <c r="B2221" s="24" t="s">
        <v>113</v>
      </c>
      <c r="C2221" s="21">
        <f t="shared" si="38"/>
        <v>0</v>
      </c>
    </row>
    <row r="2222" spans="1:214" x14ac:dyDescent="0.25">
      <c r="A2222" s="127">
        <v>44874</v>
      </c>
      <c r="B2222" s="24" t="s">
        <v>152</v>
      </c>
      <c r="C2222" s="21">
        <f t="shared" si="38"/>
        <v>-1265.3399999999999</v>
      </c>
      <c r="V2222" s="74">
        <v>-33.39</v>
      </c>
      <c r="Z2222" s="79">
        <v>-33.75</v>
      </c>
      <c r="AR2222" s="74">
        <v>-30.85</v>
      </c>
      <c r="BC2222" s="74">
        <v>-67.19</v>
      </c>
      <c r="BI2222" s="106">
        <v>-69.78</v>
      </c>
      <c r="BO2222" s="74">
        <v>-130.94999999999999</v>
      </c>
      <c r="CA2222" s="106">
        <v>-32.380000000000003</v>
      </c>
      <c r="CM2222" s="74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27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74">
        <v>-15.95</v>
      </c>
      <c r="BC2223" s="74">
        <v>-33.450000000000003</v>
      </c>
      <c r="BI2223" s="106">
        <v>-34.799999999999997</v>
      </c>
      <c r="BO2223" s="74">
        <v>-67.599999999999994</v>
      </c>
      <c r="CA2223" s="106">
        <v>-64.94</v>
      </c>
      <c r="DE2223" s="74">
        <v>-35.18</v>
      </c>
      <c r="EA2223" s="74">
        <v>-202.2</v>
      </c>
    </row>
    <row r="2224" spans="1:214" x14ac:dyDescent="0.25">
      <c r="A2224" s="127">
        <v>44874</v>
      </c>
      <c r="B2224" s="24" t="s">
        <v>15</v>
      </c>
      <c r="C2224" s="21">
        <f t="shared" si="38"/>
        <v>-29.95</v>
      </c>
      <c r="AR2224" s="74">
        <v>-29.95</v>
      </c>
    </row>
    <row r="2225" spans="1:180" x14ac:dyDescent="0.25">
      <c r="A2225" s="127">
        <v>44874</v>
      </c>
      <c r="B2225" s="24" t="s">
        <v>133</v>
      </c>
      <c r="C2225" s="21">
        <f t="shared" ref="C2225:C2288" si="39">SUM(D2225:JT2225)</f>
        <v>-202.22</v>
      </c>
      <c r="Z2225" s="79">
        <v>-33.869999999999997</v>
      </c>
      <c r="BC2225" s="74">
        <v>-33.53</v>
      </c>
      <c r="BI2225" s="106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27">
        <v>44875</v>
      </c>
      <c r="B2226" s="24" t="s">
        <v>17</v>
      </c>
      <c r="C2226" s="21">
        <f t="shared" si="39"/>
        <v>-49.58</v>
      </c>
      <c r="AW2226" s="74">
        <v>-7.81</v>
      </c>
      <c r="BI2226" s="106">
        <v>-9.11</v>
      </c>
      <c r="BO2226" s="74">
        <v>-8.25</v>
      </c>
      <c r="BU2226" s="106">
        <v>-7.92</v>
      </c>
      <c r="CA2226" s="106">
        <v>-7.79</v>
      </c>
      <c r="CM2226" s="74">
        <v>-8.6999999999999993</v>
      </c>
    </row>
    <row r="2227" spans="1:180" x14ac:dyDescent="0.25">
      <c r="A2227" s="127">
        <v>44875</v>
      </c>
      <c r="B2227" s="24" t="s">
        <v>43</v>
      </c>
      <c r="C2227" s="21">
        <f t="shared" si="39"/>
        <v>-69.13</v>
      </c>
      <c r="CY2227" s="74">
        <v>-69.13</v>
      </c>
    </row>
    <row r="2228" spans="1:180" x14ac:dyDescent="0.25">
      <c r="A2228" s="127">
        <v>44875</v>
      </c>
      <c r="B2228" s="24" t="s">
        <v>32</v>
      </c>
      <c r="C2228" s="21">
        <f t="shared" si="39"/>
        <v>-82.71</v>
      </c>
      <c r="AN2228" s="74">
        <v>-13.95</v>
      </c>
      <c r="AR2228" s="74">
        <v>-16</v>
      </c>
      <c r="BI2228" s="106">
        <v>-36.18</v>
      </c>
      <c r="CM2228" s="74">
        <v>-16.579999999999998</v>
      </c>
    </row>
    <row r="2229" spans="1:180" x14ac:dyDescent="0.25">
      <c r="A2229" s="127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27">
        <v>44875</v>
      </c>
      <c r="B2230" s="24" t="s">
        <v>25</v>
      </c>
      <c r="C2230" s="21">
        <f t="shared" si="39"/>
        <v>-17.8</v>
      </c>
      <c r="BI2230" s="106">
        <v>-9.19</v>
      </c>
      <c r="CE2230" s="42">
        <v>-8.61</v>
      </c>
    </row>
    <row r="2231" spans="1:180" x14ac:dyDescent="0.25">
      <c r="A2231" s="127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27">
        <v>44875</v>
      </c>
      <c r="B2232" s="24" t="s">
        <v>59</v>
      </c>
      <c r="C2232" s="21">
        <f t="shared" si="39"/>
        <v>-4.16</v>
      </c>
      <c r="CM2232" s="74">
        <v>-2.38</v>
      </c>
      <c r="CS2232" s="74">
        <v>-1.78</v>
      </c>
    </row>
    <row r="2233" spans="1:180" x14ac:dyDescent="0.25">
      <c r="A2233" s="127">
        <v>44879</v>
      </c>
      <c r="B2233" s="24" t="s">
        <v>113</v>
      </c>
      <c r="C2233" s="21">
        <f t="shared" si="39"/>
        <v>2767.93</v>
      </c>
      <c r="AC2233" s="74">
        <v>349.85</v>
      </c>
      <c r="AG2233" s="106">
        <v>320.76</v>
      </c>
      <c r="BC2233" s="74">
        <v>353.86</v>
      </c>
      <c r="BU2233" s="106">
        <v>341</v>
      </c>
      <c r="CA2233" s="106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27">
        <v>44879</v>
      </c>
      <c r="B2234" s="24" t="s">
        <v>32</v>
      </c>
      <c r="C2234" s="21">
        <f t="shared" si="39"/>
        <v>-144.42500000000001</v>
      </c>
      <c r="AR2234" s="74">
        <v>-13.45</v>
      </c>
      <c r="BO2234" s="74">
        <v>-34.85</v>
      </c>
      <c r="BU2234" s="106">
        <v>-34.340000000000003</v>
      </c>
      <c r="CA2234" s="106">
        <v>-32.119999999999997</v>
      </c>
      <c r="ET2234" s="106">
        <v>-8.1</v>
      </c>
      <c r="FX2234" s="34">
        <v>-21.565000000000001</v>
      </c>
    </row>
    <row r="2235" spans="1:180" x14ac:dyDescent="0.25">
      <c r="A2235" s="127">
        <v>44879</v>
      </c>
      <c r="B2235" s="24" t="s">
        <v>133</v>
      </c>
      <c r="C2235" s="21">
        <f t="shared" si="39"/>
        <v>-97.85</v>
      </c>
      <c r="BC2235" s="74">
        <v>-29.96</v>
      </c>
      <c r="BU2235" s="106">
        <v>-33.44</v>
      </c>
      <c r="CG2235" s="106">
        <v>-34.450000000000003</v>
      </c>
    </row>
    <row r="2236" spans="1:180" x14ac:dyDescent="0.25">
      <c r="A2236" s="127">
        <v>44879</v>
      </c>
      <c r="B2236" s="24" t="s">
        <v>43</v>
      </c>
      <c r="C2236" s="21">
        <f t="shared" si="39"/>
        <v>-653.66999999999996</v>
      </c>
      <c r="AN2236" s="74">
        <v>-62.7</v>
      </c>
      <c r="AW2236" s="74">
        <v>-34.56</v>
      </c>
      <c r="BC2236" s="74">
        <v>-86.5</v>
      </c>
      <c r="BI2236" s="106">
        <v>-68.36</v>
      </c>
      <c r="BO2236" s="74">
        <v>-68.45</v>
      </c>
      <c r="BU2236" s="106">
        <v>-137.41999999999999</v>
      </c>
      <c r="CA2236" s="106">
        <v>-63.24</v>
      </c>
      <c r="CM2236" s="74">
        <v>-66.5</v>
      </c>
      <c r="DU2236" s="106">
        <v>-65.94</v>
      </c>
    </row>
    <row r="2237" spans="1:180" x14ac:dyDescent="0.25">
      <c r="A2237" s="127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74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106">
        <v>-32.46</v>
      </c>
      <c r="CE2237" s="42">
        <v>17.48</v>
      </c>
      <c r="CM2237" s="74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27">
        <v>44879</v>
      </c>
      <c r="B2238" s="24" t="s">
        <v>57</v>
      </c>
      <c r="C2238" s="21">
        <f t="shared" si="39"/>
        <v>-118.63</v>
      </c>
      <c r="AC2238" s="74">
        <v>-15.4</v>
      </c>
      <c r="BI2238" s="106">
        <v>-34.68</v>
      </c>
      <c r="BU2238" s="106">
        <v>-34</v>
      </c>
      <c r="CG2238" s="106">
        <v>-34.549999999999997</v>
      </c>
    </row>
    <row r="2239" spans="1:180" x14ac:dyDescent="0.25">
      <c r="A2239" s="127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106">
        <v>-7.93</v>
      </c>
    </row>
    <row r="2240" spans="1:180" x14ac:dyDescent="0.25">
      <c r="A2240" s="127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27">
        <v>44879</v>
      </c>
      <c r="B2241" s="24" t="s">
        <v>68</v>
      </c>
      <c r="C2241" s="21">
        <f t="shared" si="39"/>
        <v>-62.14</v>
      </c>
      <c r="BC2241" s="74">
        <v>-27.66</v>
      </c>
      <c r="BU2241" s="106">
        <v>-34.479999999999997</v>
      </c>
    </row>
    <row r="2242" spans="1:232" x14ac:dyDescent="0.25">
      <c r="A2242" s="127">
        <v>44879</v>
      </c>
      <c r="B2242" s="24" t="s">
        <v>168</v>
      </c>
      <c r="C2242" s="21">
        <f t="shared" si="39"/>
        <v>-8.73</v>
      </c>
      <c r="AW2242" s="74">
        <v>-8.73</v>
      </c>
    </row>
    <row r="2243" spans="1:232" x14ac:dyDescent="0.25">
      <c r="A2243" s="127">
        <v>44880</v>
      </c>
      <c r="B2243" s="24" t="s">
        <v>32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27">
        <v>44880</v>
      </c>
      <c r="B2244" s="24" t="s">
        <v>26</v>
      </c>
      <c r="C2244" s="21">
        <f t="shared" si="39"/>
        <v>-65.95</v>
      </c>
      <c r="V2244" s="74">
        <v>-8.1</v>
      </c>
      <c r="BC2244" s="74">
        <v>-16.690000000000001</v>
      </c>
      <c r="BO2244" s="74">
        <v>-8</v>
      </c>
      <c r="BU2244" s="106">
        <v>-7.65</v>
      </c>
      <c r="CA2244" s="106">
        <v>-8.2100000000000009</v>
      </c>
      <c r="CG2244" s="106">
        <v>-17.3</v>
      </c>
    </row>
    <row r="2245" spans="1:232" x14ac:dyDescent="0.25">
      <c r="A2245" s="127">
        <v>44880</v>
      </c>
      <c r="B2245" s="24" t="s">
        <v>20</v>
      </c>
      <c r="C2245" s="21">
        <f t="shared" si="39"/>
        <v>-56.26</v>
      </c>
      <c r="AW2245" s="74">
        <v>-6.45</v>
      </c>
      <c r="BC2245" s="74">
        <v>-7.99</v>
      </c>
      <c r="BI2245" s="106">
        <v>-7.29</v>
      </c>
      <c r="BU2245" s="106">
        <v>-8.75</v>
      </c>
      <c r="CA2245" s="106">
        <v>-9</v>
      </c>
      <c r="CM2245" s="74">
        <v>-8.41</v>
      </c>
      <c r="CS2245" s="74">
        <v>-8.3699999999999992</v>
      </c>
    </row>
    <row r="2246" spans="1:232" x14ac:dyDescent="0.25">
      <c r="A2246" s="127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27">
        <v>44880</v>
      </c>
      <c r="B2247" s="24" t="s">
        <v>59</v>
      </c>
      <c r="C2247" s="21">
        <f t="shared" si="39"/>
        <v>-4.57</v>
      </c>
      <c r="AC2247" s="74">
        <v>-1.26</v>
      </c>
      <c r="CA2247" s="106">
        <v>-1.59</v>
      </c>
      <c r="CG2247" s="106">
        <v>-1.72</v>
      </c>
    </row>
    <row r="2248" spans="1:232" x14ac:dyDescent="0.25">
      <c r="A2248" s="127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27">
        <v>44881</v>
      </c>
      <c r="B2249" s="24" t="s">
        <v>59</v>
      </c>
      <c r="C2249" s="21">
        <f t="shared" si="39"/>
        <v>-8.6</v>
      </c>
      <c r="BO2249" s="74">
        <v>-8.6</v>
      </c>
    </row>
    <row r="2250" spans="1:232" x14ac:dyDescent="0.25">
      <c r="A2250" s="127">
        <v>44881</v>
      </c>
      <c r="B2250" s="24" t="s">
        <v>75</v>
      </c>
      <c r="C2250" s="21">
        <f t="shared" si="39"/>
        <v>-75.400000000000006</v>
      </c>
      <c r="BC2250" s="74">
        <v>-7.99</v>
      </c>
      <c r="BG2250" s="42">
        <v>-8.1300000000000008</v>
      </c>
      <c r="BO2250" s="74">
        <v>-8.5500000000000007</v>
      </c>
      <c r="BU2250" s="106">
        <v>-8.4700000000000006</v>
      </c>
      <c r="CA2250" s="106">
        <v>-8.6999999999999993</v>
      </c>
      <c r="CG2250" s="106">
        <v>-16.5</v>
      </c>
      <c r="CM2250" s="74">
        <v>-17.059999999999999</v>
      </c>
    </row>
    <row r="2251" spans="1:232" x14ac:dyDescent="0.25">
      <c r="A2251" s="127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27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27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27">
        <v>44881</v>
      </c>
      <c r="B2254" s="24" t="s">
        <v>152</v>
      </c>
      <c r="C2254" s="21">
        <f t="shared" si="39"/>
        <v>-593.53</v>
      </c>
      <c r="AC2254" s="74">
        <v>-32.200000000000003</v>
      </c>
      <c r="AN2254" s="74">
        <v>-61.5</v>
      </c>
      <c r="BI2254" s="106">
        <v>-35.08</v>
      </c>
      <c r="BO2254" s="74">
        <v>-34.200000000000003</v>
      </c>
      <c r="BU2254" s="106">
        <v>-33.94</v>
      </c>
      <c r="CA2254" s="106">
        <v>-31.82</v>
      </c>
      <c r="CG2254" s="106">
        <v>-68.75</v>
      </c>
      <c r="CM2254" s="74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27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27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27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27">
        <v>44883</v>
      </c>
      <c r="B2258" s="24" t="s">
        <v>139</v>
      </c>
      <c r="C2258" s="21">
        <f t="shared" si="39"/>
        <v>-64.16</v>
      </c>
      <c r="BC2258" s="74">
        <v>-8.34</v>
      </c>
      <c r="CA2258" s="106">
        <v>-8.9499999999999993</v>
      </c>
      <c r="CG2258" s="106">
        <v>-7.6</v>
      </c>
      <c r="CM2258" s="74">
        <v>-15.54</v>
      </c>
      <c r="CS2258" s="74">
        <v>-15.6</v>
      </c>
      <c r="CY2258" s="74">
        <v>-8.1300000000000008</v>
      </c>
    </row>
    <row r="2259" spans="1:221" x14ac:dyDescent="0.25">
      <c r="A2259" s="127">
        <v>44883</v>
      </c>
      <c r="B2259" s="24" t="s">
        <v>133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74">
        <v>-34.549999999999997</v>
      </c>
    </row>
    <row r="2260" spans="1:221" x14ac:dyDescent="0.25">
      <c r="A2260" s="127">
        <v>44883</v>
      </c>
      <c r="B2260" s="24" t="s">
        <v>152</v>
      </c>
      <c r="C2260" s="21">
        <f t="shared" si="39"/>
        <v>-720.91499999999996</v>
      </c>
      <c r="L2260" s="69">
        <v>-17.285</v>
      </c>
      <c r="AN2260" s="74">
        <v>-32.299999999999997</v>
      </c>
      <c r="AW2260" s="74">
        <v>-32.96</v>
      </c>
      <c r="BI2260" s="106">
        <v>-33.159999999999997</v>
      </c>
      <c r="BO2260" s="74">
        <v>-34.25</v>
      </c>
      <c r="BU2260" s="106">
        <v>-97.8</v>
      </c>
      <c r="CA2260" s="106">
        <v>-96.78</v>
      </c>
      <c r="CG2260" s="106">
        <v>-69.099999999999994</v>
      </c>
      <c r="CM2260" s="74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27">
        <v>44883</v>
      </c>
      <c r="B2261" s="24" t="s">
        <v>113</v>
      </c>
      <c r="C2261" s="21">
        <f t="shared" si="39"/>
        <v>1277.3699999999999</v>
      </c>
      <c r="BI2261" s="106">
        <v>505.86</v>
      </c>
      <c r="BU2261" s="106">
        <v>517.91999999999996</v>
      </c>
      <c r="EZ2261" s="92">
        <v>253.59</v>
      </c>
    </row>
    <row r="2262" spans="1:221" x14ac:dyDescent="0.25">
      <c r="A2262" s="127">
        <v>44884</v>
      </c>
      <c r="B2262" s="24" t="s">
        <v>133</v>
      </c>
      <c r="C2262" s="21">
        <f t="shared" si="39"/>
        <v>-32.64</v>
      </c>
      <c r="BI2262" s="106">
        <v>-32.64</v>
      </c>
    </row>
    <row r="2263" spans="1:221" x14ac:dyDescent="0.25">
      <c r="A2263" s="127">
        <v>44886</v>
      </c>
      <c r="B2263" s="24" t="s">
        <v>59</v>
      </c>
      <c r="C2263" s="21">
        <f t="shared" si="39"/>
        <v>-17.559999999999999</v>
      </c>
      <c r="BU2263" s="106">
        <v>-8.61</v>
      </c>
      <c r="CA2263" s="106">
        <v>-8.9499999999999993</v>
      </c>
    </row>
    <row r="2264" spans="1:221" x14ac:dyDescent="0.25">
      <c r="A2264" s="127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106">
        <v>-100.52</v>
      </c>
      <c r="BO2264" s="74">
        <v>-34.35</v>
      </c>
      <c r="BU2264" s="106">
        <v>-97.98</v>
      </c>
      <c r="CA2264" s="106">
        <v>-97.24</v>
      </c>
      <c r="CG2264" s="106">
        <v>-69.150000000000006</v>
      </c>
      <c r="CS2264" s="74">
        <v>-64.400000000000006</v>
      </c>
    </row>
    <row r="2265" spans="1:221" x14ac:dyDescent="0.25">
      <c r="A2265" s="127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27">
        <v>44886</v>
      </c>
      <c r="B2266" s="24" t="s">
        <v>133</v>
      </c>
      <c r="C2266" s="21">
        <f t="shared" si="39"/>
        <v>-32.159999999999997</v>
      </c>
      <c r="CA2266" s="106">
        <v>-32.159999999999997</v>
      </c>
    </row>
    <row r="2267" spans="1:221" x14ac:dyDescent="0.25">
      <c r="A2267" s="127">
        <v>44886</v>
      </c>
      <c r="B2267" s="24" t="s">
        <v>17</v>
      </c>
      <c r="C2267" s="21">
        <f t="shared" si="39"/>
        <v>-84.69</v>
      </c>
      <c r="Z2267" s="79">
        <v>-8.4600000000000009</v>
      </c>
      <c r="AR2267" s="74">
        <v>-8.0500000000000007</v>
      </c>
      <c r="AW2267" s="74">
        <v>-7.97</v>
      </c>
      <c r="BI2267" s="106">
        <v>-35.5</v>
      </c>
      <c r="CG2267" s="106">
        <v>-17.2</v>
      </c>
      <c r="CY2267" s="74">
        <v>-7.51</v>
      </c>
    </row>
    <row r="2268" spans="1:221" x14ac:dyDescent="0.25">
      <c r="A2268" s="127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27">
        <v>44886</v>
      </c>
      <c r="B2269" s="24" t="s">
        <v>59</v>
      </c>
      <c r="C2269" s="21">
        <f t="shared" si="39"/>
        <v>-11.24</v>
      </c>
      <c r="CM2269" s="74">
        <v>-6.43</v>
      </c>
      <c r="CS2269" s="74">
        <v>-4.8099999999999996</v>
      </c>
    </row>
    <row r="2270" spans="1:221" x14ac:dyDescent="0.25">
      <c r="A2270" s="127">
        <v>44887</v>
      </c>
      <c r="B2270" s="24" t="s">
        <v>75</v>
      </c>
      <c r="C2270" s="21">
        <f t="shared" si="39"/>
        <v>-42.29</v>
      </c>
      <c r="BI2270" s="106">
        <v>-9.07</v>
      </c>
      <c r="BO2270" s="74">
        <v>-8.6</v>
      </c>
      <c r="BU2270" s="106">
        <v>-7.23</v>
      </c>
      <c r="CE2270" s="42">
        <v>-8.64</v>
      </c>
      <c r="CM2270" s="74">
        <v>-8.75</v>
      </c>
    </row>
    <row r="2271" spans="1:221" x14ac:dyDescent="0.25">
      <c r="A2271" s="127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27">
        <v>44887</v>
      </c>
      <c r="B2272" s="24" t="s">
        <v>139</v>
      </c>
      <c r="C2272" s="21">
        <f t="shared" si="39"/>
        <v>-9.15</v>
      </c>
      <c r="BI2272" s="106">
        <v>-9.15</v>
      </c>
    </row>
    <row r="2273" spans="1:230" x14ac:dyDescent="0.25">
      <c r="A2273" s="127">
        <v>44887</v>
      </c>
      <c r="B2273" s="24" t="s">
        <v>25</v>
      </c>
      <c r="C2273" s="21">
        <f t="shared" si="39"/>
        <v>-22.44</v>
      </c>
      <c r="BO2273" s="74">
        <v>-6.9</v>
      </c>
      <c r="BU2273" s="106">
        <v>-7.43</v>
      </c>
      <c r="CA2273" s="106">
        <v>-8.11</v>
      </c>
    </row>
    <row r="2274" spans="1:230" x14ac:dyDescent="0.25">
      <c r="A2274" s="127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27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74">
        <v>-14.4</v>
      </c>
      <c r="BU2275" s="106">
        <v>-16.940000000000001</v>
      </c>
    </row>
    <row r="2276" spans="1:230" x14ac:dyDescent="0.25">
      <c r="A2276" s="127">
        <v>44887</v>
      </c>
      <c r="B2276" s="24" t="s">
        <v>113</v>
      </c>
      <c r="C2276" s="21">
        <f t="shared" si="39"/>
        <v>2193.36</v>
      </c>
      <c r="AR2276" s="74">
        <v>414.89</v>
      </c>
      <c r="AW2276" s="74">
        <v>353.74</v>
      </c>
      <c r="BO2276" s="74">
        <v>521.08000000000004</v>
      </c>
      <c r="CG2276" s="106">
        <v>408.8</v>
      </c>
      <c r="HP2276" s="79">
        <v>494.85</v>
      </c>
    </row>
    <row r="2277" spans="1:230" x14ac:dyDescent="0.25">
      <c r="A2277" s="127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27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27">
        <v>44888</v>
      </c>
      <c r="B2279" s="24" t="s">
        <v>68</v>
      </c>
      <c r="C2279" s="21">
        <f t="shared" si="39"/>
        <v>-69.27</v>
      </c>
      <c r="CG2279" s="106">
        <v>-34.549999999999997</v>
      </c>
      <c r="CM2279" s="74">
        <v>-34.72</v>
      </c>
    </row>
    <row r="2280" spans="1:230" x14ac:dyDescent="0.25">
      <c r="A2280" s="127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27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27">
        <v>44889</v>
      </c>
      <c r="B2282" s="24" t="s">
        <v>133</v>
      </c>
      <c r="C2282" s="21">
        <f t="shared" si="39"/>
        <v>-172.17</v>
      </c>
      <c r="AR2282" s="74">
        <v>-34.479999999999997</v>
      </c>
      <c r="BO2282" s="74">
        <v>-36.04</v>
      </c>
      <c r="BU2282" s="106">
        <v>-35.32</v>
      </c>
      <c r="CA2282" s="106">
        <v>-32.58</v>
      </c>
      <c r="DK2282" s="74">
        <v>-33.75</v>
      </c>
    </row>
    <row r="2283" spans="1:230" x14ac:dyDescent="0.25">
      <c r="A2283" s="127">
        <v>44890</v>
      </c>
      <c r="B2283" s="24" t="s">
        <v>17</v>
      </c>
      <c r="C2283" s="21">
        <f t="shared" si="39"/>
        <v>-78.349999999999994</v>
      </c>
      <c r="BU2283" s="106">
        <v>-14.54</v>
      </c>
      <c r="CA2283" s="106">
        <v>-15.26</v>
      </c>
      <c r="CG2283" s="106">
        <v>-8.65</v>
      </c>
      <c r="CM2283" s="74">
        <v>-8.6999999999999993</v>
      </c>
      <c r="CS2283" s="74">
        <v>-15.64</v>
      </c>
      <c r="CY2283" s="74">
        <v>-15.56</v>
      </c>
    </row>
    <row r="2284" spans="1:230" x14ac:dyDescent="0.25">
      <c r="A2284" s="127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27">
        <v>44890</v>
      </c>
      <c r="B2285" s="24" t="s">
        <v>139</v>
      </c>
      <c r="C2285" s="21">
        <f t="shared" si="39"/>
        <v>-42.57</v>
      </c>
      <c r="BU2285" s="106">
        <v>-8.81</v>
      </c>
      <c r="CA2285" s="106">
        <v>-8.07</v>
      </c>
      <c r="CG2285" s="106">
        <v>-8.6</v>
      </c>
      <c r="CQ2285" s="42">
        <v>-8.4</v>
      </c>
      <c r="CY2285" s="74">
        <v>-8.69</v>
      </c>
    </row>
    <row r="2286" spans="1:230" x14ac:dyDescent="0.25">
      <c r="A2286" s="127">
        <v>44890</v>
      </c>
      <c r="B2286" s="24" t="s">
        <v>162</v>
      </c>
      <c r="C2286" s="21">
        <f t="shared" si="39"/>
        <v>-155.02000000000001</v>
      </c>
      <c r="AR2286" s="74">
        <v>-17.23</v>
      </c>
      <c r="AW2286" s="74">
        <v>-17.399999999999999</v>
      </c>
      <c r="BC2286" s="74">
        <v>-16.73</v>
      </c>
      <c r="BI2286" s="106">
        <v>-18.04</v>
      </c>
      <c r="BO2286" s="74">
        <v>-17.149999999999999</v>
      </c>
      <c r="BU2286" s="106">
        <v>-17.34</v>
      </c>
      <c r="CA2286" s="106">
        <v>-16.38</v>
      </c>
      <c r="CG2286" s="106">
        <v>-17.3</v>
      </c>
      <c r="CM2286" s="74">
        <v>-17.45</v>
      </c>
    </row>
    <row r="2287" spans="1:230" x14ac:dyDescent="0.25">
      <c r="A2287" s="127">
        <v>44890</v>
      </c>
      <c r="B2287" s="24" t="s">
        <v>25</v>
      </c>
      <c r="C2287" s="21">
        <f t="shared" si="39"/>
        <v>-33</v>
      </c>
      <c r="BU2287" s="106">
        <v>-15.82</v>
      </c>
      <c r="CA2287" s="106">
        <v>-8.5299999999999994</v>
      </c>
      <c r="CG2287" s="106">
        <v>-8.65</v>
      </c>
    </row>
    <row r="2288" spans="1:230" x14ac:dyDescent="0.25">
      <c r="A2288" s="127">
        <v>44890</v>
      </c>
      <c r="B2288" s="24" t="s">
        <v>39</v>
      </c>
      <c r="C2288" s="21">
        <f t="shared" si="39"/>
        <v>-30.58</v>
      </c>
      <c r="AC2288" s="74">
        <v>-15.7</v>
      </c>
      <c r="BI2288" s="106">
        <v>-14.88</v>
      </c>
    </row>
    <row r="2289" spans="1:230" x14ac:dyDescent="0.25">
      <c r="A2289" s="127">
        <v>44890</v>
      </c>
      <c r="B2289" s="24" t="s">
        <v>95</v>
      </c>
      <c r="C2289" s="21">
        <f t="shared" ref="C2289:C2352" si="40">SUM(D2289:JT2289)</f>
        <v>-306.48</v>
      </c>
      <c r="BC2289" s="74">
        <v>-27.68</v>
      </c>
      <c r="BO2289" s="74">
        <v>-70.459999999999994</v>
      </c>
      <c r="BU2289" s="106">
        <v>-63.18</v>
      </c>
      <c r="BY2289" s="42">
        <v>-8.6300000000000008</v>
      </c>
      <c r="CG2289" s="106">
        <v>-67.25</v>
      </c>
      <c r="CM2289" s="74">
        <v>-69.28</v>
      </c>
    </row>
    <row r="2290" spans="1:230" x14ac:dyDescent="0.25">
      <c r="A2290" s="127">
        <v>44890</v>
      </c>
      <c r="B2290" s="24" t="s">
        <v>59</v>
      </c>
      <c r="C2290" s="21">
        <f t="shared" si="40"/>
        <v>-6.84</v>
      </c>
      <c r="CG2290" s="106">
        <v>-3.02</v>
      </c>
      <c r="CS2290" s="74">
        <v>-1.8</v>
      </c>
      <c r="CY2290" s="74">
        <v>-2.02</v>
      </c>
    </row>
    <row r="2291" spans="1:230" x14ac:dyDescent="0.25">
      <c r="A2291" s="127">
        <v>44890</v>
      </c>
      <c r="B2291" s="24" t="s">
        <v>113</v>
      </c>
      <c r="C2291" s="21">
        <f t="shared" si="40"/>
        <v>1012.88</v>
      </c>
      <c r="AN2291" s="74">
        <v>398.32</v>
      </c>
      <c r="CA2291" s="106">
        <v>352.66</v>
      </c>
      <c r="FC2291" s="106">
        <v>261.89999999999998</v>
      </c>
    </row>
    <row r="2292" spans="1:230" x14ac:dyDescent="0.25">
      <c r="A2292" s="127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74">
        <v>-34.770000000000003</v>
      </c>
      <c r="BC2292" s="74">
        <v>-62.19</v>
      </c>
      <c r="BO2292" s="74">
        <v>-34.82</v>
      </c>
      <c r="BU2292" s="106">
        <v>-64.599999999999994</v>
      </c>
      <c r="CA2292" s="106">
        <v>-131.32</v>
      </c>
      <c r="CG2292" s="106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27">
        <v>44893</v>
      </c>
      <c r="B2293" s="24" t="s">
        <v>133</v>
      </c>
      <c r="C2293" s="21">
        <f t="shared" si="40"/>
        <v>-136.65</v>
      </c>
      <c r="AN2293" s="74">
        <v>-33.22</v>
      </c>
      <c r="BI2293" s="106">
        <v>-36.340000000000003</v>
      </c>
      <c r="CA2293" s="106">
        <v>-32.44</v>
      </c>
      <c r="CG2293" s="106">
        <v>-34.65</v>
      </c>
    </row>
    <row r="2294" spans="1:230" x14ac:dyDescent="0.25">
      <c r="A2294" s="127">
        <v>44893</v>
      </c>
      <c r="B2294" s="24" t="s">
        <v>95</v>
      </c>
      <c r="C2294" s="21">
        <f t="shared" si="40"/>
        <v>-757.65</v>
      </c>
      <c r="AC2294" s="74">
        <v>-31.35</v>
      </c>
      <c r="AG2294" s="106">
        <v>-71.52</v>
      </c>
      <c r="AR2294" s="74">
        <v>-34.11</v>
      </c>
      <c r="AW2294" s="74">
        <v>-62.54</v>
      </c>
      <c r="BI2294" s="106">
        <v>-103.66</v>
      </c>
      <c r="BO2294" s="74">
        <v>-104.32</v>
      </c>
      <c r="BU2294" s="106">
        <v>-31.94</v>
      </c>
      <c r="CA2294" s="106">
        <v>-99.52</v>
      </c>
      <c r="CG2294" s="106">
        <v>-64.349999999999994</v>
      </c>
      <c r="CM2294" s="74">
        <v>-27.3</v>
      </c>
      <c r="CS2294" s="74">
        <v>-64.14</v>
      </c>
      <c r="CY2294" s="74">
        <v>-62.9</v>
      </c>
    </row>
    <row r="2295" spans="1:230" x14ac:dyDescent="0.25">
      <c r="A2295" s="127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74">
        <v>-66.44</v>
      </c>
      <c r="AR2295" s="74">
        <v>-69.8</v>
      </c>
      <c r="AW2295" s="74">
        <v>-31.94</v>
      </c>
      <c r="BI2295" s="106">
        <v>-30.28</v>
      </c>
      <c r="CG2295" s="106">
        <v>-34.6</v>
      </c>
      <c r="CM2295" s="74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27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27">
        <v>44894</v>
      </c>
      <c r="B2297" s="24" t="s">
        <v>65</v>
      </c>
      <c r="C2297" s="21">
        <f t="shared" si="40"/>
        <v>-34.64</v>
      </c>
      <c r="AR2297" s="74">
        <v>-34.64</v>
      </c>
    </row>
    <row r="2298" spans="1:230" x14ac:dyDescent="0.25">
      <c r="A2298" s="127">
        <v>44894</v>
      </c>
      <c r="B2298" s="24" t="s">
        <v>84</v>
      </c>
      <c r="C2298" s="21">
        <f t="shared" si="40"/>
        <v>-43.04</v>
      </c>
      <c r="BA2298" s="42">
        <v>-7.86</v>
      </c>
      <c r="BC2298" s="74">
        <v>-8.75</v>
      </c>
      <c r="BI2298" s="106">
        <v>-17.52</v>
      </c>
      <c r="BO2298" s="74">
        <v>-8.91</v>
      </c>
    </row>
    <row r="2299" spans="1:230" x14ac:dyDescent="0.25">
      <c r="A2299" s="127">
        <v>44894</v>
      </c>
      <c r="B2299" s="24" t="s">
        <v>20</v>
      </c>
      <c r="C2299" s="21">
        <f t="shared" si="40"/>
        <v>-135.44999999999999</v>
      </c>
      <c r="BI2299" s="106">
        <v>-8.15</v>
      </c>
      <c r="BO2299" s="74">
        <v>-8.4499999999999993</v>
      </c>
      <c r="BU2299" s="106">
        <v>-7.65</v>
      </c>
      <c r="CA2299" s="106">
        <v>-8.43</v>
      </c>
      <c r="CG2299" s="106">
        <v>-8.65</v>
      </c>
      <c r="CM2299" s="74">
        <v>-8.65</v>
      </c>
      <c r="GZ2299" s="106">
        <v>-85.47</v>
      </c>
    </row>
    <row r="2300" spans="1:230" x14ac:dyDescent="0.25">
      <c r="A2300" s="127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6">
        <f>-8.21-8.27</f>
        <v>-16.48</v>
      </c>
    </row>
    <row r="2301" spans="1:230" x14ac:dyDescent="0.25">
      <c r="A2301" s="127">
        <v>44894</v>
      </c>
      <c r="B2301" s="24" t="s">
        <v>127</v>
      </c>
      <c r="C2301" s="21">
        <f t="shared" si="40"/>
        <v>-17.010000000000002</v>
      </c>
      <c r="BG2301" s="42">
        <v>-8.65</v>
      </c>
      <c r="BM2301" s="88">
        <v>-8.36</v>
      </c>
    </row>
    <row r="2302" spans="1:230" x14ac:dyDescent="0.25">
      <c r="A2302" s="127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27">
        <v>44894</v>
      </c>
      <c r="B2303" s="24" t="s">
        <v>75</v>
      </c>
      <c r="C2303" s="21">
        <f t="shared" si="40"/>
        <v>-25.54</v>
      </c>
      <c r="BI2303" s="106">
        <v>-9.23</v>
      </c>
      <c r="BO2303" s="74">
        <v>-7.71</v>
      </c>
      <c r="CG2303" s="106">
        <v>-8.6</v>
      </c>
    </row>
    <row r="2304" spans="1:230" x14ac:dyDescent="0.25">
      <c r="A2304" s="127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27">
        <v>44894</v>
      </c>
      <c r="B2305" s="24" t="s">
        <v>32</v>
      </c>
      <c r="C2305" s="21">
        <f t="shared" si="40"/>
        <v>-42.77</v>
      </c>
      <c r="AC2305" s="74">
        <v>-7.85</v>
      </c>
      <c r="AG2305" s="106">
        <v>-8.91</v>
      </c>
      <c r="AR2305" s="74">
        <v>-8.59</v>
      </c>
      <c r="CA2305" s="106">
        <v>-17.420000000000002</v>
      </c>
    </row>
    <row r="2306" spans="1:236" x14ac:dyDescent="0.25">
      <c r="A2306" s="127">
        <v>44894</v>
      </c>
      <c r="B2306" s="24" t="s">
        <v>32</v>
      </c>
      <c r="C2306" s="21">
        <f t="shared" si="40"/>
        <v>-192.61</v>
      </c>
      <c r="AR2306" s="74">
        <v>-8.6</v>
      </c>
      <c r="AW2306" s="74">
        <v>-32.56</v>
      </c>
      <c r="BA2306" s="42">
        <v>-8.8000000000000007</v>
      </c>
      <c r="BI2306" s="106">
        <v>-9.2100000000000009</v>
      </c>
      <c r="BO2306" s="74">
        <v>-34.32</v>
      </c>
      <c r="BU2306" s="106">
        <v>-8.69</v>
      </c>
      <c r="CA2306" s="106">
        <v>-34.32</v>
      </c>
      <c r="CM2306" s="74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27">
        <v>44894</v>
      </c>
      <c r="B2307" s="24" t="s">
        <v>68</v>
      </c>
      <c r="C2307" s="21">
        <f t="shared" si="40"/>
        <v>-97.8</v>
      </c>
      <c r="BI2307" s="106">
        <v>-28.82</v>
      </c>
      <c r="BO2307" s="74">
        <v>-34.72</v>
      </c>
      <c r="CA2307" s="106">
        <v>-34.26</v>
      </c>
    </row>
    <row r="2308" spans="1:236" x14ac:dyDescent="0.25">
      <c r="A2308" s="127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27">
        <v>44895</v>
      </c>
      <c r="B2309" s="24" t="s">
        <v>113</v>
      </c>
      <c r="C2309" s="21">
        <f t="shared" si="40"/>
        <v>1659.16</v>
      </c>
      <c r="BC2309" s="74">
        <v>367.85</v>
      </c>
      <c r="CG2309" s="106">
        <v>368.5</v>
      </c>
      <c r="CM2309" s="74">
        <v>516.20000000000005</v>
      </c>
      <c r="GZ2309" s="106">
        <v>406.61</v>
      </c>
    </row>
    <row r="2310" spans="1:236" x14ac:dyDescent="0.25">
      <c r="A2310" s="127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27">
        <v>44895</v>
      </c>
      <c r="B2311" s="24" t="s">
        <v>152</v>
      </c>
      <c r="C2311" s="21">
        <f t="shared" si="40"/>
        <v>-882.47</v>
      </c>
      <c r="AR2311" s="74">
        <v>-68.89</v>
      </c>
      <c r="AW2311" s="74">
        <v>-93.57</v>
      </c>
      <c r="BC2311" s="74">
        <v>-96.35</v>
      </c>
      <c r="BO2311" s="74">
        <v>-172.98</v>
      </c>
      <c r="CA2311" s="106">
        <v>-34.4</v>
      </c>
      <c r="CG2311" s="106">
        <v>-99.5</v>
      </c>
      <c r="CM2311" s="74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27">
        <v>44895</v>
      </c>
      <c r="B2312" s="24" t="s">
        <v>133</v>
      </c>
      <c r="C2312" s="21">
        <f t="shared" si="40"/>
        <v>-166.57</v>
      </c>
      <c r="BC2312" s="74">
        <v>-32.15</v>
      </c>
      <c r="CG2312" s="106">
        <v>-32.200000000000003</v>
      </c>
      <c r="CM2312" s="74">
        <v>-33.659999999999997</v>
      </c>
      <c r="CY2312" s="74">
        <v>-32.9</v>
      </c>
      <c r="DE2312" s="74">
        <v>-35.659999999999997</v>
      </c>
    </row>
    <row r="2313" spans="1:236" x14ac:dyDescent="0.25">
      <c r="A2313" s="127">
        <v>44895</v>
      </c>
      <c r="B2313" s="24" t="s">
        <v>95</v>
      </c>
      <c r="C2313" s="21">
        <f t="shared" si="40"/>
        <v>-65.95</v>
      </c>
      <c r="CG2313" s="106">
        <v>-65.95</v>
      </c>
    </row>
    <row r="2314" spans="1:236" x14ac:dyDescent="0.25">
      <c r="A2314" s="127">
        <v>44897</v>
      </c>
      <c r="B2314" s="24" t="s">
        <v>58</v>
      </c>
      <c r="C2314" s="21">
        <f t="shared" si="40"/>
        <v>0</v>
      </c>
    </row>
    <row r="2315" spans="1:236" x14ac:dyDescent="0.25">
      <c r="A2315" s="127">
        <v>44898</v>
      </c>
      <c r="B2315" s="24" t="s">
        <v>167</v>
      </c>
      <c r="C2315" s="21">
        <f t="shared" si="40"/>
        <v>-5</v>
      </c>
      <c r="E2315" s="145">
        <v>-5</v>
      </c>
    </row>
    <row r="2316" spans="1:236" x14ac:dyDescent="0.25">
      <c r="A2316" s="127">
        <v>44900</v>
      </c>
      <c r="B2316" s="24" t="s">
        <v>149</v>
      </c>
      <c r="C2316" s="21">
        <f t="shared" si="40"/>
        <v>-7.25</v>
      </c>
      <c r="BU2316" s="106">
        <v>-7.25</v>
      </c>
    </row>
    <row r="2317" spans="1:236" x14ac:dyDescent="0.25">
      <c r="A2317" s="127">
        <v>44900</v>
      </c>
      <c r="B2317" s="24" t="s">
        <v>155</v>
      </c>
      <c r="C2317" s="21">
        <f t="shared" si="40"/>
        <v>69.7</v>
      </c>
      <c r="AR2317" s="74">
        <v>-25.88</v>
      </c>
      <c r="AU2317" s="42">
        <v>8.59</v>
      </c>
      <c r="BA2317" s="42">
        <f>8.8+16.69</f>
        <v>25.49</v>
      </c>
      <c r="BC2317" s="74">
        <v>-7.99</v>
      </c>
      <c r="BG2317" s="42">
        <f>8.65+35.09</f>
        <v>43.74</v>
      </c>
      <c r="BM2317" s="88">
        <v>8.36</v>
      </c>
      <c r="BO2317" s="74">
        <v>-34.5</v>
      </c>
      <c r="BS2317" s="42">
        <v>17.239999999999998</v>
      </c>
      <c r="BU2317" s="106">
        <v>-8.17</v>
      </c>
      <c r="BY2317" s="42">
        <v>8.6300000000000008</v>
      </c>
      <c r="CE2317" s="42">
        <f>35.1+8.26</f>
        <v>43.36</v>
      </c>
      <c r="CK2317" s="42">
        <v>8.64</v>
      </c>
      <c r="CM2317" s="74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27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27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27">
        <v>44901</v>
      </c>
      <c r="B2320" s="24" t="s">
        <v>25</v>
      </c>
      <c r="C2320" s="21">
        <f t="shared" si="40"/>
        <v>-33.700000000000003</v>
      </c>
      <c r="AR2320" s="74">
        <v>-8.75</v>
      </c>
      <c r="AW2320" s="74">
        <v>-8.6300000000000008</v>
      </c>
      <c r="BI2320" s="106">
        <v>-8.77</v>
      </c>
      <c r="BS2320" s="42">
        <v>-7.55</v>
      </c>
    </row>
    <row r="2321" spans="1:235" x14ac:dyDescent="0.25">
      <c r="A2321" s="127">
        <v>44901</v>
      </c>
      <c r="B2321" s="24" t="s">
        <v>20</v>
      </c>
      <c r="C2321" s="21">
        <f t="shared" si="40"/>
        <v>-24.46</v>
      </c>
      <c r="AC2321" s="74">
        <v>-7.85</v>
      </c>
      <c r="AR2321" s="74">
        <v>-8.56</v>
      </c>
      <c r="BC2321" s="74">
        <v>-8.0500000000000007</v>
      </c>
    </row>
    <row r="2322" spans="1:235" x14ac:dyDescent="0.25">
      <c r="A2322" s="127">
        <v>44901</v>
      </c>
      <c r="B2322" s="24" t="s">
        <v>44</v>
      </c>
      <c r="C2322" s="21">
        <f t="shared" si="40"/>
        <v>-117.19</v>
      </c>
      <c r="GJ2322" s="202">
        <v>-25.13</v>
      </c>
      <c r="GQ2322" s="92">
        <v>-65.290000000000006</v>
      </c>
      <c r="HF2322" s="79">
        <v>-26.77</v>
      </c>
    </row>
    <row r="2323" spans="1:235" x14ac:dyDescent="0.25">
      <c r="A2323" s="127">
        <v>44901</v>
      </c>
      <c r="B2323" s="24" t="s">
        <v>113</v>
      </c>
      <c r="C2323" s="21">
        <f t="shared" si="40"/>
        <v>2904.1</v>
      </c>
      <c r="BI2323" s="106">
        <v>410.22</v>
      </c>
      <c r="BO2323" s="74">
        <v>418.62</v>
      </c>
      <c r="BU2323" s="106">
        <v>417.04</v>
      </c>
      <c r="CA2323" s="106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27">
        <v>44902</v>
      </c>
      <c r="B2324" s="24" t="s">
        <v>58</v>
      </c>
      <c r="C2324" s="21">
        <f t="shared" si="40"/>
        <v>0</v>
      </c>
    </row>
    <row r="2325" spans="1:235" x14ac:dyDescent="0.25">
      <c r="A2325" s="127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74">
        <v>-34.25</v>
      </c>
    </row>
    <row r="2326" spans="1:235" x14ac:dyDescent="0.25">
      <c r="A2326" s="127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27">
        <v>44902</v>
      </c>
      <c r="B2327" s="24" t="s">
        <v>152</v>
      </c>
      <c r="C2327" s="21">
        <f t="shared" si="40"/>
        <v>-993.58</v>
      </c>
      <c r="Z2327" s="79">
        <v>-33.75</v>
      </c>
      <c r="BC2327" s="74">
        <v>-32.049999999999997</v>
      </c>
      <c r="BI2327" s="106">
        <v>-170.34</v>
      </c>
      <c r="BU2327" s="106">
        <v>-134.63999999999999</v>
      </c>
      <c r="CA2327" s="106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27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27">
        <v>44902</v>
      </c>
      <c r="B2329" s="24" t="s">
        <v>72</v>
      </c>
      <c r="C2329" s="21">
        <f t="shared" si="40"/>
        <v>-33.549999999999997</v>
      </c>
      <c r="DK2329" s="74">
        <v>-33.549999999999997</v>
      </c>
    </row>
    <row r="2330" spans="1:235" x14ac:dyDescent="0.25">
      <c r="A2330" s="127">
        <v>44903</v>
      </c>
      <c r="B2330" s="24" t="s">
        <v>15</v>
      </c>
      <c r="C2330" s="21">
        <f t="shared" si="40"/>
        <v>-133.68</v>
      </c>
      <c r="BI2330" s="106">
        <v>-33.700000000000003</v>
      </c>
      <c r="BO2330" s="74">
        <f>-33.44-31.74</f>
        <v>-65.180000000000007</v>
      </c>
      <c r="CG2330" s="106">
        <v>-34.799999999999997</v>
      </c>
    </row>
    <row r="2331" spans="1:235" x14ac:dyDescent="0.25">
      <c r="A2331" s="127">
        <v>44903</v>
      </c>
      <c r="B2331" s="24" t="s">
        <v>133</v>
      </c>
      <c r="C2331" s="21">
        <f t="shared" si="40"/>
        <v>-263.77</v>
      </c>
      <c r="AR2331" s="74">
        <v>-34.71</v>
      </c>
      <c r="AW2331" s="74">
        <v>-33.56</v>
      </c>
      <c r="BI2331" s="106">
        <v>-35.68</v>
      </c>
      <c r="BO2331" s="74">
        <v>-30.68</v>
      </c>
      <c r="BU2331" s="106">
        <v>-33.82</v>
      </c>
      <c r="CA2331" s="106">
        <v>-32.799999999999997</v>
      </c>
      <c r="CG2331" s="106">
        <v>-33.200000000000003</v>
      </c>
      <c r="CS2331" s="74">
        <v>-29.32</v>
      </c>
    </row>
    <row r="2332" spans="1:235" x14ac:dyDescent="0.25">
      <c r="A2332" s="127">
        <v>44904</v>
      </c>
      <c r="B2332" s="24" t="s">
        <v>68</v>
      </c>
      <c r="C2332" s="21">
        <f t="shared" si="40"/>
        <v>-60.94</v>
      </c>
      <c r="BC2332" s="74">
        <v>-30.6</v>
      </c>
      <c r="CS2332" s="74">
        <v>-30.34</v>
      </c>
    </row>
    <row r="2333" spans="1:235" x14ac:dyDescent="0.25">
      <c r="A2333" s="127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27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27">
        <v>44905</v>
      </c>
      <c r="B2335" s="24" t="s">
        <v>65</v>
      </c>
      <c r="C2335" s="21">
        <f t="shared" si="40"/>
        <v>-60.43</v>
      </c>
      <c r="AR2335" s="74">
        <v>-25.88</v>
      </c>
      <c r="AW2335" s="74">
        <v>-34.549999999999997</v>
      </c>
    </row>
    <row r="2336" spans="1:235" x14ac:dyDescent="0.25">
      <c r="A2336" s="127">
        <v>44905</v>
      </c>
      <c r="B2336" s="24" t="s">
        <v>133</v>
      </c>
      <c r="C2336" s="21">
        <f t="shared" si="40"/>
        <v>-329.95</v>
      </c>
      <c r="AW2336" s="74">
        <v>-32.520000000000003</v>
      </c>
      <c r="BC2336" s="74">
        <v>-32.200000000000003</v>
      </c>
      <c r="BI2336" s="106">
        <v>-68.08</v>
      </c>
      <c r="BO2336" s="74">
        <v>-32.86</v>
      </c>
      <c r="BU2336" s="106">
        <v>-32.56</v>
      </c>
      <c r="CA2336" s="106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27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27">
        <v>44907</v>
      </c>
      <c r="B2338" s="24" t="s">
        <v>139</v>
      </c>
      <c r="C2338" s="21">
        <f t="shared" si="40"/>
        <v>-41.45</v>
      </c>
      <c r="V2338" s="74">
        <v>-8.4</v>
      </c>
      <c r="BO2338" s="74">
        <v>-7.83</v>
      </c>
      <c r="BU2338" s="106">
        <v>-8.25</v>
      </c>
      <c r="CA2338" s="106">
        <v>-8.3699999999999992</v>
      </c>
      <c r="CG2338" s="106">
        <v>-8.6</v>
      </c>
    </row>
    <row r="2339" spans="1:235" x14ac:dyDescent="0.25">
      <c r="A2339" s="127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27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27">
        <v>44907</v>
      </c>
      <c r="B2341" s="24" t="s">
        <v>43</v>
      </c>
      <c r="C2341" s="21">
        <f t="shared" si="40"/>
        <v>-82.765000000000001</v>
      </c>
      <c r="O2341" s="375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74">
        <v>-7.61</v>
      </c>
      <c r="BU2341" s="106">
        <v>-8.35</v>
      </c>
    </row>
    <row r="2342" spans="1:235" x14ac:dyDescent="0.25">
      <c r="A2342" s="127">
        <v>44907</v>
      </c>
      <c r="B2342" s="24" t="s">
        <v>43</v>
      </c>
      <c r="C2342" s="21">
        <f t="shared" si="40"/>
        <v>-780.78</v>
      </c>
      <c r="AN2342" s="74">
        <v>-33.200000000000003</v>
      </c>
      <c r="AW2342" s="74">
        <v>-63.91</v>
      </c>
      <c r="BC2342" s="74">
        <v>-97.25</v>
      </c>
      <c r="BI2342" s="106">
        <v>-66.680000000000007</v>
      </c>
      <c r="BO2342" s="74">
        <v>-161.80000000000001</v>
      </c>
      <c r="BU2342" s="106">
        <v>-97.86</v>
      </c>
      <c r="CA2342" s="106">
        <v>-126.86</v>
      </c>
      <c r="CE2342" s="42">
        <v>-35.1</v>
      </c>
      <c r="CG2342" s="106">
        <v>-34.6</v>
      </c>
      <c r="CM2342" s="74">
        <v>-63.52</v>
      </c>
    </row>
    <row r="2343" spans="1:235" x14ac:dyDescent="0.25">
      <c r="A2343" s="127">
        <v>44907</v>
      </c>
      <c r="B2343" s="24" t="s">
        <v>43</v>
      </c>
      <c r="C2343" s="21">
        <f t="shared" si="40"/>
        <v>-33.200000000000003</v>
      </c>
      <c r="BO2343" s="74">
        <v>-33.200000000000003</v>
      </c>
    </row>
    <row r="2344" spans="1:235" x14ac:dyDescent="0.25">
      <c r="A2344" s="127">
        <v>44907</v>
      </c>
      <c r="B2344" s="24" t="s">
        <v>32</v>
      </c>
      <c r="C2344" s="21">
        <f t="shared" si="40"/>
        <v>-125.49</v>
      </c>
      <c r="S2344" s="74">
        <v>-23.9</v>
      </c>
      <c r="AN2344" s="74">
        <v>-16.52</v>
      </c>
      <c r="BO2344" s="74">
        <v>-34.35</v>
      </c>
      <c r="CA2344" s="106">
        <v>-32.24</v>
      </c>
      <c r="DE2344" s="74">
        <v>-18.48</v>
      </c>
    </row>
    <row r="2345" spans="1:235" x14ac:dyDescent="0.25">
      <c r="A2345" s="127">
        <v>44907</v>
      </c>
      <c r="B2345" s="24" t="s">
        <v>20</v>
      </c>
      <c r="C2345" s="21">
        <f t="shared" si="40"/>
        <v>-261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106">
        <v>-8.69</v>
      </c>
      <c r="BO2345" s="74">
        <v>-33.299999999999997</v>
      </c>
      <c r="BU2345" s="106">
        <v>-33.340000000000003</v>
      </c>
      <c r="CA2345" s="106">
        <f>-31.5-7.55</f>
        <v>-39.049999999999997</v>
      </c>
      <c r="CG2345" s="106">
        <f>-8.65-8.6</f>
        <v>-17.25</v>
      </c>
      <c r="CM2345" s="74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27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27">
        <v>44908</v>
      </c>
      <c r="B2347" s="24" t="s">
        <v>84</v>
      </c>
      <c r="C2347" s="21">
        <f t="shared" si="40"/>
        <v>-54.96</v>
      </c>
      <c r="BU2347" s="106">
        <v>-8.09</v>
      </c>
      <c r="CA2347" s="106">
        <v>-16.420000000000002</v>
      </c>
      <c r="CE2347" s="42">
        <v>-8.26</v>
      </c>
      <c r="CG2347" s="106">
        <v>-8.0500000000000007</v>
      </c>
      <c r="CM2347" s="74">
        <v>-14.14</v>
      </c>
    </row>
    <row r="2348" spans="1:235" x14ac:dyDescent="0.25">
      <c r="A2348" s="127">
        <v>44908</v>
      </c>
      <c r="B2348" s="24" t="s">
        <v>134</v>
      </c>
      <c r="C2348" s="21">
        <f t="shared" si="40"/>
        <v>-39.07</v>
      </c>
      <c r="E2348" s="145">
        <v>-39.07</v>
      </c>
    </row>
    <row r="2349" spans="1:235" x14ac:dyDescent="0.25">
      <c r="A2349" s="127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27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27">
        <v>44909</v>
      </c>
      <c r="B2351" s="24" t="s">
        <v>113</v>
      </c>
      <c r="C2351" s="21">
        <f t="shared" si="40"/>
        <v>0</v>
      </c>
    </row>
    <row r="2352" spans="1:235" x14ac:dyDescent="0.25">
      <c r="A2352" s="127">
        <v>44909</v>
      </c>
      <c r="B2352" s="24" t="s">
        <v>17</v>
      </c>
      <c r="C2352" s="21">
        <f t="shared" si="40"/>
        <v>-100.24</v>
      </c>
      <c r="AW2352" s="74">
        <v>-8.75</v>
      </c>
      <c r="BC2352" s="74">
        <v>-8.09</v>
      </c>
      <c r="BI2352" s="106">
        <v>-26.19</v>
      </c>
      <c r="BO2352" s="74">
        <v>-15.56</v>
      </c>
      <c r="BU2352" s="106">
        <v>-25.15</v>
      </c>
      <c r="CE2352" s="42">
        <v>-16.5</v>
      </c>
    </row>
    <row r="2353" spans="1:150" x14ac:dyDescent="0.25">
      <c r="A2353" s="127">
        <v>44909</v>
      </c>
      <c r="B2353" s="24" t="s">
        <v>43</v>
      </c>
      <c r="C2353" s="21">
        <f t="shared" ref="C2353:C2416" si="41">SUM(D2353:JT2353)</f>
        <v>-88.42</v>
      </c>
      <c r="CY2353" s="74">
        <v>-88.42</v>
      </c>
    </row>
    <row r="2354" spans="1:150" x14ac:dyDescent="0.25">
      <c r="A2354" s="127">
        <v>44910</v>
      </c>
      <c r="B2354" s="24" t="s">
        <v>65</v>
      </c>
      <c r="C2354" s="21">
        <f t="shared" si="41"/>
        <v>0</v>
      </c>
    </row>
    <row r="2355" spans="1:150" x14ac:dyDescent="0.25">
      <c r="A2355" s="127">
        <v>44910</v>
      </c>
      <c r="B2355" s="24" t="s">
        <v>167</v>
      </c>
      <c r="C2355" s="21">
        <f t="shared" si="41"/>
        <v>-5.0599999999999996</v>
      </c>
      <c r="D2355" s="145">
        <v>-5.0599999999999996</v>
      </c>
    </row>
    <row r="2356" spans="1:150" x14ac:dyDescent="0.25">
      <c r="A2356" s="127">
        <v>44910</v>
      </c>
      <c r="B2356" s="24" t="s">
        <v>113</v>
      </c>
      <c r="C2356" s="21">
        <f t="shared" si="41"/>
        <v>1126.24</v>
      </c>
      <c r="AW2356" s="74">
        <v>353.44</v>
      </c>
      <c r="BC2356" s="74">
        <v>359.12</v>
      </c>
      <c r="BI2356" s="106">
        <v>413.68</v>
      </c>
    </row>
    <row r="2357" spans="1:150" x14ac:dyDescent="0.25">
      <c r="A2357" s="127">
        <v>44910</v>
      </c>
      <c r="B2357" s="24" t="s">
        <v>140</v>
      </c>
      <c r="C2357" s="21">
        <f t="shared" si="41"/>
        <v>-12.3</v>
      </c>
      <c r="D2357" s="145">
        <v>-12.3</v>
      </c>
    </row>
    <row r="2358" spans="1:150" x14ac:dyDescent="0.25">
      <c r="A2358" s="127">
        <v>44911</v>
      </c>
      <c r="B2358" s="24" t="s">
        <v>13</v>
      </c>
      <c r="C2358" s="21">
        <f t="shared" si="41"/>
        <v>0</v>
      </c>
    </row>
    <row r="2359" spans="1:150" x14ac:dyDescent="0.25">
      <c r="A2359" s="127">
        <v>44911</v>
      </c>
      <c r="B2359" s="24" t="s">
        <v>146</v>
      </c>
      <c r="C2359" s="21">
        <f t="shared" si="41"/>
        <v>108.14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106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27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27">
        <v>44911</v>
      </c>
      <c r="B2361" s="24" t="s">
        <v>152</v>
      </c>
      <c r="C2361" s="21">
        <f t="shared" si="41"/>
        <v>-801.41</v>
      </c>
      <c r="AA2361" s="42">
        <v>-34.42</v>
      </c>
      <c r="AC2361" s="74">
        <f>-7.85-7.85-5.72-7.45</f>
        <v>-28.87</v>
      </c>
      <c r="AN2361" s="74">
        <v>-33.1</v>
      </c>
      <c r="AW2361" s="74">
        <v>-33.76</v>
      </c>
      <c r="BI2361" s="106">
        <v>-35.24</v>
      </c>
      <c r="CF2361" s="69">
        <v>-33.909999999999997</v>
      </c>
      <c r="CM2361" s="74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27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27">
        <v>44911</v>
      </c>
      <c r="B2363" s="24" t="s">
        <v>140</v>
      </c>
      <c r="C2363" s="21">
        <f t="shared" si="41"/>
        <v>-44.7</v>
      </c>
      <c r="D2363" s="145">
        <v>-44.7</v>
      </c>
    </row>
    <row r="2364" spans="1:150" x14ac:dyDescent="0.25">
      <c r="A2364" s="127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-66.739999999999995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27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74">
        <v>-15.7</v>
      </c>
      <c r="BC2365" s="74">
        <v>-15.82</v>
      </c>
      <c r="BI2365" s="106">
        <v>-33.69</v>
      </c>
      <c r="BS2365" s="42">
        <v>-7.51</v>
      </c>
      <c r="BU2365" s="106">
        <v>-8.7100000000000009</v>
      </c>
    </row>
    <row r="2366" spans="1:150" x14ac:dyDescent="0.25">
      <c r="A2366" s="127">
        <v>44912</v>
      </c>
      <c r="B2366" s="24" t="s">
        <v>59</v>
      </c>
      <c r="C2366" s="21">
        <f t="shared" si="41"/>
        <v>-3.09</v>
      </c>
      <c r="CM2366" s="74">
        <v>-3.09</v>
      </c>
    </row>
    <row r="2367" spans="1:150" x14ac:dyDescent="0.25">
      <c r="A2367" s="127">
        <v>44914</v>
      </c>
      <c r="B2367" s="24" t="s">
        <v>59</v>
      </c>
      <c r="C2367" s="21">
        <f t="shared" si="41"/>
        <v>-2.73</v>
      </c>
      <c r="CM2367" s="74">
        <v>-2.73</v>
      </c>
    </row>
    <row r="2368" spans="1:150" x14ac:dyDescent="0.25">
      <c r="A2368" s="127">
        <v>44915</v>
      </c>
      <c r="B2368" s="24" t="s">
        <v>137</v>
      </c>
      <c r="C2368" s="21">
        <f t="shared" si="41"/>
        <v>-42.01</v>
      </c>
      <c r="AN2368" s="74">
        <v>-8.3699999999999992</v>
      </c>
      <c r="AW2368" s="74">
        <v>-8.73</v>
      </c>
      <c r="BC2368" s="74">
        <v>-7.87</v>
      </c>
      <c r="BI2368" s="106">
        <v>-8.33</v>
      </c>
      <c r="BM2368" s="88">
        <v>-8.7100000000000009</v>
      </c>
    </row>
    <row r="2369" spans="1:238" x14ac:dyDescent="0.25">
      <c r="A2369" s="127">
        <v>44915</v>
      </c>
      <c r="B2369" s="24" t="s">
        <v>162</v>
      </c>
      <c r="C2369" s="21">
        <f t="shared" si="41"/>
        <v>-17.100000000000001</v>
      </c>
      <c r="O2369" s="375">
        <v>-8.64</v>
      </c>
      <c r="V2369" s="74">
        <v>-8.4600000000000009</v>
      </c>
    </row>
    <row r="2370" spans="1:238" x14ac:dyDescent="0.25">
      <c r="A2370" s="127">
        <v>44915</v>
      </c>
      <c r="B2370" s="24" t="s">
        <v>25</v>
      </c>
      <c r="C2370" s="21">
        <f t="shared" si="41"/>
        <v>-15.62</v>
      </c>
      <c r="AN2370" s="74">
        <v>-8.27</v>
      </c>
      <c r="BC2370" s="74">
        <v>-7.35</v>
      </c>
    </row>
    <row r="2371" spans="1:238" x14ac:dyDescent="0.25">
      <c r="A2371" s="127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27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27">
        <v>44915</v>
      </c>
      <c r="B2373" s="24" t="s">
        <v>27</v>
      </c>
      <c r="C2373" s="21">
        <f t="shared" si="41"/>
        <v>-31.66</v>
      </c>
      <c r="BC2373" s="74">
        <v>-23.09</v>
      </c>
      <c r="BM2373" s="88">
        <v>-8.57</v>
      </c>
    </row>
    <row r="2374" spans="1:238" x14ac:dyDescent="0.25">
      <c r="A2374" s="127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106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27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27">
        <v>44915</v>
      </c>
      <c r="B2376" s="24" t="s">
        <v>75</v>
      </c>
      <c r="C2376" s="21">
        <f t="shared" si="41"/>
        <v>-4.6500000000000004</v>
      </c>
      <c r="BU2376" s="106">
        <v>-4.6500000000000004</v>
      </c>
    </row>
    <row r="2377" spans="1:238" x14ac:dyDescent="0.25">
      <c r="A2377" s="127">
        <v>44915</v>
      </c>
      <c r="B2377" s="24" t="s">
        <v>113</v>
      </c>
      <c r="C2377" s="21">
        <f t="shared" si="41"/>
        <v>1507.46</v>
      </c>
      <c r="AR2377" s="74">
        <v>337.99</v>
      </c>
      <c r="BO2377" s="74">
        <v>142.19999999999999</v>
      </c>
      <c r="BU2377" s="106">
        <v>410.1</v>
      </c>
      <c r="CA2377" s="106">
        <v>339.02</v>
      </c>
      <c r="CG2377" s="106">
        <v>278.14999999999998</v>
      </c>
    </row>
    <row r="2378" spans="1:238" x14ac:dyDescent="0.25">
      <c r="A2378" s="127">
        <v>44916</v>
      </c>
      <c r="B2378" s="24" t="s">
        <v>149</v>
      </c>
      <c r="C2378" s="21">
        <f t="shared" si="41"/>
        <v>-14.2</v>
      </c>
      <c r="BC2378" s="74">
        <v>-6.69</v>
      </c>
      <c r="BI2378" s="106">
        <v>-7.51</v>
      </c>
    </row>
    <row r="2379" spans="1:238" x14ac:dyDescent="0.25">
      <c r="A2379" s="127">
        <v>44916</v>
      </c>
      <c r="B2379" s="24" t="s">
        <v>17</v>
      </c>
      <c r="C2379" s="21">
        <f t="shared" si="41"/>
        <v>-54.99</v>
      </c>
      <c r="AN2379" s="74">
        <v>-8.33</v>
      </c>
      <c r="AR2379" s="74">
        <v>-17.3</v>
      </c>
      <c r="AW2379" s="74">
        <v>-13.7</v>
      </c>
      <c r="BC2379" s="74">
        <v>-15.66</v>
      </c>
    </row>
    <row r="2380" spans="1:238" x14ac:dyDescent="0.25">
      <c r="A2380" s="127">
        <v>44916</v>
      </c>
      <c r="B2380" s="24" t="s">
        <v>17</v>
      </c>
      <c r="C2380" s="21">
        <f t="shared" si="41"/>
        <v>-131.47999999999999</v>
      </c>
      <c r="Z2380" s="79">
        <v>-8.4600000000000009</v>
      </c>
      <c r="AR2380" s="74">
        <v>-17.22</v>
      </c>
      <c r="AW2380" s="74">
        <v>-6.57</v>
      </c>
      <c r="BC2380" s="74">
        <v>-15.24</v>
      </c>
      <c r="BI2380" s="106">
        <v>-7.49</v>
      </c>
      <c r="BO2380" s="74">
        <v>-17.66</v>
      </c>
      <c r="BU2380" s="106">
        <v>-16.32</v>
      </c>
      <c r="CA2380" s="106">
        <v>-8.61</v>
      </c>
      <c r="CG2380" s="106">
        <v>-17.25</v>
      </c>
      <c r="CM2380" s="74">
        <v>-9.07</v>
      </c>
      <c r="CS2380" s="74">
        <v>-7.59</v>
      </c>
    </row>
    <row r="2381" spans="1:238" x14ac:dyDescent="0.25">
      <c r="A2381" s="127">
        <v>44916</v>
      </c>
      <c r="B2381" s="24" t="s">
        <v>133</v>
      </c>
      <c r="C2381" s="21">
        <f t="shared" si="41"/>
        <v>-96.84</v>
      </c>
      <c r="AW2381" s="74">
        <v>-30.8</v>
      </c>
      <c r="BC2381" s="74">
        <v>-31.3</v>
      </c>
      <c r="CM2381" s="74">
        <v>-34.74</v>
      </c>
    </row>
    <row r="2382" spans="1:238" x14ac:dyDescent="0.25">
      <c r="A2382" s="127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27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27">
        <v>44916</v>
      </c>
      <c r="B2384" s="24" t="s">
        <v>135</v>
      </c>
      <c r="C2384" s="21">
        <f t="shared" si="41"/>
        <v>-66.724999999999994</v>
      </c>
      <c r="AR2384" s="74">
        <v>-8.56</v>
      </c>
      <c r="CG2384" s="106">
        <v>-8.6</v>
      </c>
      <c r="CM2384" s="74">
        <v>-8.5299999999999994</v>
      </c>
      <c r="FK2384" s="106">
        <v>-20.5</v>
      </c>
      <c r="FX2384" s="34">
        <v>-20.535</v>
      </c>
    </row>
    <row r="2385" spans="1:221" x14ac:dyDescent="0.25">
      <c r="A2385" s="127">
        <v>44917</v>
      </c>
      <c r="B2385" s="24" t="s">
        <v>15</v>
      </c>
      <c r="C2385" s="21">
        <f t="shared" si="41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27">
        <v>44917</v>
      </c>
      <c r="B2386" s="24" t="s">
        <v>59</v>
      </c>
      <c r="C2386" s="21">
        <f t="shared" si="41"/>
        <v>-7.86</v>
      </c>
      <c r="O2386" s="375">
        <v>-7.86</v>
      </c>
    </row>
    <row r="2387" spans="1:221" x14ac:dyDescent="0.25">
      <c r="A2387" s="127">
        <v>44918</v>
      </c>
      <c r="B2387" s="24" t="s">
        <v>15</v>
      </c>
      <c r="C2387" s="21">
        <f t="shared" si="41"/>
        <v>-77.64</v>
      </c>
      <c r="BC2387" s="74">
        <v>-15.84</v>
      </c>
      <c r="BI2387" s="106">
        <v>-8.77</v>
      </c>
      <c r="CA2387" s="106">
        <v>-17.27</v>
      </c>
      <c r="DK2387" s="74">
        <v>-35.76</v>
      </c>
    </row>
    <row r="2388" spans="1:221" x14ac:dyDescent="0.25">
      <c r="A2388" s="127">
        <v>44918</v>
      </c>
      <c r="B2388" s="24" t="s">
        <v>59</v>
      </c>
      <c r="C2388" s="21">
        <f t="shared" si="41"/>
        <v>-16.98</v>
      </c>
      <c r="CG2388" s="106">
        <v>-13.3</v>
      </c>
      <c r="CM2388" s="74">
        <v>-3.68</v>
      </c>
    </row>
    <row r="2389" spans="1:221" x14ac:dyDescent="0.25">
      <c r="A2389" s="127">
        <v>44918</v>
      </c>
      <c r="B2389" s="24" t="s">
        <v>29</v>
      </c>
      <c r="C2389" s="21">
        <f t="shared" si="41"/>
        <v>-8.6</v>
      </c>
      <c r="CG2389" s="106">
        <v>-8.6</v>
      </c>
    </row>
    <row r="2390" spans="1:221" x14ac:dyDescent="0.25">
      <c r="A2390" s="127">
        <v>44919</v>
      </c>
      <c r="B2390" s="24" t="s">
        <v>12</v>
      </c>
      <c r="C2390" s="21">
        <f t="shared" si="41"/>
        <v>-9.08</v>
      </c>
      <c r="BO2390" s="74">
        <v>-9.08</v>
      </c>
    </row>
    <row r="2391" spans="1:221" x14ac:dyDescent="0.25">
      <c r="A2391" s="127">
        <v>44921</v>
      </c>
      <c r="B2391" s="24" t="s">
        <v>65</v>
      </c>
      <c r="C2391" s="21">
        <f t="shared" si="41"/>
        <v>-34.92</v>
      </c>
      <c r="AW2391" s="74">
        <v>-34.92</v>
      </c>
    </row>
    <row r="2392" spans="1:221" x14ac:dyDescent="0.25">
      <c r="A2392" s="127">
        <v>44921</v>
      </c>
      <c r="B2392" s="24" t="s">
        <v>39</v>
      </c>
      <c r="C2392" s="21">
        <f t="shared" si="41"/>
        <v>-74.75</v>
      </c>
      <c r="AR2392" s="74">
        <v>-8.6199999999999992</v>
      </c>
      <c r="AW2392" s="74">
        <v>-8.77</v>
      </c>
      <c r="BC2392" s="74">
        <v>-7.97</v>
      </c>
      <c r="BI2392" s="106">
        <v>-7.49</v>
      </c>
      <c r="BO2392" s="74">
        <v>-8.69</v>
      </c>
      <c r="BU2392" s="106">
        <v>-7.59</v>
      </c>
      <c r="CA2392" s="106">
        <v>-8.69</v>
      </c>
      <c r="CG2392" s="106">
        <v>-8.6</v>
      </c>
      <c r="CM2392" s="74">
        <v>-8.33</v>
      </c>
    </row>
    <row r="2393" spans="1:221" x14ac:dyDescent="0.25">
      <c r="A2393" s="127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27">
        <v>44921</v>
      </c>
      <c r="B2394" s="24" t="s">
        <v>146</v>
      </c>
      <c r="C2394" s="21">
        <f t="shared" si="41"/>
        <v>-335.08</v>
      </c>
      <c r="BI2394" s="106">
        <v>-98.22</v>
      </c>
      <c r="BU2394" s="106">
        <v>-236.86</v>
      </c>
    </row>
    <row r="2395" spans="1:221" x14ac:dyDescent="0.25">
      <c r="A2395" s="127">
        <v>44921</v>
      </c>
      <c r="B2395" s="24" t="s">
        <v>155</v>
      </c>
      <c r="C2395" s="21">
        <f t="shared" si="41"/>
        <v>-42.49</v>
      </c>
      <c r="BO2395" s="74">
        <f>-8.99-8.95</f>
        <v>-17.940000000000001</v>
      </c>
      <c r="CS2395" s="74">
        <f>-8.75-7.63</f>
        <v>-16.38</v>
      </c>
      <c r="CY2395" s="74">
        <v>-8.17</v>
      </c>
    </row>
    <row r="2396" spans="1:221" x14ac:dyDescent="0.25">
      <c r="A2396" s="127">
        <v>44922</v>
      </c>
      <c r="B2396" s="24" t="s">
        <v>162</v>
      </c>
      <c r="C2396" s="21">
        <f t="shared" si="41"/>
        <v>-174.53</v>
      </c>
      <c r="AW2396" s="74">
        <v>-25.55</v>
      </c>
      <c r="BC2396" s="74">
        <v>-21.91</v>
      </c>
      <c r="BI2396" s="106">
        <v>-23.79</v>
      </c>
      <c r="BO2396" s="74">
        <v>-26.85</v>
      </c>
      <c r="CA2396" s="106">
        <v>-25.47</v>
      </c>
      <c r="CG2396" s="106">
        <v>-25.95</v>
      </c>
      <c r="CM2396" s="74">
        <v>-25.01</v>
      </c>
    </row>
    <row r="2397" spans="1:221" x14ac:dyDescent="0.25">
      <c r="A2397" s="127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27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27">
        <v>44922</v>
      </c>
      <c r="B2399" s="24" t="s">
        <v>25</v>
      </c>
      <c r="C2399" s="21">
        <f t="shared" si="41"/>
        <v>-54.29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27">
        <v>44922</v>
      </c>
      <c r="B2400" s="24" t="s">
        <v>75</v>
      </c>
      <c r="C2400" s="21">
        <f t="shared" si="41"/>
        <v>-73.8</v>
      </c>
      <c r="BC2400" s="74">
        <v>-7.95</v>
      </c>
      <c r="BI2400" s="106">
        <v>-8.75</v>
      </c>
      <c r="BO2400" s="74">
        <v>-8.58</v>
      </c>
      <c r="BU2400" s="106">
        <v>-7.75</v>
      </c>
      <c r="CA2400" s="106">
        <v>-15.74</v>
      </c>
      <c r="CG2400" s="106">
        <v>-17.2</v>
      </c>
      <c r="CY2400" s="74">
        <v>-7.83</v>
      </c>
    </row>
    <row r="2401" spans="1:236" x14ac:dyDescent="0.25">
      <c r="A2401" s="127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27">
        <v>44922</v>
      </c>
      <c r="B2402" s="24" t="s">
        <v>43</v>
      </c>
      <c r="C2402" s="21">
        <f t="shared" si="41"/>
        <v>-32.18</v>
      </c>
      <c r="CY2402" s="74">
        <v>-32.18</v>
      </c>
    </row>
    <row r="2403" spans="1:236" x14ac:dyDescent="0.25">
      <c r="A2403" s="127">
        <v>44922</v>
      </c>
      <c r="B2403" s="24" t="s">
        <v>65</v>
      </c>
      <c r="C2403" s="21">
        <f t="shared" si="41"/>
        <v>0</v>
      </c>
    </row>
    <row r="2404" spans="1:236" x14ac:dyDescent="0.25">
      <c r="A2404" s="127">
        <v>44923</v>
      </c>
      <c r="B2404" s="24" t="s">
        <v>155</v>
      </c>
      <c r="C2404" s="21">
        <f t="shared" si="41"/>
        <v>-99.86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27">
        <v>44923</v>
      </c>
      <c r="B2405" s="24" t="s">
        <v>133</v>
      </c>
      <c r="C2405" s="21">
        <f t="shared" si="41"/>
        <v>-165.68</v>
      </c>
      <c r="BC2405" s="74">
        <v>-30.9</v>
      </c>
      <c r="BO2405" s="74">
        <v>-35.36</v>
      </c>
      <c r="BU2405" s="106">
        <v>-36.24</v>
      </c>
      <c r="CA2405" s="106">
        <v>-33</v>
      </c>
      <c r="CF2405" s="69">
        <v>-25.08</v>
      </c>
      <c r="CG2405" s="106">
        <v>-5.0999999999999996</v>
      </c>
    </row>
    <row r="2406" spans="1:236" x14ac:dyDescent="0.25">
      <c r="A2406" s="127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27">
        <v>44924</v>
      </c>
      <c r="B2407" s="24" t="s">
        <v>113</v>
      </c>
      <c r="C2407" s="21">
        <f t="shared" si="41"/>
        <v>1889.47</v>
      </c>
      <c r="BI2407" s="106">
        <v>421.9</v>
      </c>
      <c r="BO2407" s="74">
        <v>421.05</v>
      </c>
      <c r="BU2407" s="106">
        <v>427.4</v>
      </c>
      <c r="CY2407" s="74">
        <v>282.92</v>
      </c>
      <c r="DE2407" s="74">
        <v>336.2</v>
      </c>
    </row>
    <row r="2408" spans="1:236" x14ac:dyDescent="0.25">
      <c r="A2408" s="127">
        <v>44924</v>
      </c>
      <c r="B2408" s="24" t="s">
        <v>39</v>
      </c>
      <c r="C2408" s="21">
        <f t="shared" si="41"/>
        <v>-24.55</v>
      </c>
      <c r="BI2408" s="106">
        <v>-7.97</v>
      </c>
      <c r="BO2408" s="74">
        <v>-8.0299999999999994</v>
      </c>
      <c r="BU2408" s="106">
        <v>-8.5500000000000007</v>
      </c>
    </row>
    <row r="2409" spans="1:236" x14ac:dyDescent="0.25">
      <c r="A2409" s="127">
        <v>44924</v>
      </c>
      <c r="B2409" s="24" t="s">
        <v>95</v>
      </c>
      <c r="C2409" s="21">
        <f t="shared" si="41"/>
        <v>-301.74</v>
      </c>
      <c r="AW2409" s="74">
        <v>-6.05</v>
      </c>
      <c r="BC2409" s="74">
        <v>-7.93</v>
      </c>
      <c r="BO2409" s="74">
        <v>-18.059999999999999</v>
      </c>
      <c r="BU2409" s="106">
        <v>-69.5</v>
      </c>
      <c r="BY2409" s="42">
        <v>-8.65</v>
      </c>
      <c r="CA2409" s="106">
        <f>-8.81-8.69-8.57</f>
        <v>-26.07</v>
      </c>
      <c r="CM2409" s="74">
        <v>-48.48</v>
      </c>
      <c r="CS2409" s="74">
        <v>-34.08</v>
      </c>
      <c r="CY2409" s="74">
        <v>-82.92</v>
      </c>
    </row>
    <row r="2410" spans="1:236" x14ac:dyDescent="0.25">
      <c r="A2410" s="127">
        <v>44924</v>
      </c>
      <c r="B2410" s="24" t="s">
        <v>133</v>
      </c>
      <c r="C2410" s="21">
        <f t="shared" si="41"/>
        <v>-165.48</v>
      </c>
      <c r="AR2410" s="74">
        <v>-34.28</v>
      </c>
      <c r="AW2410" s="74">
        <v>-32.659999999999997</v>
      </c>
      <c r="BI2410" s="106">
        <v>-63.74</v>
      </c>
      <c r="CA2410" s="106">
        <v>-34.799999999999997</v>
      </c>
    </row>
    <row r="2411" spans="1:236" x14ac:dyDescent="0.25">
      <c r="A2411" s="127">
        <v>44924</v>
      </c>
      <c r="B2411" s="24" t="s">
        <v>32</v>
      </c>
      <c r="C2411" s="21">
        <f t="shared" si="41"/>
        <v>-308.16000000000003</v>
      </c>
      <c r="BI2411" s="106">
        <v>-69.52</v>
      </c>
      <c r="BO2411" s="74">
        <v>-70.88</v>
      </c>
      <c r="BU2411" s="106">
        <v>-67.72</v>
      </c>
      <c r="CM2411" s="74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27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74">
        <v>-127.46</v>
      </c>
      <c r="BC2412" s="74">
        <v>-127.82</v>
      </c>
      <c r="BI2412" s="106">
        <v>-127.72</v>
      </c>
      <c r="BO2412" s="74">
        <v>-177.04</v>
      </c>
      <c r="BU2412" s="106">
        <v>-157.32</v>
      </c>
      <c r="CA2412" s="106">
        <v>-169.4</v>
      </c>
      <c r="CG2412" s="106">
        <v>-173.55</v>
      </c>
      <c r="CM2412" s="74">
        <v>-131.28</v>
      </c>
      <c r="CQ2412" s="42">
        <f>-34.46-34.56</f>
        <v>-69.02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27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27">
        <v>44925</v>
      </c>
      <c r="B2414" s="24" t="s">
        <v>133</v>
      </c>
      <c r="C2414" s="21">
        <f t="shared" si="41"/>
        <v>-136.72</v>
      </c>
      <c r="BO2414" s="74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27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27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27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74">
        <v>-1.94</v>
      </c>
    </row>
    <row r="2418" spans="1:131" x14ac:dyDescent="0.25">
      <c r="A2418" s="127">
        <v>44928</v>
      </c>
      <c r="B2418" s="24" t="s">
        <v>15</v>
      </c>
      <c r="C2418" s="21">
        <f t="shared" si="42"/>
        <v>-122.4</v>
      </c>
      <c r="BI2418" s="106">
        <v>-25.63</v>
      </c>
      <c r="BO2418" s="74">
        <v>-44.58</v>
      </c>
      <c r="BU2418" s="106">
        <v>-44.75</v>
      </c>
      <c r="CS2418" s="74">
        <v>-7.44</v>
      </c>
    </row>
    <row r="2419" spans="1:131" x14ac:dyDescent="0.25">
      <c r="A2419" s="127">
        <v>44929</v>
      </c>
      <c r="B2419" s="24" t="s">
        <v>113</v>
      </c>
      <c r="C2419" s="21">
        <f t="shared" si="42"/>
        <v>3500.4</v>
      </c>
      <c r="AW2419" s="74">
        <v>354.24</v>
      </c>
      <c r="BC2419" s="74">
        <v>339.54</v>
      </c>
      <c r="BI2419" s="106">
        <v>205.46</v>
      </c>
      <c r="BO2419" s="74">
        <v>334.22</v>
      </c>
      <c r="CA2419" s="106">
        <v>337.7</v>
      </c>
      <c r="CG2419" s="106">
        <v>418.45</v>
      </c>
      <c r="CM2419" s="74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27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27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27">
        <v>44929</v>
      </c>
      <c r="B2422" s="24" t="s">
        <v>161</v>
      </c>
      <c r="C2422" s="21">
        <f t="shared" si="42"/>
        <v>-24.47</v>
      </c>
      <c r="AW2422" s="74">
        <v>-24.47</v>
      </c>
    </row>
    <row r="2423" spans="1:131" x14ac:dyDescent="0.25">
      <c r="A2423" s="127">
        <v>44929</v>
      </c>
      <c r="B2423" s="24" t="s">
        <v>32</v>
      </c>
      <c r="C2423" s="21">
        <f t="shared" si="42"/>
        <v>0</v>
      </c>
    </row>
    <row r="2424" spans="1:131" x14ac:dyDescent="0.25">
      <c r="A2424" s="127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27">
        <v>44930</v>
      </c>
      <c r="B2425" s="24" t="s">
        <v>139</v>
      </c>
      <c r="C2425" s="21">
        <f t="shared" si="42"/>
        <v>-34.22</v>
      </c>
      <c r="BU2425" s="106">
        <v>-9.07</v>
      </c>
      <c r="CG2425" s="106">
        <v>-8.4499999999999993</v>
      </c>
      <c r="CM2425" s="74">
        <v>-8.57</v>
      </c>
      <c r="CS2425" s="74">
        <v>-8.1300000000000008</v>
      </c>
    </row>
    <row r="2426" spans="1:131" x14ac:dyDescent="0.25">
      <c r="A2426" s="127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27">
        <v>44930</v>
      </c>
      <c r="B2427" s="24" t="s">
        <v>84</v>
      </c>
      <c r="C2427" s="21">
        <f t="shared" si="42"/>
        <v>-49.88</v>
      </c>
      <c r="AW2427" s="74">
        <v>-17.62</v>
      </c>
      <c r="BI2427" s="106">
        <v>-14.16</v>
      </c>
      <c r="BO2427" s="74">
        <v>-18.100000000000001</v>
      </c>
    </row>
    <row r="2428" spans="1:131" x14ac:dyDescent="0.25">
      <c r="A2428" s="127">
        <v>44930</v>
      </c>
      <c r="B2428" s="24" t="s">
        <v>58</v>
      </c>
      <c r="C2428" s="21">
        <f t="shared" si="42"/>
        <v>-8.19</v>
      </c>
      <c r="DK2428" s="74">
        <v>-8.19</v>
      </c>
    </row>
    <row r="2429" spans="1:131" x14ac:dyDescent="0.25">
      <c r="A2429" s="127">
        <v>44930</v>
      </c>
      <c r="B2429" s="24" t="s">
        <v>26</v>
      </c>
      <c r="C2429" s="21">
        <f t="shared" si="42"/>
        <v>-34.06</v>
      </c>
      <c r="BU2429" s="106">
        <v>-8.33</v>
      </c>
      <c r="CA2429" s="106">
        <v>-8.73</v>
      </c>
      <c r="CG2429" s="106">
        <v>-8.6999999999999993</v>
      </c>
      <c r="CM2429" s="74">
        <v>-8.3000000000000007</v>
      </c>
    </row>
    <row r="2430" spans="1:131" x14ac:dyDescent="0.25">
      <c r="A2430" s="127">
        <v>44930</v>
      </c>
      <c r="B2430" s="24" t="s">
        <v>20</v>
      </c>
      <c r="C2430" s="21">
        <f t="shared" si="42"/>
        <v>-17.16</v>
      </c>
      <c r="L2430" s="69">
        <v>-8.51</v>
      </c>
      <c r="O2430" s="375">
        <v>-8.65</v>
      </c>
    </row>
    <row r="2431" spans="1:131" x14ac:dyDescent="0.25">
      <c r="A2431" s="127">
        <v>44931</v>
      </c>
      <c r="B2431" s="24" t="s">
        <v>113</v>
      </c>
      <c r="C2431" s="21">
        <f t="shared" si="42"/>
        <v>1517.76</v>
      </c>
      <c r="CA2431" s="106">
        <v>405.5</v>
      </c>
      <c r="CG2431" s="106">
        <v>436.05</v>
      </c>
      <c r="CM2431" s="74">
        <v>395.25</v>
      </c>
      <c r="CS2431" s="74">
        <v>280.95999999999998</v>
      </c>
    </row>
    <row r="2432" spans="1:131" x14ac:dyDescent="0.25">
      <c r="A2432" s="127">
        <v>44931</v>
      </c>
      <c r="B2432" s="24" t="s">
        <v>161</v>
      </c>
      <c r="C2432" s="21">
        <f t="shared" si="42"/>
        <v>-34.75</v>
      </c>
      <c r="CG2432" s="106">
        <v>-34.75</v>
      </c>
    </row>
    <row r="2433" spans="1:238" x14ac:dyDescent="0.25">
      <c r="A2433" s="127">
        <v>44932</v>
      </c>
      <c r="B2433" s="24" t="s">
        <v>166</v>
      </c>
      <c r="C2433" s="21">
        <f t="shared" si="42"/>
        <v>-361.69</v>
      </c>
      <c r="AW2433" s="74">
        <v>-30.36</v>
      </c>
      <c r="BC2433" s="74">
        <v>-29.78</v>
      </c>
      <c r="BI2433" s="106">
        <v>-52.32</v>
      </c>
      <c r="BO2433" s="74">
        <v>-35.479999999999997</v>
      </c>
      <c r="BU2433" s="106">
        <v>-40.770000000000003</v>
      </c>
      <c r="CA2433" s="106">
        <v>-24.31</v>
      </c>
      <c r="CG2433" s="106">
        <v>-28.05</v>
      </c>
      <c r="CM2433" s="74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27">
        <v>44932</v>
      </c>
      <c r="B2434" s="24" t="s">
        <v>133</v>
      </c>
      <c r="C2434" s="21">
        <f t="shared" si="42"/>
        <v>-233</v>
      </c>
      <c r="BC2434" s="74">
        <v>-31.86</v>
      </c>
      <c r="BI2434" s="106">
        <v>-35.58</v>
      </c>
      <c r="BO2434" s="74">
        <v>-35.68</v>
      </c>
      <c r="CG2434" s="106">
        <v>-33.6</v>
      </c>
      <c r="CM2434" s="74">
        <v>-33</v>
      </c>
      <c r="CS2434" s="74">
        <v>-30.24</v>
      </c>
      <c r="DE2434" s="74">
        <v>-33.04</v>
      </c>
    </row>
    <row r="2435" spans="1:238" x14ac:dyDescent="0.25">
      <c r="A2435" s="127">
        <v>44932</v>
      </c>
      <c r="B2435" s="24" t="s">
        <v>161</v>
      </c>
      <c r="C2435" s="21">
        <f t="shared" si="42"/>
        <v>-9.09</v>
      </c>
      <c r="BI2435" s="106">
        <v>-9.09</v>
      </c>
    </row>
    <row r="2436" spans="1:238" x14ac:dyDescent="0.25">
      <c r="A2436" s="127">
        <v>44932</v>
      </c>
      <c r="B2436" s="24" t="s">
        <v>50</v>
      </c>
      <c r="C2436" s="21">
        <f t="shared" si="42"/>
        <v>-324.08</v>
      </c>
      <c r="GZ2436" s="106">
        <f>-151-18</f>
        <v>-169</v>
      </c>
      <c r="ID2436" s="42">
        <v>-155.08000000000001</v>
      </c>
    </row>
    <row r="2437" spans="1:238" x14ac:dyDescent="0.25">
      <c r="A2437" s="127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27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74">
        <v>-17.239999999999998</v>
      </c>
      <c r="AW2438" s="74">
        <v>-16.28</v>
      </c>
      <c r="BC2438" s="74">
        <v>-14.92</v>
      </c>
      <c r="BI2438" s="106">
        <v>-8.93</v>
      </c>
      <c r="BO2438" s="74">
        <v>-8.4700000000000006</v>
      </c>
      <c r="BU2438" s="106">
        <v>-9.15</v>
      </c>
      <c r="CA2438" s="106">
        <v>-8.75</v>
      </c>
      <c r="CG2438" s="106">
        <v>-8.4499999999999993</v>
      </c>
      <c r="CM2438" s="74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27">
        <v>44933</v>
      </c>
      <c r="B2439" s="24" t="s">
        <v>32</v>
      </c>
      <c r="C2439" s="21">
        <f t="shared" si="42"/>
        <v>-213.98</v>
      </c>
      <c r="BC2439" s="74">
        <f>-31.78-31.52</f>
        <v>-63.3</v>
      </c>
      <c r="CA2439" s="106">
        <v>-50.16</v>
      </c>
      <c r="CG2439" s="106">
        <f>-34.6-34.2</f>
        <v>-68.8</v>
      </c>
      <c r="CS2439" s="74">
        <v>-31.72</v>
      </c>
    </row>
    <row r="2440" spans="1:238" x14ac:dyDescent="0.25">
      <c r="A2440" s="127">
        <v>44935</v>
      </c>
      <c r="B2440" s="24" t="s">
        <v>65</v>
      </c>
      <c r="C2440" s="21">
        <f t="shared" si="42"/>
        <v>-17.46</v>
      </c>
      <c r="AW2440" s="74">
        <v>-17.46</v>
      </c>
    </row>
    <row r="2441" spans="1:238" x14ac:dyDescent="0.25">
      <c r="A2441" s="127">
        <v>44935</v>
      </c>
      <c r="B2441" s="24" t="s">
        <v>59</v>
      </c>
      <c r="C2441" s="21">
        <f t="shared" si="42"/>
        <v>-5.55</v>
      </c>
      <c r="AW2441" s="74">
        <v>-1.1100000000000001</v>
      </c>
      <c r="CM2441" s="74">
        <v>-2.21</v>
      </c>
      <c r="CS2441" s="74">
        <v>-2.23</v>
      </c>
    </row>
    <row r="2442" spans="1:238" x14ac:dyDescent="0.25">
      <c r="A2442" s="127">
        <v>44936</v>
      </c>
      <c r="B2442" s="24" t="s">
        <v>75</v>
      </c>
      <c r="C2442" s="21">
        <f t="shared" si="42"/>
        <v>-7.19</v>
      </c>
      <c r="CA2442" s="106">
        <v>-7.19</v>
      </c>
    </row>
    <row r="2443" spans="1:238" x14ac:dyDescent="0.25">
      <c r="A2443" s="127">
        <v>44936</v>
      </c>
      <c r="B2443" s="24" t="s">
        <v>27</v>
      </c>
      <c r="C2443" s="21">
        <f t="shared" si="42"/>
        <v>-17.57</v>
      </c>
      <c r="AR2443" s="74">
        <v>-8.6</v>
      </c>
      <c r="BO2443" s="74">
        <v>-8.9700000000000006</v>
      </c>
    </row>
    <row r="2444" spans="1:238" x14ac:dyDescent="0.25">
      <c r="A2444" s="127">
        <v>44936</v>
      </c>
      <c r="B2444" s="24" t="s">
        <v>139</v>
      </c>
      <c r="C2444" s="21">
        <f t="shared" si="42"/>
        <v>-24.11</v>
      </c>
      <c r="CA2444" s="106">
        <v>-8.7100000000000009</v>
      </c>
      <c r="CM2444" s="74">
        <v>-8.25</v>
      </c>
      <c r="CS2444" s="74">
        <v>-7.15</v>
      </c>
    </row>
    <row r="2445" spans="1:238" x14ac:dyDescent="0.25">
      <c r="A2445" s="127">
        <v>44936</v>
      </c>
      <c r="B2445" s="24" t="s">
        <v>25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27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27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27">
        <v>44937</v>
      </c>
      <c r="B2448" s="24" t="s">
        <v>133</v>
      </c>
      <c r="C2448" s="21">
        <f t="shared" si="42"/>
        <v>-294.29000000000002</v>
      </c>
      <c r="AR2448" s="74">
        <v>-31.9</v>
      </c>
      <c r="CA2448" s="106">
        <v>-34.159999999999997</v>
      </c>
      <c r="CG2448" s="106">
        <v>-33.700000000000003</v>
      </c>
      <c r="CM2448" s="74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27">
        <v>44937</v>
      </c>
      <c r="B2449" s="24" t="s">
        <v>153</v>
      </c>
      <c r="C2449" s="21">
        <f t="shared" si="42"/>
        <v>258.02999999999997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27">
        <v>44937</v>
      </c>
      <c r="B2450" s="29" t="s">
        <v>152</v>
      </c>
      <c r="C2450" s="21">
        <f t="shared" si="42"/>
        <v>-1110.49</v>
      </c>
      <c r="T2450" s="42">
        <v>-23.85</v>
      </c>
      <c r="AW2450" s="74">
        <v>-34</v>
      </c>
      <c r="BC2450" s="74">
        <v>-30.44</v>
      </c>
      <c r="BI2450" s="106">
        <v>-99.06</v>
      </c>
      <c r="BO2450" s="74">
        <v>-106.8</v>
      </c>
      <c r="BU2450" s="106">
        <v>-66.760000000000005</v>
      </c>
      <c r="CA2450" s="106">
        <v>-102.14</v>
      </c>
      <c r="CG2450" s="106">
        <v>-64.7</v>
      </c>
      <c r="CM2450" s="74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27">
        <v>44937</v>
      </c>
      <c r="B2451" s="29" t="s">
        <v>151</v>
      </c>
      <c r="C2451" s="21">
        <f t="shared" si="42"/>
        <v>-16.02</v>
      </c>
      <c r="CY2451" s="74">
        <v>-16.02</v>
      </c>
    </row>
    <row r="2452" spans="1:224" x14ac:dyDescent="0.25">
      <c r="A2452" s="127">
        <v>44937</v>
      </c>
      <c r="B2452" s="29" t="s">
        <v>111</v>
      </c>
      <c r="C2452" s="21">
        <f t="shared" si="42"/>
        <v>-16.8</v>
      </c>
      <c r="CG2452" s="106">
        <v>-16.8</v>
      </c>
    </row>
    <row r="2453" spans="1:224" x14ac:dyDescent="0.25">
      <c r="A2453" s="127">
        <v>44937</v>
      </c>
      <c r="B2453" s="29" t="s">
        <v>161</v>
      </c>
      <c r="C2453" s="21">
        <f t="shared" si="42"/>
        <v>0</v>
      </c>
    </row>
    <row r="2454" spans="1:224" x14ac:dyDescent="0.25">
      <c r="A2454" s="127">
        <v>44938</v>
      </c>
      <c r="B2454" s="24" t="s">
        <v>152</v>
      </c>
      <c r="C2454" s="21">
        <f t="shared" si="42"/>
        <v>0</v>
      </c>
    </row>
    <row r="2455" spans="1:224" x14ac:dyDescent="0.25">
      <c r="A2455" s="127">
        <v>44938</v>
      </c>
      <c r="B2455" s="24" t="s">
        <v>59</v>
      </c>
      <c r="C2455" s="21">
        <f t="shared" si="42"/>
        <v>-7.85</v>
      </c>
      <c r="CA2455" s="106">
        <v>-7.85</v>
      </c>
    </row>
    <row r="2456" spans="1:224" x14ac:dyDescent="0.25">
      <c r="A2456" s="127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27">
        <v>44939</v>
      </c>
      <c r="B2457" s="24" t="s">
        <v>68</v>
      </c>
      <c r="C2457" s="21">
        <f t="shared" si="42"/>
        <v>-174.17</v>
      </c>
      <c r="N2457" s="42">
        <v>-7.41</v>
      </c>
      <c r="AW2457" s="74">
        <v>-31.5</v>
      </c>
      <c r="BC2457" s="74">
        <v>-29.46</v>
      </c>
      <c r="BI2457" s="106">
        <v>-35.28</v>
      </c>
      <c r="BO2457" s="74">
        <v>-35.659999999999997</v>
      </c>
      <c r="CA2457" s="106">
        <v>-34.86</v>
      </c>
    </row>
    <row r="2458" spans="1:224" x14ac:dyDescent="0.25">
      <c r="A2458" s="127">
        <v>44939</v>
      </c>
      <c r="B2458" s="24" t="s">
        <v>113</v>
      </c>
      <c r="C2458" s="21">
        <f t="shared" si="42"/>
        <v>4317.95</v>
      </c>
      <c r="AW2458" s="74">
        <v>364.56</v>
      </c>
      <c r="BC2458" s="74">
        <v>381.6</v>
      </c>
      <c r="CG2458" s="106">
        <f>36.05+338.25</f>
        <v>374.3</v>
      </c>
      <c r="CM2458" s="74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27">
        <v>44939</v>
      </c>
      <c r="B2459" s="24" t="s">
        <v>133</v>
      </c>
      <c r="C2459" s="21">
        <f t="shared" si="42"/>
        <v>-233.39</v>
      </c>
      <c r="BI2459" s="106">
        <v>-33.340000000000003</v>
      </c>
      <c r="BO2459" s="74">
        <v>-34.6</v>
      </c>
      <c r="CM2459" s="74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27">
        <v>44939</v>
      </c>
      <c r="B2460" s="24" t="s">
        <v>151</v>
      </c>
      <c r="C2460" s="21">
        <f t="shared" si="42"/>
        <v>-24.26</v>
      </c>
      <c r="BU2460" s="106">
        <v>-8.41</v>
      </c>
      <c r="CG2460" s="106">
        <v>-8.4</v>
      </c>
      <c r="CM2460" s="74">
        <v>-7.45</v>
      </c>
    </row>
    <row r="2461" spans="1:224" x14ac:dyDescent="0.25">
      <c r="A2461" s="127">
        <v>44939</v>
      </c>
      <c r="B2461" s="24" t="s">
        <v>84</v>
      </c>
      <c r="C2461" s="21">
        <f t="shared" si="42"/>
        <v>-24.76</v>
      </c>
      <c r="AR2461" s="74">
        <v>-8.6</v>
      </c>
      <c r="BC2461" s="74">
        <v>-7.17</v>
      </c>
      <c r="BU2461" s="106">
        <v>-8.99</v>
      </c>
    </row>
    <row r="2462" spans="1:224" x14ac:dyDescent="0.25">
      <c r="A2462" s="127">
        <v>44939</v>
      </c>
      <c r="B2462" s="24" t="s">
        <v>115</v>
      </c>
      <c r="C2462" s="21">
        <f t="shared" si="42"/>
        <v>492.97500000000002</v>
      </c>
      <c r="D2462" s="145">
        <v>158.58000000000001</v>
      </c>
      <c r="E2462" s="145">
        <v>158.13</v>
      </c>
      <c r="F2462" s="145">
        <v>176.26499999999999</v>
      </c>
    </row>
    <row r="2463" spans="1:224" x14ac:dyDescent="0.25">
      <c r="A2463" s="127">
        <v>44940</v>
      </c>
      <c r="B2463" s="24" t="s">
        <v>140</v>
      </c>
      <c r="C2463" s="21">
        <f t="shared" si="42"/>
        <v>-81.594999999999999</v>
      </c>
      <c r="D2463" s="145">
        <v>-24.66</v>
      </c>
      <c r="E2463" s="145">
        <v>-56.935000000000002</v>
      </c>
    </row>
    <row r="2464" spans="1:224" x14ac:dyDescent="0.25">
      <c r="A2464" s="127">
        <v>44940</v>
      </c>
      <c r="B2464" s="24" t="s">
        <v>169</v>
      </c>
      <c r="C2464" s="21">
        <f t="shared" si="42"/>
        <v>-82.94</v>
      </c>
      <c r="D2464" s="145">
        <v>-17.98</v>
      </c>
      <c r="E2464" s="145">
        <v>-64.959999999999994</v>
      </c>
    </row>
    <row r="2465" spans="1:240" x14ac:dyDescent="0.25">
      <c r="A2465" s="127">
        <v>44940</v>
      </c>
      <c r="B2465" s="24" t="s">
        <v>32</v>
      </c>
      <c r="C2465" s="21">
        <f t="shared" si="42"/>
        <v>-205.67</v>
      </c>
      <c r="AR2465" s="74">
        <v>-17.149999999999999</v>
      </c>
      <c r="BB2465" s="69">
        <v>-17.079999999999998</v>
      </c>
      <c r="BU2465" s="106">
        <v>-18.18</v>
      </c>
      <c r="CA2465" s="106">
        <v>-34.14</v>
      </c>
      <c r="CG2465" s="106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27">
        <v>44940</v>
      </c>
      <c r="B2466" s="24" t="s">
        <v>133</v>
      </c>
      <c r="C2466" s="21">
        <f t="shared" si="42"/>
        <v>-33.68</v>
      </c>
      <c r="BO2466" s="74">
        <v>-33.68</v>
      </c>
    </row>
    <row r="2467" spans="1:240" x14ac:dyDescent="0.25">
      <c r="A2467" s="127">
        <v>44942</v>
      </c>
      <c r="B2467" s="24" t="s">
        <v>65</v>
      </c>
      <c r="C2467" s="21">
        <f t="shared" si="42"/>
        <v>-98.14</v>
      </c>
      <c r="AR2467" s="74">
        <v>-64.92</v>
      </c>
      <c r="AW2467" s="74">
        <v>-33.22</v>
      </c>
    </row>
    <row r="2468" spans="1:240" x14ac:dyDescent="0.25">
      <c r="A2468" s="127">
        <v>44942</v>
      </c>
      <c r="B2468" s="24" t="s">
        <v>44</v>
      </c>
      <c r="C2468" s="21">
        <f t="shared" si="42"/>
        <v>-159.19999999999999</v>
      </c>
      <c r="GJ2468" s="202">
        <v>-14.87</v>
      </c>
      <c r="GQ2468" s="92">
        <v>-144.33000000000001</v>
      </c>
    </row>
    <row r="2469" spans="1:240" x14ac:dyDescent="0.25">
      <c r="A2469" s="127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27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27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27">
        <v>44943</v>
      </c>
      <c r="B2472" s="24" t="s">
        <v>25</v>
      </c>
      <c r="C2472" s="21">
        <f t="shared" si="42"/>
        <v>-33.33</v>
      </c>
      <c r="BO2472" s="74">
        <v>-8.3699999999999992</v>
      </c>
      <c r="BU2472" s="106">
        <v>-8.9700000000000006</v>
      </c>
      <c r="CA2472" s="106">
        <v>-7.59</v>
      </c>
      <c r="CG2472" s="106">
        <v>-8.4</v>
      </c>
    </row>
    <row r="2473" spans="1:240" x14ac:dyDescent="0.25">
      <c r="A2473" s="127">
        <v>44943</v>
      </c>
      <c r="B2473" s="24" t="s">
        <v>139</v>
      </c>
      <c r="C2473" s="21">
        <f t="shared" si="42"/>
        <v>-82.4</v>
      </c>
      <c r="BI2473" s="106">
        <v>-9.33</v>
      </c>
      <c r="BO2473" s="74">
        <v>-8.41</v>
      </c>
      <c r="CG2473" s="106">
        <v>-8.4</v>
      </c>
      <c r="CM2473" s="74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27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27">
        <v>44943</v>
      </c>
      <c r="B2475" s="24" t="s">
        <v>75</v>
      </c>
      <c r="C2475" s="21">
        <f t="shared" si="42"/>
        <v>-24.79</v>
      </c>
      <c r="BC2475" s="74">
        <v>-7.59</v>
      </c>
      <c r="CA2475" s="106">
        <v>-8.75</v>
      </c>
      <c r="CG2475" s="106">
        <v>-8.4499999999999993</v>
      </c>
    </row>
    <row r="2476" spans="1:240" x14ac:dyDescent="0.25">
      <c r="A2476" s="127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106">
        <v>-14.52</v>
      </c>
      <c r="BM2476" s="88">
        <v>-17.72</v>
      </c>
    </row>
    <row r="2477" spans="1:240" x14ac:dyDescent="0.25">
      <c r="A2477" s="127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27">
        <v>44945</v>
      </c>
      <c r="B2478" s="24" t="s">
        <v>113</v>
      </c>
      <c r="C2478" s="21">
        <f t="shared" si="42"/>
        <v>1044.6300000000001</v>
      </c>
      <c r="BU2478" s="106">
        <v>316.38</v>
      </c>
      <c r="FC2478" s="106">
        <v>303.35000000000002</v>
      </c>
      <c r="HM2478" s="106">
        <v>424.9</v>
      </c>
    </row>
    <row r="2479" spans="1:240" x14ac:dyDescent="0.25">
      <c r="A2479" s="127">
        <v>44945</v>
      </c>
      <c r="B2479" s="24" t="s">
        <v>65</v>
      </c>
      <c r="C2479" s="21">
        <f t="shared" si="42"/>
        <v>-41.25</v>
      </c>
      <c r="AW2479" s="74">
        <v>-41.25</v>
      </c>
    </row>
    <row r="2480" spans="1:240" x14ac:dyDescent="0.25">
      <c r="A2480" s="127">
        <v>44945</v>
      </c>
      <c r="B2480" s="24" t="s">
        <v>152</v>
      </c>
      <c r="C2480" s="21">
        <f t="shared" si="42"/>
        <v>-784.32</v>
      </c>
      <c r="AR2480" s="74">
        <v>-32.67</v>
      </c>
      <c r="AW2480" s="74">
        <v>-53.75</v>
      </c>
      <c r="BG2480" s="42">
        <v>-32.58</v>
      </c>
      <c r="BI2480" s="106">
        <v>-21.17</v>
      </c>
      <c r="BU2480" s="106">
        <v>-133.62</v>
      </c>
      <c r="CA2480" s="106">
        <v>-34.1</v>
      </c>
      <c r="CG2480" s="106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27">
        <v>44945</v>
      </c>
      <c r="B2481" s="24" t="s">
        <v>59</v>
      </c>
      <c r="C2481" s="21">
        <f t="shared" ref="C2481:C2544" si="43">SUM(D2481:JT2481)</f>
        <v>-8.24</v>
      </c>
      <c r="BU2481" s="106">
        <v>-0.25</v>
      </c>
      <c r="CS2481" s="74">
        <v>-7.99</v>
      </c>
    </row>
    <row r="2482" spans="1:236" x14ac:dyDescent="0.25">
      <c r="A2482" s="127">
        <v>44945</v>
      </c>
      <c r="B2482" s="24" t="s">
        <v>131</v>
      </c>
      <c r="C2482" s="21">
        <f t="shared" si="43"/>
        <v>-102.69</v>
      </c>
      <c r="Z2482" s="79">
        <v>-7.79</v>
      </c>
      <c r="HM2482" s="106">
        <v>-94.9</v>
      </c>
    </row>
    <row r="2483" spans="1:236" x14ac:dyDescent="0.25">
      <c r="A2483" s="127">
        <v>44946</v>
      </c>
      <c r="B2483" s="24" t="s">
        <v>32</v>
      </c>
      <c r="C2483" s="21">
        <f t="shared" si="43"/>
        <v>-266.94</v>
      </c>
      <c r="AW2483" s="74">
        <v>-32.86</v>
      </c>
      <c r="BC2483" s="74">
        <v>-30.32</v>
      </c>
      <c r="BO2483" s="74">
        <v>-34.42</v>
      </c>
      <c r="BU2483" s="106">
        <v>-33.94</v>
      </c>
      <c r="CA2483" s="106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27">
        <v>44946</v>
      </c>
      <c r="B2484" s="24" t="s">
        <v>133</v>
      </c>
      <c r="C2484" s="21">
        <f t="shared" si="43"/>
        <v>-165.33</v>
      </c>
      <c r="BC2484" s="74">
        <v>-31.84</v>
      </c>
      <c r="BU2484" s="106">
        <v>-33.36</v>
      </c>
      <c r="CA2484" s="106">
        <v>-34.94</v>
      </c>
      <c r="CG2484" s="106">
        <v>-33.549999999999997</v>
      </c>
      <c r="CS2484" s="74">
        <v>-31.64</v>
      </c>
    </row>
    <row r="2485" spans="1:236" x14ac:dyDescent="0.25">
      <c r="A2485" s="127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27">
        <v>44946</v>
      </c>
      <c r="B2486" s="24" t="s">
        <v>59</v>
      </c>
      <c r="C2486" s="21">
        <f t="shared" si="43"/>
        <v>-7.07</v>
      </c>
      <c r="BU2486" s="106">
        <v>-3.98</v>
      </c>
      <c r="CA2486" s="106">
        <v>-3.09</v>
      </c>
    </row>
    <row r="2487" spans="1:236" x14ac:dyDescent="0.25">
      <c r="A2487" s="127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27">
        <v>44949</v>
      </c>
      <c r="B2488" s="24" t="s">
        <v>152</v>
      </c>
      <c r="C2488" s="21">
        <f t="shared" si="43"/>
        <v>-335.85</v>
      </c>
      <c r="AE2488" s="42">
        <v>-66.930000000000007</v>
      </c>
      <c r="BC2488" s="74">
        <v>-31.14</v>
      </c>
      <c r="BO2488" s="74">
        <v>-33.979999999999997</v>
      </c>
      <c r="BU2488" s="106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27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27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27">
        <v>44950</v>
      </c>
      <c r="B2491" s="24" t="s">
        <v>79</v>
      </c>
      <c r="C2491" s="21">
        <f t="shared" si="43"/>
        <v>-39.04</v>
      </c>
      <c r="BC2491" s="74">
        <v>-7.49</v>
      </c>
      <c r="BU2491" s="106">
        <v>-8.09</v>
      </c>
      <c r="CA2491" s="106">
        <v>-7.51</v>
      </c>
      <c r="CG2491" s="106">
        <v>-8.4499999999999993</v>
      </c>
      <c r="CM2491" s="74">
        <v>-7.5</v>
      </c>
    </row>
    <row r="2492" spans="1:236" x14ac:dyDescent="0.25">
      <c r="A2492" s="127">
        <v>44950</v>
      </c>
      <c r="B2492" s="24" t="s">
        <v>50</v>
      </c>
      <c r="C2492" s="21">
        <f t="shared" si="43"/>
        <v>-91.99</v>
      </c>
      <c r="HM2492" s="106">
        <v>-61.2</v>
      </c>
      <c r="IB2492" s="42">
        <v>-30.79</v>
      </c>
    </row>
    <row r="2493" spans="1:236" x14ac:dyDescent="0.25">
      <c r="A2493" s="127">
        <v>44950</v>
      </c>
      <c r="B2493" s="24" t="s">
        <v>75</v>
      </c>
      <c r="C2493" s="21">
        <f t="shared" si="43"/>
        <v>-23.51</v>
      </c>
      <c r="BC2493" s="74">
        <v>-7.39</v>
      </c>
      <c r="BU2493" s="106">
        <v>-8.01</v>
      </c>
      <c r="CA2493" s="106">
        <v>-8.11</v>
      </c>
    </row>
    <row r="2494" spans="1:236" x14ac:dyDescent="0.25">
      <c r="A2494" s="127">
        <v>44950</v>
      </c>
      <c r="B2494" s="24" t="s">
        <v>138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27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27">
        <v>44950</v>
      </c>
      <c r="B2496" s="24" t="s">
        <v>84</v>
      </c>
      <c r="C2496" s="21">
        <f t="shared" si="43"/>
        <v>-24.83</v>
      </c>
      <c r="BU2496" s="106">
        <v>-8.8699999999999992</v>
      </c>
      <c r="CA2496" s="106">
        <v>-15.96</v>
      </c>
    </row>
    <row r="2497" spans="1:226" x14ac:dyDescent="0.25">
      <c r="A2497" s="127">
        <v>44951</v>
      </c>
      <c r="B2497" s="24" t="s">
        <v>125</v>
      </c>
      <c r="C2497" s="21">
        <f t="shared" si="43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27">
        <v>44951</v>
      </c>
      <c r="B2498" s="24" t="s">
        <v>37</v>
      </c>
      <c r="C2498" s="21">
        <f t="shared" si="43"/>
        <v>-168.08</v>
      </c>
      <c r="GT2498" s="110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27">
        <v>44951</v>
      </c>
      <c r="B2499" s="24" t="s">
        <v>171</v>
      </c>
      <c r="C2499" s="21">
        <f t="shared" si="43"/>
        <v>-24.65</v>
      </c>
      <c r="AW2499" s="74">
        <v>-8.1300000000000008</v>
      </c>
      <c r="BO2499" s="74">
        <v>-8.91</v>
      </c>
      <c r="BU2499" s="106">
        <v>-7.61</v>
      </c>
    </row>
    <row r="2500" spans="1:226" x14ac:dyDescent="0.25">
      <c r="A2500" s="127">
        <v>44953</v>
      </c>
      <c r="B2500" s="24" t="s">
        <v>162</v>
      </c>
      <c r="C2500" s="21">
        <f t="shared" si="43"/>
        <v>-138.99</v>
      </c>
      <c r="AW2500" s="74">
        <v>-16.36</v>
      </c>
      <c r="BC2500" s="74">
        <v>-14.78</v>
      </c>
      <c r="BM2500" s="88">
        <v>-8.66</v>
      </c>
      <c r="BO2500" s="74">
        <v>-8.59</v>
      </c>
      <c r="BU2500" s="106">
        <v>-15.4</v>
      </c>
      <c r="CA2500" s="106">
        <v>-17.5</v>
      </c>
      <c r="CG2500" s="106">
        <v>-16.850000000000001</v>
      </c>
      <c r="CM2500" s="74">
        <v>-15.8</v>
      </c>
      <c r="DK2500" s="74">
        <v>-25.05</v>
      </c>
    </row>
    <row r="2501" spans="1:226" x14ac:dyDescent="0.25">
      <c r="A2501" s="127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74">
        <v>192.75</v>
      </c>
      <c r="BU2501" s="106">
        <v>196.8</v>
      </c>
      <c r="EA2501" s="74">
        <v>197.6</v>
      </c>
    </row>
    <row r="2502" spans="1:226" x14ac:dyDescent="0.25">
      <c r="A2502" s="127">
        <v>44956</v>
      </c>
      <c r="B2502" s="24" t="s">
        <v>133</v>
      </c>
      <c r="C2502" s="21">
        <f t="shared" si="43"/>
        <v>-293.63</v>
      </c>
      <c r="AN2502" s="74">
        <v>-32.6</v>
      </c>
      <c r="AW2502" s="74">
        <v>-32</v>
      </c>
      <c r="BU2502" s="106">
        <v>-33.299999999999997</v>
      </c>
      <c r="CA2502" s="106">
        <v>-32.96</v>
      </c>
      <c r="CG2502" s="106">
        <v>-33.65</v>
      </c>
      <c r="CM2502" s="74">
        <v>-33</v>
      </c>
      <c r="CS2502" s="74">
        <v>-62.74</v>
      </c>
      <c r="DE2502" s="74">
        <v>-33.380000000000003</v>
      </c>
    </row>
    <row r="2503" spans="1:226" x14ac:dyDescent="0.25">
      <c r="A2503" s="127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27">
        <v>44956</v>
      </c>
      <c r="B2504" s="24" t="s">
        <v>48</v>
      </c>
      <c r="C2504" s="21">
        <f t="shared" si="43"/>
        <v>-12.19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27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27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27">
        <v>44957</v>
      </c>
      <c r="B2507" s="24" t="s">
        <v>144</v>
      </c>
      <c r="C2507" s="21">
        <f t="shared" si="43"/>
        <v>-170.9</v>
      </c>
      <c r="Z2507" s="79">
        <v>-67.959999999999994</v>
      </c>
      <c r="AC2507" s="74">
        <v>-102.94</v>
      </c>
    </row>
    <row r="2508" spans="1:226" x14ac:dyDescent="0.25">
      <c r="A2508" s="127">
        <v>44957</v>
      </c>
      <c r="B2508" s="24" t="s">
        <v>25</v>
      </c>
      <c r="C2508" s="21">
        <f t="shared" si="43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106">
        <v>-16.14</v>
      </c>
      <c r="CA2508" s="106">
        <v>-8.69</v>
      </c>
      <c r="CG2508" s="106">
        <v>-8.4</v>
      </c>
    </row>
    <row r="2509" spans="1:226" x14ac:dyDescent="0.25">
      <c r="A2509" s="127">
        <v>44957</v>
      </c>
      <c r="B2509" s="24" t="s">
        <v>75</v>
      </c>
      <c r="C2509" s="21">
        <f t="shared" si="43"/>
        <v>-92.13</v>
      </c>
      <c r="AG2509" s="106">
        <v>-9.1</v>
      </c>
      <c r="BC2509" s="74">
        <v>-16.079999999999998</v>
      </c>
      <c r="CG2509" s="106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27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106">
        <v>-8.4499999999999993</v>
      </c>
    </row>
    <row r="2511" spans="1:226" x14ac:dyDescent="0.25">
      <c r="A2511" s="127">
        <v>44957</v>
      </c>
      <c r="B2511" s="24" t="s">
        <v>139</v>
      </c>
      <c r="C2511" s="21">
        <f t="shared" si="43"/>
        <v>-24.64</v>
      </c>
      <c r="AC2511" s="74">
        <v>-8.59</v>
      </c>
      <c r="AW2511" s="74">
        <v>-7.85</v>
      </c>
      <c r="CM2511" s="74">
        <v>-8.1999999999999993</v>
      </c>
    </row>
    <row r="2512" spans="1:226" x14ac:dyDescent="0.25">
      <c r="A2512" s="127">
        <v>44957</v>
      </c>
      <c r="B2512" s="24" t="s">
        <v>48</v>
      </c>
      <c r="C2512" s="21">
        <f t="shared" si="43"/>
        <v>-121.58</v>
      </c>
      <c r="AC2512" s="74">
        <v>-51.4</v>
      </c>
      <c r="EG2512" s="74">
        <v>-70.180000000000007</v>
      </c>
    </row>
    <row r="2513" spans="1:238" x14ac:dyDescent="0.25">
      <c r="A2513" s="127">
        <v>44957</v>
      </c>
      <c r="B2513" s="24" t="s">
        <v>152</v>
      </c>
      <c r="C2513" s="21">
        <f t="shared" si="43"/>
        <v>-873.42</v>
      </c>
      <c r="AW2513" s="74">
        <v>-33.979999999999997</v>
      </c>
      <c r="BC2513" s="74">
        <v>-29.36</v>
      </c>
      <c r="BU2513" s="106">
        <v>-33.799999999999997</v>
      </c>
      <c r="CA2513" s="106">
        <v>-67.040000000000006</v>
      </c>
      <c r="CG2513" s="106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27">
        <v>44957</v>
      </c>
      <c r="B2514" s="24" t="s">
        <v>172</v>
      </c>
      <c r="C2514" s="21">
        <f t="shared" si="43"/>
        <v>0</v>
      </c>
    </row>
    <row r="2515" spans="1:238" x14ac:dyDescent="0.25">
      <c r="A2515" s="127">
        <v>44957</v>
      </c>
      <c r="B2515" s="24" t="s">
        <v>172</v>
      </c>
      <c r="C2515" s="21">
        <f t="shared" si="43"/>
        <v>0</v>
      </c>
    </row>
    <row r="2516" spans="1:238" x14ac:dyDescent="0.25">
      <c r="A2516" s="127">
        <v>44957</v>
      </c>
      <c r="B2516" s="24" t="s">
        <v>146</v>
      </c>
      <c r="C2516" s="21">
        <f t="shared" si="43"/>
        <v>-192.75</v>
      </c>
      <c r="AR2516" s="74">
        <v>-192.75</v>
      </c>
    </row>
    <row r="2517" spans="1:238" x14ac:dyDescent="0.25">
      <c r="A2517" s="127">
        <v>44957</v>
      </c>
      <c r="B2517" s="24" t="s">
        <v>20</v>
      </c>
      <c r="C2517" s="21">
        <f t="shared" si="43"/>
        <v>-17.004999999999999</v>
      </c>
      <c r="Z2517" s="79">
        <v>-8.5500000000000007</v>
      </c>
      <c r="BN2517" s="69">
        <v>-8.4550000000000001</v>
      </c>
    </row>
    <row r="2518" spans="1:238" x14ac:dyDescent="0.25">
      <c r="A2518" s="127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106">
        <v>-34.82</v>
      </c>
      <c r="CG2518" s="106">
        <v>-33.5</v>
      </c>
      <c r="CM2518" s="74">
        <v>-16.399999999999999</v>
      </c>
      <c r="CR2518" s="69">
        <v>-17.010000000000002</v>
      </c>
    </row>
    <row r="2519" spans="1:238" x14ac:dyDescent="0.25">
      <c r="A2519" s="127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27">
        <v>44958</v>
      </c>
      <c r="B2520" s="24" t="s">
        <v>149</v>
      </c>
      <c r="C2520" s="21">
        <f t="shared" si="43"/>
        <v>-10.050000000000001</v>
      </c>
      <c r="BM2520" s="88">
        <v>-1.28</v>
      </c>
      <c r="CA2520" s="106">
        <v>-8.77</v>
      </c>
    </row>
    <row r="2521" spans="1:238" x14ac:dyDescent="0.25">
      <c r="A2521" s="127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27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27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27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27">
        <v>44963</v>
      </c>
      <c r="B2525" s="24" t="s">
        <v>113</v>
      </c>
      <c r="C2525" s="21">
        <f t="shared" si="43"/>
        <v>2616.0500000000002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0">
        <v>163.79</v>
      </c>
      <c r="GW2525" s="92">
        <v>215.31</v>
      </c>
    </row>
    <row r="2526" spans="1:238" x14ac:dyDescent="0.25">
      <c r="A2526" s="127">
        <v>44963</v>
      </c>
      <c r="B2526" s="24" t="s">
        <v>113</v>
      </c>
      <c r="C2526" s="21">
        <f t="shared" si="43"/>
        <v>203.76</v>
      </c>
      <c r="BI2526" s="106">
        <v>203.76</v>
      </c>
    </row>
    <row r="2527" spans="1:238" x14ac:dyDescent="0.25">
      <c r="A2527" s="127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27">
        <v>44963</v>
      </c>
      <c r="B2528" s="24" t="s">
        <v>65</v>
      </c>
      <c r="C2528" s="21">
        <f t="shared" si="43"/>
        <v>-31.35</v>
      </c>
      <c r="AR2528" s="74">
        <v>-31.35</v>
      </c>
    </row>
    <row r="2529" spans="1:216" x14ac:dyDescent="0.25">
      <c r="A2529" s="127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106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27">
        <v>44963</v>
      </c>
      <c r="B2530" s="24" t="s">
        <v>133</v>
      </c>
      <c r="C2530" s="21">
        <f t="shared" si="43"/>
        <v>-102.2</v>
      </c>
      <c r="BN2530" s="69">
        <v>-33.78</v>
      </c>
      <c r="BU2530" s="106">
        <v>-34</v>
      </c>
      <c r="CA2530" s="106">
        <v>-34.42</v>
      </c>
    </row>
    <row r="2531" spans="1:216" x14ac:dyDescent="0.25">
      <c r="A2531" s="127">
        <v>44963</v>
      </c>
      <c r="B2531" s="24" t="s">
        <v>32</v>
      </c>
      <c r="C2531" s="21">
        <f t="shared" si="43"/>
        <v>-35.49</v>
      </c>
      <c r="BI2531" s="106">
        <v>-35.49</v>
      </c>
    </row>
    <row r="2532" spans="1:216" x14ac:dyDescent="0.25">
      <c r="A2532" s="127">
        <v>44963</v>
      </c>
      <c r="B2532" s="24" t="s">
        <v>50</v>
      </c>
      <c r="C2532" s="21">
        <f t="shared" si="43"/>
        <v>0</v>
      </c>
    </row>
    <row r="2533" spans="1:216" x14ac:dyDescent="0.25">
      <c r="A2533" s="127">
        <v>44963</v>
      </c>
      <c r="B2533" s="24" t="s">
        <v>50</v>
      </c>
      <c r="C2533" s="21">
        <f t="shared" si="43"/>
        <v>0</v>
      </c>
    </row>
    <row r="2534" spans="1:216" x14ac:dyDescent="0.25">
      <c r="A2534" s="127">
        <v>44964</v>
      </c>
      <c r="B2534" s="24" t="s">
        <v>139</v>
      </c>
      <c r="C2534" s="21">
        <f t="shared" si="43"/>
        <v>-48.57</v>
      </c>
      <c r="BC2534" s="74">
        <v>-7.99</v>
      </c>
      <c r="BI2534" s="106">
        <v>-7.76</v>
      </c>
      <c r="BU2534" s="106">
        <v>-7.91</v>
      </c>
      <c r="CA2534" s="106">
        <v>-8.01</v>
      </c>
      <c r="CG2534" s="106">
        <v>-8.4</v>
      </c>
      <c r="CR2534" s="69">
        <v>-8.5</v>
      </c>
    </row>
    <row r="2535" spans="1:216" x14ac:dyDescent="0.25">
      <c r="A2535" s="127">
        <v>44964</v>
      </c>
      <c r="B2535" s="24" t="s">
        <v>75</v>
      </c>
      <c r="C2535" s="21">
        <f t="shared" si="43"/>
        <v>-15.32</v>
      </c>
      <c r="AW2535" s="74">
        <v>-15.32</v>
      </c>
    </row>
    <row r="2536" spans="1:216" x14ac:dyDescent="0.25">
      <c r="A2536" s="127">
        <v>44964</v>
      </c>
      <c r="B2536" s="24" t="s">
        <v>20</v>
      </c>
      <c r="C2536" s="21">
        <f t="shared" si="43"/>
        <v>-77.605000000000004</v>
      </c>
      <c r="CM2536" s="74">
        <v>-8.25</v>
      </c>
      <c r="CR2536" s="69">
        <v>-8.5050000000000008</v>
      </c>
      <c r="GZ2536" s="106">
        <v>-60.85</v>
      </c>
    </row>
    <row r="2537" spans="1:216" x14ac:dyDescent="0.25">
      <c r="A2537" s="127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27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27">
        <v>44965</v>
      </c>
      <c r="B2539" s="24" t="s">
        <v>17</v>
      </c>
      <c r="C2539" s="21">
        <f t="shared" si="43"/>
        <v>-16.760000000000002</v>
      </c>
      <c r="AC2539" s="74">
        <v>-8.51</v>
      </c>
      <c r="CM2539" s="74">
        <v>-8.25</v>
      </c>
    </row>
    <row r="2540" spans="1:216" x14ac:dyDescent="0.25">
      <c r="A2540" s="127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27">
        <v>44967</v>
      </c>
      <c r="B2541" s="24" t="s">
        <v>32</v>
      </c>
      <c r="C2541" s="21">
        <f t="shared" si="43"/>
        <v>0</v>
      </c>
    </row>
    <row r="2542" spans="1:216" x14ac:dyDescent="0.25">
      <c r="A2542" s="127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27">
        <v>44967</v>
      </c>
      <c r="B2543" s="24" t="s">
        <v>68</v>
      </c>
      <c r="C2543" s="21">
        <f t="shared" si="43"/>
        <v>-95.62</v>
      </c>
      <c r="Z2543" s="79">
        <v>-34</v>
      </c>
      <c r="BC2543" s="74">
        <v>-28.96</v>
      </c>
      <c r="BU2543" s="106">
        <v>-32.659999999999997</v>
      </c>
    </row>
    <row r="2544" spans="1:216" x14ac:dyDescent="0.25">
      <c r="A2544" s="127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106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27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106">
        <v>137.03</v>
      </c>
      <c r="BO2545" s="74">
        <v>345.52</v>
      </c>
      <c r="BU2545" s="106">
        <v>194.63</v>
      </c>
      <c r="CA2545" s="106">
        <v>203.83</v>
      </c>
      <c r="CS2545" s="74">
        <v>204.59</v>
      </c>
    </row>
    <row r="2546" spans="1:236" x14ac:dyDescent="0.25">
      <c r="A2546" s="127">
        <v>44970</v>
      </c>
      <c r="B2546" s="24" t="s">
        <v>57</v>
      </c>
      <c r="C2546" s="21">
        <f t="shared" si="44"/>
        <v>-17.68</v>
      </c>
      <c r="BU2546" s="106">
        <v>-9</v>
      </c>
      <c r="CA2546" s="106">
        <v>-8.68</v>
      </c>
    </row>
    <row r="2547" spans="1:236" x14ac:dyDescent="0.25">
      <c r="A2547" s="127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27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27">
        <v>44970</v>
      </c>
      <c r="B2549" s="24" t="s">
        <v>48</v>
      </c>
      <c r="C2549" s="21">
        <f t="shared" si="44"/>
        <v>-249.21</v>
      </c>
      <c r="BC2549" s="74">
        <v>-29.94</v>
      </c>
      <c r="BI2549" s="106">
        <v>-48.61</v>
      </c>
      <c r="EL2549" s="106">
        <v>-170.66</v>
      </c>
    </row>
    <row r="2550" spans="1:236" x14ac:dyDescent="0.25">
      <c r="A2550" s="127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27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27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27">
        <v>44972</v>
      </c>
      <c r="B2553" s="24" t="s">
        <v>139</v>
      </c>
      <c r="C2553" s="21">
        <f t="shared" si="44"/>
        <v>-28.68</v>
      </c>
      <c r="P2553" s="106">
        <v>-3.65</v>
      </c>
      <c r="BU2553" s="106">
        <v>-8.15</v>
      </c>
      <c r="CA2553" s="106">
        <v>-8.48</v>
      </c>
      <c r="CG2553" s="106">
        <v>-8.4</v>
      </c>
    </row>
    <row r="2554" spans="1:236" x14ac:dyDescent="0.25">
      <c r="A2554" s="127">
        <v>44972</v>
      </c>
      <c r="B2554" s="24" t="s">
        <v>26</v>
      </c>
      <c r="C2554" s="21">
        <f t="shared" si="44"/>
        <v>-48.25</v>
      </c>
      <c r="BI2554" s="106">
        <v>-8.0299999999999994</v>
      </c>
      <c r="BO2554" s="74">
        <v>-14.83</v>
      </c>
      <c r="CA2554" s="106">
        <v>-8.6199999999999992</v>
      </c>
      <c r="CS2554" s="74">
        <v>-16.77</v>
      </c>
    </row>
    <row r="2555" spans="1:236" x14ac:dyDescent="0.25">
      <c r="A2555" s="127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27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27">
        <v>44972</v>
      </c>
      <c r="B2557" s="24" t="s">
        <v>25</v>
      </c>
      <c r="C2557" s="21">
        <f t="shared" si="44"/>
        <v>-48.37</v>
      </c>
      <c r="AR2557" s="74">
        <v>-7.3</v>
      </c>
      <c r="AW2557" s="74">
        <v>-8.35</v>
      </c>
      <c r="BC2557" s="74">
        <v>-7.33</v>
      </c>
      <c r="BI2557" s="106">
        <v>-8.74</v>
      </c>
      <c r="BO2557" s="74">
        <v>-8.4499999999999993</v>
      </c>
      <c r="BU2557" s="106">
        <v>-8.1999999999999993</v>
      </c>
    </row>
    <row r="2558" spans="1:236" x14ac:dyDescent="0.25">
      <c r="A2558" s="127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27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27">
        <v>44973</v>
      </c>
      <c r="B2560" s="24" t="s">
        <v>163</v>
      </c>
      <c r="C2560" s="21">
        <f t="shared" si="44"/>
        <v>130.91499999999999</v>
      </c>
      <c r="BF2560" s="115">
        <v>28.95</v>
      </c>
      <c r="BR2560" s="115">
        <v>33.704999999999998</v>
      </c>
      <c r="BX2560" s="115">
        <v>33.74</v>
      </c>
      <c r="CC2560" s="126">
        <v>34.520000000000003</v>
      </c>
    </row>
    <row r="2561" spans="1:199" x14ac:dyDescent="0.25">
      <c r="A2561" s="127">
        <v>44973</v>
      </c>
      <c r="B2561" s="24" t="s">
        <v>53</v>
      </c>
      <c r="C2561" s="21">
        <f t="shared" si="44"/>
        <v>-1011.72</v>
      </c>
      <c r="BI2561" s="106">
        <v>-34.9</v>
      </c>
      <c r="BO2561" s="74">
        <v>-33</v>
      </c>
      <c r="BU2561" s="106">
        <v>-67.13</v>
      </c>
      <c r="CA2561" s="106">
        <v>-33.72</v>
      </c>
      <c r="CG2561" s="106">
        <v>-33.549999999999997</v>
      </c>
      <c r="CM2561" s="74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27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27">
        <v>44974</v>
      </c>
      <c r="B2563" s="24" t="s">
        <v>27</v>
      </c>
      <c r="C2563" s="21">
        <f t="shared" si="44"/>
        <v>-16.2</v>
      </c>
      <c r="BO2563" s="74">
        <v>-8.3000000000000007</v>
      </c>
      <c r="BU2563" s="106">
        <v>-7.9</v>
      </c>
    </row>
    <row r="2564" spans="1:199" x14ac:dyDescent="0.25">
      <c r="A2564" s="127">
        <v>44974</v>
      </c>
      <c r="B2564" s="24" t="s">
        <v>152</v>
      </c>
      <c r="C2564" s="21">
        <f t="shared" si="44"/>
        <v>-597.4</v>
      </c>
      <c r="BC2564" s="74">
        <v>-59.18</v>
      </c>
      <c r="BI2564" s="106">
        <v>-69.62</v>
      </c>
      <c r="BO2564" s="74">
        <v>-131.72999999999999</v>
      </c>
      <c r="BU2564" s="106">
        <v>-64.23</v>
      </c>
      <c r="CA2564" s="106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27">
        <v>44974</v>
      </c>
      <c r="B2565" s="24" t="s">
        <v>20</v>
      </c>
      <c r="C2565" s="21">
        <f t="shared" si="44"/>
        <v>-32</v>
      </c>
      <c r="BC2565" s="74">
        <v>-6.99</v>
      </c>
      <c r="BI2565" s="106">
        <v>-8.84</v>
      </c>
      <c r="BO2565" s="74">
        <v>-8.27</v>
      </c>
      <c r="BU2565" s="106">
        <v>-7.9</v>
      </c>
    </row>
    <row r="2566" spans="1:199" x14ac:dyDescent="0.25">
      <c r="A2566" s="127">
        <v>44974</v>
      </c>
      <c r="B2566" s="24" t="s">
        <v>149</v>
      </c>
      <c r="C2566" s="21">
        <f t="shared" si="44"/>
        <v>-8.18</v>
      </c>
      <c r="BO2566" s="74">
        <v>-8.18</v>
      </c>
    </row>
    <row r="2567" spans="1:199" x14ac:dyDescent="0.25">
      <c r="A2567" s="127">
        <v>44974</v>
      </c>
      <c r="B2567" s="24" t="s">
        <v>32</v>
      </c>
      <c r="C2567" s="21">
        <f t="shared" si="44"/>
        <v>0</v>
      </c>
    </row>
    <row r="2568" spans="1:199" x14ac:dyDescent="0.25">
      <c r="A2568" s="127">
        <v>44974</v>
      </c>
      <c r="B2568" s="24" t="s">
        <v>133</v>
      </c>
      <c r="C2568" s="21">
        <f t="shared" si="44"/>
        <v>-34.9</v>
      </c>
      <c r="CY2568" s="74">
        <v>-34.9</v>
      </c>
    </row>
    <row r="2569" spans="1:199" x14ac:dyDescent="0.25">
      <c r="A2569" s="127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74">
        <v>-13.3</v>
      </c>
      <c r="AW2569" s="74">
        <v>-16.54</v>
      </c>
      <c r="BC2569" s="74">
        <v>-22.13</v>
      </c>
      <c r="BI2569" s="106">
        <v>-8.69</v>
      </c>
      <c r="BO2569" s="74">
        <v>-41.1</v>
      </c>
      <c r="BU2569" s="106">
        <v>-6.45</v>
      </c>
      <c r="CY2569" s="74">
        <v>-7.13</v>
      </c>
    </row>
    <row r="2570" spans="1:199" x14ac:dyDescent="0.25">
      <c r="A2570" s="127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27">
        <v>44977</v>
      </c>
      <c r="B2571" s="24" t="s">
        <v>48</v>
      </c>
      <c r="C2571" s="21">
        <f t="shared" si="44"/>
        <v>0</v>
      </c>
    </row>
    <row r="2572" spans="1:199" x14ac:dyDescent="0.25">
      <c r="A2572" s="127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27">
        <v>44978</v>
      </c>
      <c r="B2573" s="24" t="s">
        <v>65</v>
      </c>
      <c r="C2573" s="21">
        <f t="shared" si="44"/>
        <v>-33.6</v>
      </c>
      <c r="AW2573" s="74">
        <v>-33.6</v>
      </c>
    </row>
    <row r="2574" spans="1:199" x14ac:dyDescent="0.25">
      <c r="A2574" s="127">
        <v>44978</v>
      </c>
      <c r="B2574" s="24" t="s">
        <v>149</v>
      </c>
      <c r="C2574" s="21">
        <f t="shared" si="44"/>
        <v>-16.14</v>
      </c>
      <c r="BO2574" s="74">
        <v>-8.2899999999999991</v>
      </c>
      <c r="BU2574" s="106">
        <v>-7.85</v>
      </c>
    </row>
    <row r="2575" spans="1:199" x14ac:dyDescent="0.25">
      <c r="A2575" s="127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74">
        <v>-7.35</v>
      </c>
      <c r="BC2575" s="74">
        <v>-7.51</v>
      </c>
    </row>
    <row r="2576" spans="1:199" x14ac:dyDescent="0.25">
      <c r="A2576" s="127">
        <v>44978</v>
      </c>
      <c r="B2576" s="24" t="s">
        <v>173</v>
      </c>
      <c r="C2576" s="21">
        <f t="shared" si="44"/>
        <v>-7.35</v>
      </c>
      <c r="AR2576" s="74">
        <v>-7.35</v>
      </c>
    </row>
    <row r="2577" spans="1:238" x14ac:dyDescent="0.25">
      <c r="A2577" s="127">
        <v>44978</v>
      </c>
      <c r="B2577" s="24" t="s">
        <v>20</v>
      </c>
      <c r="C2577" s="21">
        <f t="shared" si="44"/>
        <v>-14.1</v>
      </c>
      <c r="AC2577" s="74">
        <v>-6.75</v>
      </c>
      <c r="AR2577" s="74">
        <v>-7.35</v>
      </c>
    </row>
    <row r="2578" spans="1:238" x14ac:dyDescent="0.25">
      <c r="A2578" s="127">
        <v>44979</v>
      </c>
      <c r="B2578" s="24" t="s">
        <v>113</v>
      </c>
      <c r="C2578" s="21">
        <f t="shared" si="44"/>
        <v>1564.14</v>
      </c>
      <c r="BI2578" s="106">
        <v>322.32</v>
      </c>
      <c r="BU2578" s="106">
        <v>213.1</v>
      </c>
      <c r="CA2578" s="106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27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27">
        <v>44979</v>
      </c>
      <c r="B2580" s="24" t="s">
        <v>17</v>
      </c>
      <c r="C2580" s="21">
        <f t="shared" si="44"/>
        <v>-341.28</v>
      </c>
      <c r="AR2580" s="74">
        <v>-32</v>
      </c>
      <c r="AW2580" s="74">
        <f>-33.42-7.85</f>
        <v>-41.27</v>
      </c>
      <c r="BC2580" s="74">
        <v>-7.81</v>
      </c>
      <c r="BI2580" s="106">
        <f>-33.33-8.98</f>
        <v>-42.31</v>
      </c>
      <c r="BN2580" s="69">
        <v>-25.32</v>
      </c>
      <c r="BS2580" s="42">
        <v>-8.77</v>
      </c>
      <c r="BU2580" s="106">
        <v>-35.57</v>
      </c>
      <c r="CA2580" s="106">
        <v>-34.39</v>
      </c>
      <c r="CG2580" s="106">
        <v>-25.9</v>
      </c>
      <c r="CM2580" s="74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27">
        <v>44979</v>
      </c>
      <c r="B2581" s="24" t="s">
        <v>78</v>
      </c>
      <c r="C2581" s="21">
        <f t="shared" si="44"/>
        <v>-33.51</v>
      </c>
      <c r="BI2581" s="106">
        <v>-8.65</v>
      </c>
      <c r="BO2581" s="74">
        <v>-8.31</v>
      </c>
      <c r="BU2581" s="106">
        <v>-8.98</v>
      </c>
      <c r="CA2581" s="106">
        <v>-7.57</v>
      </c>
    </row>
    <row r="2582" spans="1:238" x14ac:dyDescent="0.25">
      <c r="A2582" s="127">
        <v>44979</v>
      </c>
      <c r="B2582" s="24" t="s">
        <v>78</v>
      </c>
      <c r="C2582" s="21">
        <f t="shared" si="44"/>
        <v>-164.63</v>
      </c>
      <c r="AW2582" s="74">
        <v>-13.84</v>
      </c>
      <c r="BC2582" s="74">
        <v>-14.16</v>
      </c>
      <c r="BI2582" s="106">
        <v>-16.95</v>
      </c>
      <c r="BN2582" s="69">
        <v>-25.33</v>
      </c>
      <c r="BU2582" s="106">
        <v>-26.07</v>
      </c>
      <c r="CA2582" s="106">
        <v>-17.579999999999998</v>
      </c>
      <c r="CG2582" s="106">
        <v>-17.5</v>
      </c>
      <c r="CM2582" s="74">
        <v>-16.55</v>
      </c>
      <c r="CS2582" s="74">
        <v>-8.66</v>
      </c>
      <c r="CY2582" s="74">
        <v>-7.99</v>
      </c>
    </row>
    <row r="2583" spans="1:238" x14ac:dyDescent="0.25">
      <c r="A2583" s="127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27">
        <v>44979</v>
      </c>
      <c r="B2584" s="24" t="s">
        <v>167</v>
      </c>
      <c r="C2584" s="21">
        <f t="shared" si="44"/>
        <v>-16.315000000000001</v>
      </c>
      <c r="D2584" s="145">
        <v>-8.1999999999999993</v>
      </c>
      <c r="E2584" s="145">
        <v>-8.1150000000000002</v>
      </c>
    </row>
    <row r="2585" spans="1:238" x14ac:dyDescent="0.25">
      <c r="A2585" s="127">
        <v>44979</v>
      </c>
      <c r="B2585" s="24" t="s">
        <v>32</v>
      </c>
      <c r="C2585" s="21">
        <f t="shared" si="44"/>
        <v>-55.255000000000003</v>
      </c>
      <c r="AR2585" s="74">
        <v>-33.65</v>
      </c>
      <c r="FX2585" s="34">
        <v>-21.605</v>
      </c>
    </row>
    <row r="2586" spans="1:238" x14ac:dyDescent="0.25">
      <c r="A2586" s="127">
        <v>44979</v>
      </c>
      <c r="B2586" s="24" t="s">
        <v>152</v>
      </c>
      <c r="C2586" s="21">
        <f t="shared" si="44"/>
        <v>-993.91</v>
      </c>
      <c r="AN2586" s="74">
        <v>-32.35</v>
      </c>
      <c r="AR2586" s="74">
        <v>-32.4</v>
      </c>
      <c r="AW2586" s="74">
        <v>-32.68</v>
      </c>
      <c r="BC2586" s="74">
        <v>-28.92</v>
      </c>
      <c r="BI2586" s="106">
        <v>-69.47</v>
      </c>
      <c r="BO2586" s="74">
        <v>-67.97</v>
      </c>
      <c r="BU2586" s="106">
        <v>-30.4</v>
      </c>
      <c r="CA2586" s="106">
        <v>-68.84</v>
      </c>
      <c r="CG2586" s="106">
        <v>-33.549999999999997</v>
      </c>
      <c r="CM2586" s="74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27">
        <v>44980</v>
      </c>
      <c r="B2587" s="24" t="s">
        <v>133</v>
      </c>
      <c r="C2587" s="21">
        <f t="shared" si="44"/>
        <v>-138.56</v>
      </c>
      <c r="BI2587" s="106">
        <v>-34.6</v>
      </c>
      <c r="BU2587" s="106">
        <v>-35.5</v>
      </c>
      <c r="CA2587" s="106">
        <v>-34.71</v>
      </c>
      <c r="CG2587" s="106">
        <v>-33.75</v>
      </c>
    </row>
    <row r="2588" spans="1:238" x14ac:dyDescent="0.25">
      <c r="A2588" s="127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27">
        <v>44980</v>
      </c>
      <c r="B2589" s="24" t="s">
        <v>78</v>
      </c>
      <c r="C2589" s="21">
        <f t="shared" si="44"/>
        <v>-189.13</v>
      </c>
      <c r="BC2589" s="74">
        <v>-29.74</v>
      </c>
      <c r="BI2589" s="106">
        <v>-30.75</v>
      </c>
      <c r="BU2589" s="106">
        <v>-35.869999999999997</v>
      </c>
      <c r="CA2589" s="106">
        <v>-33.369999999999997</v>
      </c>
      <c r="CG2589" s="106">
        <v>-50.6</v>
      </c>
      <c r="CS2589" s="74">
        <v>-8.8000000000000007</v>
      </c>
    </row>
    <row r="2590" spans="1:238" x14ac:dyDescent="0.25">
      <c r="A2590" s="127">
        <v>44980</v>
      </c>
      <c r="B2590" s="24" t="s">
        <v>78</v>
      </c>
      <c r="C2590" s="21">
        <f t="shared" si="44"/>
        <v>-16.989999999999998</v>
      </c>
      <c r="CS2590" s="74">
        <v>-8.8000000000000007</v>
      </c>
      <c r="CY2590" s="74">
        <v>-8.19</v>
      </c>
    </row>
    <row r="2591" spans="1:238" x14ac:dyDescent="0.25">
      <c r="A2591" s="127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27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27">
        <v>44980</v>
      </c>
      <c r="B2593" s="24" t="s">
        <v>68</v>
      </c>
      <c r="C2593" s="21">
        <f t="shared" si="44"/>
        <v>-68.709999999999994</v>
      </c>
      <c r="CA2593" s="106">
        <v>-33.71</v>
      </c>
      <c r="CG2593" s="106">
        <v>-35</v>
      </c>
    </row>
    <row r="2594" spans="1:224" x14ac:dyDescent="0.25">
      <c r="A2594" s="127">
        <v>44980</v>
      </c>
      <c r="B2594" s="24" t="s">
        <v>59</v>
      </c>
      <c r="C2594" s="21">
        <f t="shared" si="44"/>
        <v>-9.9700000000000006</v>
      </c>
      <c r="BU2594" s="106">
        <v>-2.8</v>
      </c>
      <c r="CA2594" s="106">
        <v>-3.18</v>
      </c>
      <c r="CY2594" s="74">
        <v>-3.99</v>
      </c>
    </row>
    <row r="2595" spans="1:224" x14ac:dyDescent="0.25">
      <c r="A2595" s="127">
        <v>44981</v>
      </c>
      <c r="B2595" s="24" t="s">
        <v>133</v>
      </c>
      <c r="C2595" s="21">
        <f t="shared" si="44"/>
        <v>-63.94</v>
      </c>
      <c r="BC2595" s="74">
        <v>-30.74</v>
      </c>
      <c r="CM2595" s="74">
        <v>-33.200000000000003</v>
      </c>
    </row>
    <row r="2596" spans="1:224" x14ac:dyDescent="0.25">
      <c r="A2596" s="127">
        <v>44981</v>
      </c>
      <c r="B2596" s="24" t="s">
        <v>17</v>
      </c>
      <c r="C2596" s="21">
        <f t="shared" si="44"/>
        <v>-59.76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27">
        <v>44981</v>
      </c>
      <c r="B2597" s="24" t="s">
        <v>48</v>
      </c>
      <c r="C2597" s="21">
        <f t="shared" si="44"/>
        <v>133.54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27">
        <v>44982</v>
      </c>
      <c r="B2598" s="24" t="s">
        <v>139</v>
      </c>
      <c r="C2598" s="21">
        <f t="shared" si="44"/>
        <v>-25.45</v>
      </c>
      <c r="CM2598" s="74">
        <v>-8.3000000000000007</v>
      </c>
      <c r="CS2598" s="74">
        <v>-8.3800000000000008</v>
      </c>
      <c r="CY2598" s="74">
        <v>-8.77</v>
      </c>
    </row>
    <row r="2599" spans="1:224" x14ac:dyDescent="0.25">
      <c r="A2599" s="127">
        <v>44982</v>
      </c>
      <c r="B2599" s="24" t="s">
        <v>113</v>
      </c>
      <c r="C2599" s="21">
        <f t="shared" si="44"/>
        <v>2065.85</v>
      </c>
      <c r="AN2599" s="74">
        <v>197.09</v>
      </c>
      <c r="AR2599" s="74">
        <v>190.7</v>
      </c>
      <c r="BC2599" s="74">
        <v>201.19</v>
      </c>
      <c r="BI2599" s="106">
        <v>203.45</v>
      </c>
      <c r="BO2599" s="74">
        <v>230.67</v>
      </c>
      <c r="BU2599" s="106">
        <v>202.96</v>
      </c>
      <c r="CA2599" s="106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27">
        <v>44982</v>
      </c>
      <c r="B2600" s="24" t="s">
        <v>78</v>
      </c>
      <c r="C2600" s="21">
        <f t="shared" si="44"/>
        <v>-8.83</v>
      </c>
      <c r="CY2600" s="74">
        <v>-8.83</v>
      </c>
    </row>
    <row r="2601" spans="1:224" x14ac:dyDescent="0.25">
      <c r="A2601" s="127">
        <v>44984</v>
      </c>
      <c r="B2601" s="24" t="s">
        <v>78</v>
      </c>
      <c r="C2601" s="21">
        <f t="shared" si="44"/>
        <v>-58.28</v>
      </c>
      <c r="AW2601" s="74">
        <v>-8.31</v>
      </c>
      <c r="BC2601" s="74">
        <v>-7.61</v>
      </c>
      <c r="BO2601" s="74">
        <v>-8.51</v>
      </c>
      <c r="BU2601" s="106">
        <v>-8.81</v>
      </c>
      <c r="CG2601" s="106">
        <v>-8.35</v>
      </c>
      <c r="CM2601" s="74">
        <v>-8.1999999999999993</v>
      </c>
      <c r="CS2601" s="74">
        <v>-8.49</v>
      </c>
    </row>
    <row r="2602" spans="1:224" x14ac:dyDescent="0.25">
      <c r="A2602" s="127">
        <v>44984</v>
      </c>
      <c r="B2602" s="24" t="s">
        <v>57</v>
      </c>
      <c r="C2602" s="21">
        <f t="shared" si="44"/>
        <v>-166.79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106">
        <v>-25.5</v>
      </c>
      <c r="BO2602" s="74">
        <v>-15.46</v>
      </c>
      <c r="BU2602" s="106">
        <v>-25.43</v>
      </c>
      <c r="CA2602" s="106">
        <v>-16.149999999999999</v>
      </c>
    </row>
    <row r="2603" spans="1:224" x14ac:dyDescent="0.25">
      <c r="A2603" s="127">
        <v>44985</v>
      </c>
      <c r="B2603" s="24" t="s">
        <v>113</v>
      </c>
      <c r="C2603" s="21">
        <f t="shared" si="44"/>
        <v>1339.53</v>
      </c>
      <c r="P2603" s="106">
        <v>172.55</v>
      </c>
      <c r="BO2603" s="74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27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27">
        <v>44985</v>
      </c>
      <c r="B2605" s="24" t="s">
        <v>68</v>
      </c>
      <c r="C2605" s="21">
        <f t="shared" si="44"/>
        <v>-64.510000000000005</v>
      </c>
      <c r="AW2605" s="74">
        <v>-31.6</v>
      </c>
      <c r="BU2605" s="106">
        <v>-32.909999999999997</v>
      </c>
    </row>
    <row r="2606" spans="1:224" x14ac:dyDescent="0.25">
      <c r="A2606" s="127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27">
        <v>44985</v>
      </c>
      <c r="B2607" s="24" t="s">
        <v>27</v>
      </c>
      <c r="C2607" s="21">
        <f t="shared" si="44"/>
        <v>-16.75</v>
      </c>
      <c r="BI2607" s="106">
        <v>-16.75</v>
      </c>
    </row>
    <row r="2608" spans="1:224" x14ac:dyDescent="0.25">
      <c r="A2608" s="127">
        <v>44985</v>
      </c>
      <c r="B2608" s="24" t="s">
        <v>31</v>
      </c>
      <c r="C2608" s="21">
        <f t="shared" si="44"/>
        <v>-65.069999999999993</v>
      </c>
      <c r="GO2608" s="110">
        <v>-57.02</v>
      </c>
      <c r="HH2608" s="106">
        <v>-8.0500000000000007</v>
      </c>
    </row>
    <row r="2609" spans="1:199" x14ac:dyDescent="0.25">
      <c r="A2609" s="127">
        <v>44985</v>
      </c>
      <c r="B2609" s="24" t="s">
        <v>20</v>
      </c>
      <c r="C2609" s="21">
        <f t="shared" ref="C2609:C2672" si="45">SUM(D2609:JT2609)</f>
        <v>-39.25</v>
      </c>
      <c r="BC2609" s="74">
        <v>-5.61</v>
      </c>
      <c r="BU2609" s="106">
        <v>-8.4499999999999993</v>
      </c>
      <c r="CG2609" s="106">
        <v>-8.4</v>
      </c>
      <c r="CM2609" s="74">
        <v>-8.1999999999999993</v>
      </c>
      <c r="CS2609" s="74">
        <v>-8.59</v>
      </c>
    </row>
    <row r="2610" spans="1:199" x14ac:dyDescent="0.25">
      <c r="A2610" s="127">
        <v>44985</v>
      </c>
      <c r="B2610" s="24" t="s">
        <v>75</v>
      </c>
      <c r="C2610" s="21">
        <f t="shared" si="45"/>
        <v>-7.3</v>
      </c>
      <c r="AR2610" s="74">
        <v>-7.3</v>
      </c>
    </row>
    <row r="2611" spans="1:199" x14ac:dyDescent="0.25">
      <c r="A2611" s="127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27">
        <v>44985</v>
      </c>
      <c r="B2612" s="24" t="s">
        <v>33</v>
      </c>
      <c r="C2612" s="21">
        <f t="shared" si="45"/>
        <v>-15.32</v>
      </c>
      <c r="AW2612" s="74">
        <v>-7.49</v>
      </c>
      <c r="BO2612" s="74">
        <v>-7.83</v>
      </c>
    </row>
    <row r="2613" spans="1:199" x14ac:dyDescent="0.25">
      <c r="A2613" s="127">
        <v>44985</v>
      </c>
      <c r="B2613" s="24" t="s">
        <v>79</v>
      </c>
      <c r="C2613" s="21">
        <f t="shared" si="45"/>
        <v>-32.85</v>
      </c>
      <c r="AG2613" s="106">
        <v>-8.75</v>
      </c>
      <c r="AR2613" s="74">
        <v>-6.95</v>
      </c>
      <c r="BI2613" s="106">
        <v>-8.5</v>
      </c>
      <c r="CY2613" s="74">
        <v>-8.65</v>
      </c>
    </row>
    <row r="2614" spans="1:199" x14ac:dyDescent="0.25">
      <c r="A2614" s="127">
        <v>44985</v>
      </c>
      <c r="B2614" s="24" t="s">
        <v>162</v>
      </c>
      <c r="C2614" s="21">
        <f t="shared" si="45"/>
        <v>-57.93</v>
      </c>
      <c r="AW2614" s="74">
        <v>-8.77</v>
      </c>
      <c r="BC2614" s="74">
        <v>-7.41</v>
      </c>
      <c r="BI2614" s="106">
        <v>-16.95</v>
      </c>
      <c r="BO2614" s="74">
        <v>-8.1999999999999993</v>
      </c>
      <c r="CG2614" s="106">
        <v>-8.4</v>
      </c>
      <c r="CM2614" s="74">
        <v>-8.1999999999999993</v>
      </c>
    </row>
    <row r="2615" spans="1:199" x14ac:dyDescent="0.25">
      <c r="A2615" s="127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106">
        <v>-9.23</v>
      </c>
      <c r="BO2615" s="74">
        <v>-8.2799999999999994</v>
      </c>
      <c r="BU2615" s="106">
        <v>-8.5</v>
      </c>
      <c r="CA2615" s="106">
        <v>-8.1</v>
      </c>
    </row>
    <row r="2616" spans="1:199" x14ac:dyDescent="0.25">
      <c r="A2616" s="127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27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74">
        <v>-14.45</v>
      </c>
      <c r="BO2617" s="74">
        <v>-8.15</v>
      </c>
    </row>
    <row r="2618" spans="1:199" x14ac:dyDescent="0.25">
      <c r="A2618" s="127">
        <v>44985</v>
      </c>
      <c r="B2618" s="24" t="s">
        <v>133</v>
      </c>
      <c r="C2618" s="21">
        <f t="shared" si="45"/>
        <v>-260.69</v>
      </c>
      <c r="AN2618" s="74">
        <v>-30.7</v>
      </c>
      <c r="AR2618" s="74">
        <v>-33.75</v>
      </c>
      <c r="BC2618" s="74">
        <v>-32.090000000000003</v>
      </c>
      <c r="BI2618" s="106">
        <f>-33.95-33.85</f>
        <v>-67.8</v>
      </c>
      <c r="BO2618" s="74">
        <v>-29.3</v>
      </c>
      <c r="CA2618" s="106">
        <v>-32.299999999999997</v>
      </c>
      <c r="CG2618" s="106">
        <v>-34.75</v>
      </c>
    </row>
    <row r="2619" spans="1:199" x14ac:dyDescent="0.25">
      <c r="A2619" s="127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27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27">
        <v>44987</v>
      </c>
      <c r="B2621" s="24" t="s">
        <v>113</v>
      </c>
      <c r="C2621" s="21">
        <f t="shared" si="45"/>
        <v>1075.78</v>
      </c>
      <c r="AN2621" s="74">
        <v>147.76</v>
      </c>
      <c r="AR2621" s="74">
        <v>160.75</v>
      </c>
      <c r="BC2621" s="74">
        <v>168.5</v>
      </c>
      <c r="BI2621" s="106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27">
        <v>44987</v>
      </c>
      <c r="B2622" s="24" t="s">
        <v>115</v>
      </c>
      <c r="C2622" s="21">
        <f t="shared" si="45"/>
        <v>0</v>
      </c>
    </row>
    <row r="2623" spans="1:199" x14ac:dyDescent="0.25">
      <c r="A2623" s="127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106">
        <v>-135.81</v>
      </c>
      <c r="CA2623" s="106">
        <v>-63.4</v>
      </c>
      <c r="CG2623" s="106">
        <v>-138.15</v>
      </c>
      <c r="CM2623" s="74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27">
        <v>44960</v>
      </c>
      <c r="B2624" s="24" t="s">
        <v>78</v>
      </c>
      <c r="C2624" s="21">
        <f t="shared" si="45"/>
        <v>-172.73</v>
      </c>
      <c r="BC2624" s="74">
        <v>-34.71</v>
      </c>
      <c r="BI2624" s="106">
        <v>-104.77</v>
      </c>
      <c r="BO2624" s="74">
        <v>-33.25</v>
      </c>
    </row>
    <row r="2625" spans="1:221" x14ac:dyDescent="0.25">
      <c r="A2625" s="127">
        <v>44960</v>
      </c>
      <c r="B2625" s="24" t="s">
        <v>32</v>
      </c>
      <c r="C2625" s="21">
        <f t="shared" si="45"/>
        <v>-59.77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27">
        <v>44960</v>
      </c>
      <c r="B2626" s="24" t="s">
        <v>78</v>
      </c>
      <c r="C2626" s="21">
        <f t="shared" si="45"/>
        <v>-54.21</v>
      </c>
      <c r="AW2626" s="74">
        <v>-23.49</v>
      </c>
      <c r="BC2626" s="74">
        <v>-30.72</v>
      </c>
    </row>
    <row r="2627" spans="1:221" x14ac:dyDescent="0.25">
      <c r="A2627" s="127">
        <v>44989</v>
      </c>
      <c r="B2627" s="24" t="s">
        <v>113</v>
      </c>
      <c r="C2627" s="21">
        <f t="shared" si="45"/>
        <v>1757.87</v>
      </c>
      <c r="AW2627" s="74">
        <v>353.55</v>
      </c>
      <c r="BI2627" s="106">
        <v>308.66000000000003</v>
      </c>
      <c r="BU2627" s="106">
        <v>137.24</v>
      </c>
      <c r="CA2627" s="106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27">
        <v>44989</v>
      </c>
      <c r="B2628" s="24" t="s">
        <v>139</v>
      </c>
      <c r="C2628" s="21">
        <f t="shared" si="45"/>
        <v>-68.08</v>
      </c>
      <c r="BI2628" s="106">
        <v>-8.57</v>
      </c>
      <c r="BO2628" s="74">
        <v>-8.1999999999999993</v>
      </c>
      <c r="BU2628" s="106">
        <v>-9.09</v>
      </c>
      <c r="CA2628" s="106">
        <v>-8.15</v>
      </c>
      <c r="CG2628" s="106">
        <v>-8.6999999999999993</v>
      </c>
      <c r="CM2628" s="74">
        <v>-8.25</v>
      </c>
      <c r="CS2628" s="74">
        <v>-8.3699999999999992</v>
      </c>
      <c r="CY2628" s="74">
        <v>-8.75</v>
      </c>
    </row>
    <row r="2629" spans="1:221" x14ac:dyDescent="0.25">
      <c r="A2629" s="127">
        <v>44991</v>
      </c>
      <c r="B2629" s="24" t="s">
        <v>48</v>
      </c>
      <c r="C2629" s="21">
        <f t="shared" si="45"/>
        <v>-32.65</v>
      </c>
      <c r="BO2629" s="74">
        <v>-32.65</v>
      </c>
    </row>
    <row r="2630" spans="1:221" x14ac:dyDescent="0.25">
      <c r="A2630" s="127">
        <v>44991</v>
      </c>
      <c r="B2630" s="24" t="s">
        <v>37</v>
      </c>
      <c r="C2630" s="21">
        <f t="shared" si="45"/>
        <v>-132.47999999999999</v>
      </c>
      <c r="HJ2630" s="79">
        <v>-98.81</v>
      </c>
      <c r="HM2630" s="106">
        <v>-33.67</v>
      </c>
    </row>
    <row r="2631" spans="1:221" x14ac:dyDescent="0.25">
      <c r="A2631" s="127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27">
        <v>44992</v>
      </c>
      <c r="B2632" s="24" t="s">
        <v>14</v>
      </c>
      <c r="C2632" s="21">
        <f t="shared" si="45"/>
        <v>-318.19499999999999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5">
        <v>-28.95</v>
      </c>
      <c r="BI2632" s="106">
        <v>-35.85</v>
      </c>
      <c r="BR2632" s="115">
        <v>-33.704999999999998</v>
      </c>
      <c r="BX2632" s="115">
        <v>-33.74</v>
      </c>
      <c r="CC2632" s="126">
        <v>-34.520000000000003</v>
      </c>
      <c r="CE2632" s="42">
        <v>-8.6999999999999993</v>
      </c>
      <c r="CG2632" s="106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27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27">
        <v>44992</v>
      </c>
      <c r="B2634" s="24" t="s">
        <v>79</v>
      </c>
      <c r="C2634" s="21">
        <f t="shared" si="45"/>
        <v>-15.51</v>
      </c>
      <c r="BO2634" s="74">
        <v>-8.0500000000000007</v>
      </c>
      <c r="BU2634" s="106">
        <v>-7.46</v>
      </c>
    </row>
    <row r="2635" spans="1:221" x14ac:dyDescent="0.25">
      <c r="A2635" s="127">
        <v>44992</v>
      </c>
      <c r="B2635" s="24" t="s">
        <v>44</v>
      </c>
      <c r="C2635" s="21">
        <f t="shared" si="45"/>
        <v>-234.03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27">
        <v>44992</v>
      </c>
      <c r="B2636" s="24" t="s">
        <v>43</v>
      </c>
      <c r="C2636" s="21">
        <f t="shared" si="45"/>
        <v>-403.59</v>
      </c>
      <c r="AN2636" s="74">
        <v>-69.22</v>
      </c>
      <c r="AR2636" s="74">
        <v>-61.35</v>
      </c>
      <c r="BI2636" s="106">
        <v>-68.95</v>
      </c>
      <c r="BU2636" s="106">
        <v>-69.290000000000006</v>
      </c>
      <c r="CA2636" s="106">
        <v>-66.39</v>
      </c>
      <c r="CM2636" s="74">
        <v>-68.39</v>
      </c>
    </row>
    <row r="2637" spans="1:221" x14ac:dyDescent="0.25">
      <c r="A2637" s="127">
        <v>44992</v>
      </c>
      <c r="B2637" s="24" t="s">
        <v>20</v>
      </c>
      <c r="C2637" s="21">
        <f t="shared" si="45"/>
        <v>-41.85</v>
      </c>
      <c r="BC2637" s="74">
        <v>-8.81</v>
      </c>
      <c r="BI2637" s="106">
        <v>-8.5500000000000007</v>
      </c>
      <c r="BO2637" s="74">
        <v>-8.15</v>
      </c>
      <c r="BU2637" s="106">
        <v>-8.24</v>
      </c>
      <c r="CA2637" s="106">
        <v>-8.1</v>
      </c>
    </row>
    <row r="2638" spans="1:221" x14ac:dyDescent="0.25">
      <c r="A2638" s="127">
        <v>44992</v>
      </c>
      <c r="B2638" s="24" t="s">
        <v>84</v>
      </c>
      <c r="C2638" s="21">
        <f t="shared" si="45"/>
        <v>-60.51</v>
      </c>
      <c r="BC2638" s="74">
        <v>-8.8000000000000007</v>
      </c>
      <c r="BI2638" s="106">
        <v>-8.44</v>
      </c>
      <c r="BO2638" s="74">
        <v>-9.5</v>
      </c>
      <c r="BU2638" s="106">
        <v>-17.62</v>
      </c>
      <c r="CA2638" s="106">
        <v>-16.149999999999999</v>
      </c>
    </row>
    <row r="2639" spans="1:221" x14ac:dyDescent="0.25">
      <c r="A2639" s="127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27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27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106">
        <v>-8.74</v>
      </c>
      <c r="BU2641" s="106">
        <v>-17.97</v>
      </c>
      <c r="CG2641" s="106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27">
        <v>44992</v>
      </c>
      <c r="B2642" s="24" t="s">
        <v>75</v>
      </c>
      <c r="C2642" s="21">
        <f t="shared" si="45"/>
        <v>-5.5</v>
      </c>
      <c r="AR2642" s="74">
        <v>-5.5</v>
      </c>
    </row>
    <row r="2643" spans="1:240" x14ac:dyDescent="0.25">
      <c r="A2643" s="127">
        <v>44992</v>
      </c>
      <c r="B2643" s="24" t="s">
        <v>57</v>
      </c>
      <c r="C2643" s="21">
        <f t="shared" si="45"/>
        <v>-25.71</v>
      </c>
      <c r="CY2643" s="74">
        <v>-17.059999999999999</v>
      </c>
      <c r="DE2643" s="74">
        <v>-8.65</v>
      </c>
    </row>
    <row r="2644" spans="1:240" x14ac:dyDescent="0.25">
      <c r="A2644" s="127">
        <v>44993</v>
      </c>
      <c r="B2644" s="24" t="s">
        <v>113</v>
      </c>
      <c r="C2644" s="21">
        <f t="shared" si="45"/>
        <v>3903.18</v>
      </c>
      <c r="BO2644" s="74">
        <v>517.05999999999995</v>
      </c>
      <c r="BU2644" s="106">
        <v>298.95999999999998</v>
      </c>
      <c r="CA2644" s="106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27">
        <v>44993</v>
      </c>
      <c r="B2645" s="29" t="s">
        <v>12</v>
      </c>
      <c r="C2645" s="21">
        <f t="shared" si="45"/>
        <v>-118.16</v>
      </c>
      <c r="BU2645" s="106">
        <v>-36.83</v>
      </c>
      <c r="CM2645" s="74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27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27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27">
        <v>44993</v>
      </c>
      <c r="B2648" s="29" t="s">
        <v>134</v>
      </c>
      <c r="C2648" s="21">
        <f t="shared" si="45"/>
        <v>-47.65</v>
      </c>
      <c r="E2648" s="145">
        <v>-21.08</v>
      </c>
      <c r="F2648" s="145">
        <v>-26.57</v>
      </c>
    </row>
    <row r="2649" spans="1:240" x14ac:dyDescent="0.25">
      <c r="A2649" s="127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27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27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27">
        <v>44994</v>
      </c>
      <c r="B2652" s="24" t="s">
        <v>115</v>
      </c>
      <c r="C2652" s="21">
        <f t="shared" si="45"/>
        <v>74.25</v>
      </c>
      <c r="HI2652" s="182">
        <v>74.25</v>
      </c>
    </row>
    <row r="2653" spans="1:240" x14ac:dyDescent="0.25">
      <c r="A2653" s="127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27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27">
        <v>44995</v>
      </c>
      <c r="B2655" s="24" t="s">
        <v>113</v>
      </c>
      <c r="C2655" s="21">
        <f t="shared" si="45"/>
        <v>2456.7779999999998</v>
      </c>
      <c r="AC2655" s="74">
        <v>230.76</v>
      </c>
      <c r="BU2655" s="106">
        <v>199.58</v>
      </c>
      <c r="CA2655" s="106">
        <v>165.94</v>
      </c>
      <c r="CG2655" s="106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27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27">
        <v>44995</v>
      </c>
      <c r="B2657" s="29" t="s">
        <v>31</v>
      </c>
      <c r="C2657" s="21">
        <f t="shared" si="45"/>
        <v>-104.485</v>
      </c>
      <c r="GO2657" s="110">
        <v>-49.21</v>
      </c>
      <c r="HI2657" s="182">
        <v>-55.274999999999999</v>
      </c>
    </row>
    <row r="2658" spans="1:217" x14ac:dyDescent="0.25">
      <c r="A2658" s="127">
        <v>44995</v>
      </c>
      <c r="B2658" s="29" t="s">
        <v>133</v>
      </c>
      <c r="C2658" s="21">
        <f t="shared" si="45"/>
        <v>-66.150000000000006</v>
      </c>
      <c r="AW2658" s="74">
        <v>-33.450000000000003</v>
      </c>
      <c r="BO2658" s="74">
        <v>-32.700000000000003</v>
      </c>
    </row>
    <row r="2659" spans="1:217" x14ac:dyDescent="0.25">
      <c r="A2659" s="127">
        <v>44995</v>
      </c>
      <c r="B2659" s="29" t="s">
        <v>78</v>
      </c>
      <c r="C2659" s="21">
        <f t="shared" si="45"/>
        <v>-134.85</v>
      </c>
      <c r="BO2659" s="74">
        <v>-34.14</v>
      </c>
      <c r="BU2659" s="106">
        <v>-32.72</v>
      </c>
      <c r="CG2659" s="106">
        <v>-35.049999999999997</v>
      </c>
      <c r="CY2659" s="74">
        <v>-32.94</v>
      </c>
    </row>
    <row r="2660" spans="1:217" x14ac:dyDescent="0.25">
      <c r="A2660" s="127">
        <v>44995</v>
      </c>
      <c r="B2660" s="29" t="s">
        <v>127</v>
      </c>
      <c r="C2660" s="21">
        <f t="shared" si="45"/>
        <v>-15.6</v>
      </c>
      <c r="AU2660" s="42">
        <v>-8.5</v>
      </c>
      <c r="BI2660" s="106">
        <v>-7.1</v>
      </c>
    </row>
    <row r="2661" spans="1:217" x14ac:dyDescent="0.25">
      <c r="A2661" s="127">
        <v>44995</v>
      </c>
      <c r="B2661" s="29" t="s">
        <v>25</v>
      </c>
      <c r="C2661" s="21">
        <f t="shared" si="45"/>
        <v>-93.49</v>
      </c>
      <c r="BO2661" s="74">
        <v>-8.75</v>
      </c>
      <c r="BU2661" s="106">
        <v>-8.9</v>
      </c>
      <c r="CA2661" s="106">
        <v>-8.0500000000000007</v>
      </c>
      <c r="CS2661" s="74">
        <v>-67.790000000000006</v>
      </c>
    </row>
    <row r="2662" spans="1:217" x14ac:dyDescent="0.25">
      <c r="A2662" s="127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106">
        <v>-9</v>
      </c>
      <c r="BO2662" s="74">
        <v>-127.77</v>
      </c>
      <c r="BU2662" s="106">
        <v>-40.74</v>
      </c>
      <c r="CA2662" s="106">
        <v>-40.36</v>
      </c>
    </row>
    <row r="2663" spans="1:217" x14ac:dyDescent="0.25">
      <c r="A2663" s="127">
        <v>44995</v>
      </c>
      <c r="B2663" s="24" t="s">
        <v>68</v>
      </c>
      <c r="C2663" s="21">
        <f t="shared" si="45"/>
        <v>-67.88</v>
      </c>
      <c r="AR2663" s="74">
        <v>-33.1</v>
      </c>
      <c r="BI2663" s="106">
        <v>-34.78</v>
      </c>
    </row>
    <row r="2664" spans="1:217" x14ac:dyDescent="0.25">
      <c r="A2664" s="127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27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27">
        <v>44998</v>
      </c>
      <c r="B2666" s="24" t="s">
        <v>152</v>
      </c>
      <c r="C2666" s="21">
        <f t="shared" si="45"/>
        <v>-993.95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74">
        <v>-32.85</v>
      </c>
      <c r="BI2666" s="106">
        <v>-172.41</v>
      </c>
      <c r="BO2666" s="74">
        <v>-129.47999999999999</v>
      </c>
      <c r="BU2666" s="106">
        <v>-131.63999999999999</v>
      </c>
      <c r="CA2666" s="106">
        <v>-100.75</v>
      </c>
      <c r="CG2666" s="106">
        <v>-95.2</v>
      </c>
      <c r="CM2666" s="74">
        <v>-100.05</v>
      </c>
      <c r="DK2666" s="74">
        <v>-34.299999999999997</v>
      </c>
      <c r="EL2666" s="106">
        <v>-64.66</v>
      </c>
    </row>
    <row r="2667" spans="1:217" x14ac:dyDescent="0.25">
      <c r="A2667" s="127">
        <v>44998</v>
      </c>
      <c r="B2667" s="24" t="s">
        <v>14</v>
      </c>
      <c r="C2667" s="21">
        <f t="shared" si="45"/>
        <v>-33.54</v>
      </c>
      <c r="BI2667" s="106">
        <v>-33.54</v>
      </c>
    </row>
    <row r="2668" spans="1:217" x14ac:dyDescent="0.25">
      <c r="A2668" s="127">
        <v>44998</v>
      </c>
      <c r="B2668" s="24" t="s">
        <v>149</v>
      </c>
      <c r="C2668" s="21">
        <f t="shared" si="45"/>
        <v>-9.01</v>
      </c>
      <c r="CA2668" s="106">
        <v>-9.01</v>
      </c>
    </row>
    <row r="2669" spans="1:217" x14ac:dyDescent="0.25">
      <c r="A2669" s="127">
        <v>44998</v>
      </c>
      <c r="B2669" s="24" t="s">
        <v>19</v>
      </c>
      <c r="C2669" s="21">
        <f t="shared" si="45"/>
        <v>0</v>
      </c>
    </row>
    <row r="2670" spans="1:217" x14ac:dyDescent="0.25">
      <c r="A2670" s="127">
        <v>44998</v>
      </c>
      <c r="B2670" s="24" t="s">
        <v>78</v>
      </c>
      <c r="C2670" s="21">
        <f t="shared" si="45"/>
        <v>-17.14</v>
      </c>
      <c r="BO2670" s="74">
        <v>-8.89</v>
      </c>
      <c r="CM2670" s="74">
        <v>-8.25</v>
      </c>
    </row>
    <row r="2671" spans="1:217" x14ac:dyDescent="0.25">
      <c r="A2671" s="127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27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74">
        <v>-138.63</v>
      </c>
      <c r="BU2672" s="106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27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27">
        <v>44999</v>
      </c>
      <c r="B2674" s="24" t="s">
        <v>75</v>
      </c>
      <c r="C2674" s="21">
        <f t="shared" si="46"/>
        <v>-8.7200000000000006</v>
      </c>
      <c r="BO2674" s="74">
        <v>-8.7200000000000006</v>
      </c>
    </row>
    <row r="2675" spans="1:236" x14ac:dyDescent="0.25">
      <c r="A2675" s="127">
        <v>44999</v>
      </c>
      <c r="B2675" s="24" t="s">
        <v>50</v>
      </c>
      <c r="C2675" s="21">
        <f t="shared" si="46"/>
        <v>-205.48</v>
      </c>
      <c r="DP2675" s="74">
        <v>-66.489999999999995</v>
      </c>
      <c r="IB2675" s="42">
        <v>-138.99</v>
      </c>
    </row>
    <row r="2676" spans="1:236" x14ac:dyDescent="0.25">
      <c r="A2676" s="127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27">
        <v>44999</v>
      </c>
      <c r="B2677" s="24" t="s">
        <v>20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27">
        <v>44999</v>
      </c>
      <c r="B2678" s="24" t="s">
        <v>139</v>
      </c>
      <c r="C2678" s="21">
        <f t="shared" si="46"/>
        <v>-8.35</v>
      </c>
      <c r="CA2678" s="106">
        <v>-8.35</v>
      </c>
    </row>
    <row r="2679" spans="1:236" x14ac:dyDescent="0.25">
      <c r="A2679" s="127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27">
        <v>44999</v>
      </c>
      <c r="B2680" s="24" t="s">
        <v>27</v>
      </c>
      <c r="C2680" s="21">
        <f t="shared" si="46"/>
        <v>-9</v>
      </c>
      <c r="BU2680" s="106">
        <v>-9</v>
      </c>
    </row>
    <row r="2681" spans="1:236" x14ac:dyDescent="0.25">
      <c r="A2681" s="127">
        <v>44999</v>
      </c>
      <c r="B2681" s="24" t="s">
        <v>29</v>
      </c>
      <c r="C2681" s="21">
        <f t="shared" si="46"/>
        <v>-17.75</v>
      </c>
      <c r="BI2681" s="106">
        <v>-8.99</v>
      </c>
      <c r="BO2681" s="74">
        <v>-8.76</v>
      </c>
    </row>
    <row r="2682" spans="1:236" x14ac:dyDescent="0.25">
      <c r="A2682" s="127">
        <v>44999</v>
      </c>
      <c r="B2682" s="24" t="s">
        <v>138</v>
      </c>
      <c r="C2682" s="21">
        <f t="shared" si="46"/>
        <v>-92.33</v>
      </c>
      <c r="BA2682" s="42">
        <v>-17.5</v>
      </c>
      <c r="BI2682" s="106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27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27">
        <v>45000</v>
      </c>
      <c r="B2684" s="24" t="s">
        <v>113</v>
      </c>
      <c r="C2684" s="21">
        <f t="shared" si="46"/>
        <v>827.4</v>
      </c>
      <c r="BI2684" s="106">
        <v>528.01</v>
      </c>
      <c r="FC2684" s="106">
        <v>299.39</v>
      </c>
    </row>
    <row r="2685" spans="1:236" x14ac:dyDescent="0.25">
      <c r="A2685" s="127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27">
        <v>45001</v>
      </c>
      <c r="B2686" s="24" t="s">
        <v>133</v>
      </c>
      <c r="C2686" s="21">
        <f t="shared" si="46"/>
        <v>-133.91999999999999</v>
      </c>
      <c r="BC2686" s="74">
        <v>-31.45</v>
      </c>
      <c r="BI2686" s="106">
        <v>-34.32</v>
      </c>
      <c r="BO2686" s="74">
        <v>-34.24</v>
      </c>
      <c r="BU2686" s="106">
        <v>-33.909999999999997</v>
      </c>
    </row>
    <row r="2687" spans="1:236" x14ac:dyDescent="0.25">
      <c r="A2687" s="127">
        <v>45001</v>
      </c>
      <c r="B2687" s="24" t="s">
        <v>32</v>
      </c>
      <c r="C2687" s="21">
        <f t="shared" si="46"/>
        <v>-61.64</v>
      </c>
      <c r="BC2687" s="74">
        <v>-18.04</v>
      </c>
      <c r="BI2687" s="106">
        <v>-18.399999999999999</v>
      </c>
      <c r="CA2687" s="106">
        <v>-16.7</v>
      </c>
      <c r="DE2687" s="74">
        <v>-8.5</v>
      </c>
    </row>
    <row r="2688" spans="1:236" x14ac:dyDescent="0.25">
      <c r="A2688" s="127">
        <v>45001</v>
      </c>
      <c r="B2688" s="24" t="s">
        <v>78</v>
      </c>
      <c r="C2688" s="21">
        <f t="shared" si="46"/>
        <v>-60.21</v>
      </c>
      <c r="AW2688" s="74">
        <v>-8.4</v>
      </c>
      <c r="BC2688" s="74">
        <v>-17.64</v>
      </c>
      <c r="BI2688" s="106">
        <v>-16.95</v>
      </c>
      <c r="BO2688" s="74">
        <v>-8.74</v>
      </c>
      <c r="BU2688" s="106">
        <v>-8.48</v>
      </c>
    </row>
    <row r="2689" spans="1:224" x14ac:dyDescent="0.25">
      <c r="A2689" s="127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27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27">
        <v>45001</v>
      </c>
      <c r="B2691" s="24" t="s">
        <v>115</v>
      </c>
      <c r="C2691" s="21">
        <f t="shared" si="46"/>
        <v>0</v>
      </c>
    </row>
    <row r="2692" spans="1:224" x14ac:dyDescent="0.25">
      <c r="A2692" s="127">
        <v>45002</v>
      </c>
      <c r="B2692" s="24" t="s">
        <v>163</v>
      </c>
      <c r="C2692" s="21">
        <f t="shared" si="46"/>
        <v>254.52500000000001</v>
      </c>
      <c r="BL2692" s="115">
        <v>33.825000000000003</v>
      </c>
      <c r="BR2692" s="115">
        <v>33.86</v>
      </c>
      <c r="BX2692" s="115">
        <v>33.085000000000001</v>
      </c>
      <c r="CJ2692" s="115">
        <v>33.325000000000003</v>
      </c>
      <c r="CP2692" s="115">
        <v>53.94</v>
      </c>
      <c r="CV2692" s="115">
        <v>33.195</v>
      </c>
      <c r="DB2692" s="115">
        <v>33.295000000000002</v>
      </c>
    </row>
    <row r="2693" spans="1:224" x14ac:dyDescent="0.25">
      <c r="A2693" s="127">
        <v>45002</v>
      </c>
      <c r="B2693" s="24" t="s">
        <v>17</v>
      </c>
      <c r="C2693" s="21">
        <f t="shared" si="46"/>
        <v>-49.78</v>
      </c>
      <c r="BO2693" s="74">
        <v>-15.61</v>
      </c>
      <c r="BU2693" s="106">
        <v>-17.100000000000001</v>
      </c>
      <c r="CA2693" s="106">
        <v>-17.07</v>
      </c>
    </row>
    <row r="2694" spans="1:224" x14ac:dyDescent="0.25">
      <c r="A2694" s="127">
        <v>45002</v>
      </c>
      <c r="B2694" s="24" t="s">
        <v>140</v>
      </c>
      <c r="C2694" s="21">
        <f t="shared" si="46"/>
        <v>-32.6</v>
      </c>
      <c r="D2694" s="145">
        <v>-32.6</v>
      </c>
    </row>
    <row r="2695" spans="1:224" x14ac:dyDescent="0.25">
      <c r="A2695" s="127">
        <v>45005</v>
      </c>
      <c r="B2695" s="24" t="s">
        <v>113</v>
      </c>
      <c r="C2695" s="21">
        <f t="shared" si="46"/>
        <v>1831.05</v>
      </c>
      <c r="AR2695" s="74">
        <v>264.64</v>
      </c>
      <c r="AW2695" s="74">
        <v>270.69</v>
      </c>
      <c r="BC2695" s="74">
        <v>518.79999999999995</v>
      </c>
      <c r="BO2695" s="74">
        <v>501.09</v>
      </c>
      <c r="CY2695" s="74">
        <v>275.83</v>
      </c>
    </row>
    <row r="2696" spans="1:224" x14ac:dyDescent="0.25">
      <c r="A2696" s="127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27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27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27">
        <v>45005</v>
      </c>
      <c r="B2699" s="24" t="s">
        <v>65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27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15">
        <v>-8.2949999999999999</v>
      </c>
    </row>
    <row r="2701" spans="1:224" x14ac:dyDescent="0.25">
      <c r="A2701" s="127">
        <v>45005</v>
      </c>
      <c r="B2701" s="24" t="s">
        <v>111</v>
      </c>
      <c r="C2701" s="21">
        <f t="shared" si="46"/>
        <v>-218.66</v>
      </c>
      <c r="AW2701" s="74">
        <v>-16.850000000000001</v>
      </c>
      <c r="BC2701" s="74">
        <v>-17.16</v>
      </c>
      <c r="BI2701" s="106">
        <v>-17</v>
      </c>
      <c r="BO2701" s="74">
        <v>-16</v>
      </c>
      <c r="BU2701" s="106">
        <v>-15.87</v>
      </c>
      <c r="CA2701" s="106">
        <v>-17.329999999999998</v>
      </c>
      <c r="CG2701" s="106">
        <v>-15.95</v>
      </c>
      <c r="CM2701" s="74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27">
        <v>45006</v>
      </c>
      <c r="B2702" s="24" t="s">
        <v>43</v>
      </c>
      <c r="C2702" s="21">
        <f t="shared" si="46"/>
        <v>-543.37</v>
      </c>
      <c r="AC2702" s="74">
        <v>-33.090000000000003</v>
      </c>
      <c r="AG2702" s="106">
        <v>-34.75</v>
      </c>
      <c r="AN2702" s="74">
        <v>-34.590000000000003</v>
      </c>
      <c r="AR2702" s="74">
        <v>-33.479999999999997</v>
      </c>
      <c r="AW2702" s="74">
        <v>-34.049999999999997</v>
      </c>
      <c r="BC2702" s="74">
        <v>-35.409999999999997</v>
      </c>
      <c r="BI2702" s="106">
        <v>-100.96</v>
      </c>
      <c r="BO2702" s="74">
        <v>-103.46</v>
      </c>
      <c r="BU2702" s="106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27">
        <v>45006</v>
      </c>
      <c r="B2703" s="24" t="s">
        <v>133</v>
      </c>
      <c r="C2703" s="21">
        <f t="shared" si="46"/>
        <v>-134.29</v>
      </c>
      <c r="AN2703" s="74">
        <v>-34.64</v>
      </c>
      <c r="CA2703" s="106">
        <v>-33.44</v>
      </c>
      <c r="DE2703" s="74">
        <v>-34.81</v>
      </c>
      <c r="DK2703" s="74">
        <v>-31.4</v>
      </c>
    </row>
    <row r="2704" spans="1:224" x14ac:dyDescent="0.25">
      <c r="A2704" s="127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74">
        <v>-33.1</v>
      </c>
      <c r="CY2704" s="74">
        <v>-17.32</v>
      </c>
    </row>
    <row r="2705" spans="1:241" x14ac:dyDescent="0.25">
      <c r="A2705" s="127">
        <v>45006</v>
      </c>
      <c r="B2705" s="24" t="s">
        <v>149</v>
      </c>
      <c r="C2705" s="21">
        <f t="shared" si="46"/>
        <v>-17.39</v>
      </c>
      <c r="BC2705" s="74">
        <v>-8.9499999999999993</v>
      </c>
      <c r="BU2705" s="106">
        <v>-8.44</v>
      </c>
    </row>
    <row r="2706" spans="1:241" x14ac:dyDescent="0.25">
      <c r="A2706" s="127">
        <v>45006</v>
      </c>
      <c r="B2706" s="24" t="s">
        <v>20</v>
      </c>
      <c r="C2706" s="21">
        <f t="shared" si="46"/>
        <v>-40.29</v>
      </c>
      <c r="AN2706" s="74">
        <v>-8.67</v>
      </c>
      <c r="CA2706" s="106">
        <v>-8.1</v>
      </c>
      <c r="CG2706" s="106">
        <v>-8.75</v>
      </c>
      <c r="GY2706" s="42">
        <v>-14.77</v>
      </c>
    </row>
    <row r="2707" spans="1:241" x14ac:dyDescent="0.25">
      <c r="A2707" s="127">
        <v>45006</v>
      </c>
      <c r="B2707" s="24" t="s">
        <v>138</v>
      </c>
      <c r="C2707" s="21">
        <f t="shared" si="46"/>
        <v>-16.75</v>
      </c>
      <c r="BR2707" s="115">
        <v>-8.48</v>
      </c>
      <c r="BX2707" s="115">
        <v>-8.27</v>
      </c>
    </row>
    <row r="2708" spans="1:241" x14ac:dyDescent="0.25">
      <c r="A2708" s="127">
        <v>45006</v>
      </c>
      <c r="B2708" s="24" t="s">
        <v>75</v>
      </c>
      <c r="C2708" s="21">
        <f t="shared" si="46"/>
        <v>-34.130000000000003</v>
      </c>
      <c r="BC2708" s="74">
        <v>-9.85</v>
      </c>
      <c r="BU2708" s="106">
        <v>-7.34</v>
      </c>
      <c r="CG2708" s="106">
        <v>-8.69</v>
      </c>
      <c r="CM2708" s="74">
        <v>-8.25</v>
      </c>
    </row>
    <row r="2709" spans="1:241" x14ac:dyDescent="0.25">
      <c r="A2709" s="127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106">
        <v>-8.59</v>
      </c>
    </row>
    <row r="2710" spans="1:241" x14ac:dyDescent="0.25">
      <c r="A2710" s="127">
        <v>45006</v>
      </c>
      <c r="B2710" s="24" t="s">
        <v>167</v>
      </c>
      <c r="C2710" s="21">
        <f t="shared" si="46"/>
        <v>-15.3</v>
      </c>
      <c r="D2710" s="145">
        <v>-8.26</v>
      </c>
      <c r="E2710" s="145">
        <v>-7.04</v>
      </c>
    </row>
    <row r="2711" spans="1:241" x14ac:dyDescent="0.25">
      <c r="A2711" s="127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27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27">
        <v>44979</v>
      </c>
      <c r="B2713" s="24" t="s">
        <v>43</v>
      </c>
      <c r="C2713" s="21">
        <f t="shared" si="46"/>
        <v>-101.25</v>
      </c>
      <c r="BI2713" s="106">
        <v>-101.25</v>
      </c>
    </row>
    <row r="2714" spans="1:241" x14ac:dyDescent="0.25">
      <c r="A2714" s="127">
        <v>44979</v>
      </c>
      <c r="B2714" s="24" t="s">
        <v>32</v>
      </c>
      <c r="C2714" s="21">
        <f t="shared" si="46"/>
        <v>-119.51</v>
      </c>
      <c r="AW2714" s="74">
        <v>-17.13</v>
      </c>
      <c r="BC2714" s="74">
        <v>-17.98</v>
      </c>
      <c r="BO2714" s="74">
        <v>-35.14</v>
      </c>
      <c r="CA2714" s="106">
        <v>-32.42</v>
      </c>
      <c r="CG2714" s="106">
        <v>-16.84</v>
      </c>
    </row>
    <row r="2715" spans="1:241" x14ac:dyDescent="0.25">
      <c r="A2715" s="127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27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27">
        <v>45008</v>
      </c>
      <c r="B2717" s="24" t="s">
        <v>17</v>
      </c>
      <c r="C2717" s="21">
        <f t="shared" si="46"/>
        <v>-97.73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27">
        <v>45008</v>
      </c>
      <c r="B2718" s="24" t="s">
        <v>17</v>
      </c>
      <c r="C2718" s="21">
        <f t="shared" si="46"/>
        <v>-32.49</v>
      </c>
      <c r="BI2718" s="106">
        <v>-8.5</v>
      </c>
      <c r="BO2718" s="74">
        <v>-8.0500000000000007</v>
      </c>
      <c r="BX2718" s="115">
        <v>-8.2799999999999994</v>
      </c>
      <c r="CG2718" s="106">
        <v>-7.66</v>
      </c>
    </row>
    <row r="2719" spans="1:241" x14ac:dyDescent="0.25">
      <c r="A2719" s="127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27">
        <v>45009</v>
      </c>
      <c r="B2720" s="24" t="s">
        <v>75</v>
      </c>
      <c r="C2720" s="21">
        <f t="shared" si="46"/>
        <v>-133.36000000000001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27">
        <v>45009</v>
      </c>
      <c r="B2721" s="24" t="s">
        <v>27</v>
      </c>
      <c r="C2721" s="21">
        <f t="shared" si="46"/>
        <v>-24.3</v>
      </c>
      <c r="AN2721" s="74">
        <v>-7.25</v>
      </c>
      <c r="AR2721" s="74">
        <v>-8.25</v>
      </c>
      <c r="AW2721" s="74">
        <v>-8.8000000000000007</v>
      </c>
    </row>
    <row r="2722" spans="1:238" x14ac:dyDescent="0.25">
      <c r="A2722" s="127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27">
        <v>45009</v>
      </c>
      <c r="B2723" s="24" t="s">
        <v>151</v>
      </c>
      <c r="C2723" s="21">
        <f t="shared" si="46"/>
        <v>-16.25</v>
      </c>
      <c r="CG2723" s="106">
        <v>-16.25</v>
      </c>
    </row>
    <row r="2724" spans="1:238" x14ac:dyDescent="0.25">
      <c r="A2724" s="127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27">
        <v>45012</v>
      </c>
      <c r="B2725" s="24" t="s">
        <v>133</v>
      </c>
      <c r="C2725" s="21">
        <f t="shared" si="46"/>
        <v>-68.47</v>
      </c>
      <c r="BI2725" s="106">
        <v>-35.880000000000003</v>
      </c>
      <c r="CA2725" s="106">
        <v>-32.590000000000003</v>
      </c>
    </row>
    <row r="2726" spans="1:238" x14ac:dyDescent="0.25">
      <c r="A2726" s="127">
        <v>45012</v>
      </c>
      <c r="B2726" s="24" t="s">
        <v>17</v>
      </c>
      <c r="C2726" s="21">
        <f t="shared" si="46"/>
        <v>-74.5</v>
      </c>
      <c r="CA2726" s="106">
        <v>-8.6199999999999992</v>
      </c>
      <c r="DU2726" s="106">
        <v>-65.88</v>
      </c>
    </row>
    <row r="2727" spans="1:238" x14ac:dyDescent="0.25">
      <c r="A2727" s="127">
        <v>45012</v>
      </c>
      <c r="B2727" s="24" t="s">
        <v>43</v>
      </c>
      <c r="C2727" s="21">
        <f t="shared" si="46"/>
        <v>-100</v>
      </c>
      <c r="CG2727" s="106">
        <v>-32.700000000000003</v>
      </c>
      <c r="CM2727" s="74">
        <v>-67.3</v>
      </c>
    </row>
    <row r="2728" spans="1:238" x14ac:dyDescent="0.25">
      <c r="A2728" s="127">
        <v>45012</v>
      </c>
      <c r="B2728" s="24" t="s">
        <v>44</v>
      </c>
      <c r="C2728" s="21">
        <f t="shared" si="46"/>
        <v>-214.35</v>
      </c>
      <c r="BO2728" s="74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27">
        <v>45013</v>
      </c>
      <c r="B2729" s="24" t="s">
        <v>79</v>
      </c>
      <c r="C2729" s="21">
        <f t="shared" si="46"/>
        <v>-8.25</v>
      </c>
      <c r="CM2729" s="74">
        <v>-8.25</v>
      </c>
    </row>
    <row r="2730" spans="1:238" x14ac:dyDescent="0.25">
      <c r="A2730" s="127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27">
        <v>45013</v>
      </c>
      <c r="B2731" s="24" t="s">
        <v>20</v>
      </c>
      <c r="C2731" s="21">
        <f t="shared" si="46"/>
        <v>-74.41</v>
      </c>
      <c r="AR2731" s="74">
        <v>-8.25</v>
      </c>
      <c r="BC2731" s="74">
        <v>-7.91</v>
      </c>
      <c r="BI2731" s="106">
        <v>-9.08</v>
      </c>
      <c r="BO2731" s="74">
        <v>-8</v>
      </c>
      <c r="BX2731" s="115">
        <v>-8.24</v>
      </c>
      <c r="CA2731" s="106">
        <v>-8.6999999999999993</v>
      </c>
      <c r="GY2731" s="42">
        <v>-24.23</v>
      </c>
    </row>
    <row r="2732" spans="1:238" x14ac:dyDescent="0.25">
      <c r="A2732" s="127">
        <v>45013</v>
      </c>
      <c r="B2732" s="24" t="s">
        <v>17</v>
      </c>
      <c r="C2732" s="21">
        <f t="shared" si="46"/>
        <v>-419.47</v>
      </c>
      <c r="AR2732" s="74">
        <v>-8.3000000000000007</v>
      </c>
      <c r="AW2732" s="74">
        <v>-14.25</v>
      </c>
      <c r="BC2732" s="74">
        <v>-26.95</v>
      </c>
      <c r="BI2732" s="106">
        <v>-25.15</v>
      </c>
      <c r="BO2732" s="74">
        <v>-34.04</v>
      </c>
      <c r="CA2732" s="106">
        <v>-64.790000000000006</v>
      </c>
      <c r="CG2732" s="106">
        <v>-49.83</v>
      </c>
      <c r="CM2732" s="74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27">
        <v>45013</v>
      </c>
      <c r="B2733" s="24" t="s">
        <v>139</v>
      </c>
      <c r="C2733" s="21">
        <f t="shared" si="46"/>
        <v>-28.31</v>
      </c>
      <c r="BU2733" s="106">
        <v>-4.3600000000000003</v>
      </c>
      <c r="CA2733" s="106">
        <v>-8.66</v>
      </c>
      <c r="CM2733" s="74">
        <v>-6.65</v>
      </c>
      <c r="CS2733" s="74">
        <v>-8.64</v>
      </c>
    </row>
    <row r="2734" spans="1:238" x14ac:dyDescent="0.25">
      <c r="A2734" s="127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27">
        <v>45014</v>
      </c>
      <c r="B2735" s="24" t="s">
        <v>78</v>
      </c>
      <c r="C2735" s="21">
        <f t="shared" si="46"/>
        <v>-75.819999999999993</v>
      </c>
      <c r="BC2735" s="74">
        <v>-8.01</v>
      </c>
      <c r="BI2735" s="106">
        <v>-9.0500000000000007</v>
      </c>
      <c r="BO2735" s="74">
        <v>-42.01</v>
      </c>
      <c r="CG2735" s="106">
        <v>-16.75</v>
      </c>
    </row>
    <row r="2736" spans="1:238" x14ac:dyDescent="0.25">
      <c r="A2736" s="127">
        <v>45014</v>
      </c>
      <c r="B2736" s="24" t="s">
        <v>152</v>
      </c>
      <c r="C2736" s="21">
        <f t="shared" si="46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27">
        <v>45014</v>
      </c>
      <c r="B2737" s="24" t="s">
        <v>17</v>
      </c>
      <c r="C2737" s="21">
        <f t="shared" ref="C2737:C2800" si="47">SUM(D2737:JT2737)</f>
        <v>-17.920000000000002</v>
      </c>
      <c r="BI2737" s="106">
        <v>-9.06</v>
      </c>
      <c r="BO2737" s="74">
        <v>-8.86</v>
      </c>
    </row>
    <row r="2738" spans="1:228" x14ac:dyDescent="0.25">
      <c r="A2738" s="127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27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27">
        <v>45015</v>
      </c>
      <c r="B2740" s="24" t="s">
        <v>113</v>
      </c>
      <c r="C2740" s="21">
        <f t="shared" si="47"/>
        <v>1148.3599999999999</v>
      </c>
      <c r="BU2740" s="106">
        <v>498.88</v>
      </c>
      <c r="CG2740" s="106">
        <v>311.10000000000002</v>
      </c>
      <c r="DU2740" s="106">
        <v>338.38</v>
      </c>
    </row>
    <row r="2741" spans="1:228" x14ac:dyDescent="0.25">
      <c r="A2741" s="127">
        <v>45015</v>
      </c>
      <c r="B2741" s="24" t="s">
        <v>17</v>
      </c>
      <c r="C2741" s="21">
        <f t="shared" si="47"/>
        <v>-229.49</v>
      </c>
      <c r="AC2741" s="74">
        <v>-16.59</v>
      </c>
      <c r="AG2741" s="106">
        <v>-17.350000000000001</v>
      </c>
      <c r="AN2741" s="74">
        <v>-7.25</v>
      </c>
      <c r="AR2741" s="74">
        <v>-8.3800000000000008</v>
      </c>
      <c r="AW2741" s="74">
        <v>-8.85</v>
      </c>
      <c r="BC2741" s="74">
        <v>-7.18</v>
      </c>
      <c r="BI2741" s="106">
        <v>-33.76</v>
      </c>
      <c r="BO2741" s="74">
        <v>-31.15</v>
      </c>
      <c r="BU2741" s="106">
        <v>-33.450000000000003</v>
      </c>
      <c r="CA2741" s="106">
        <v>-22.95</v>
      </c>
      <c r="CG2741" s="106">
        <v>-17.25</v>
      </c>
      <c r="CM2741" s="74">
        <v>-16.600000000000001</v>
      </c>
      <c r="CS2741" s="74">
        <v>-8.73</v>
      </c>
    </row>
    <row r="2742" spans="1:228" x14ac:dyDescent="0.25">
      <c r="A2742" s="127">
        <v>45015</v>
      </c>
      <c r="B2742" s="24" t="s">
        <v>95</v>
      </c>
      <c r="C2742" s="21">
        <f t="shared" si="47"/>
        <v>-371.89</v>
      </c>
      <c r="BO2742" s="74">
        <v>-202.04</v>
      </c>
      <c r="CG2742" s="106">
        <v>-103.95</v>
      </c>
      <c r="CM2742" s="74">
        <v>-65.900000000000006</v>
      </c>
    </row>
    <row r="2743" spans="1:228" x14ac:dyDescent="0.25">
      <c r="A2743" s="127">
        <v>45015</v>
      </c>
      <c r="B2743" s="24" t="s">
        <v>59</v>
      </c>
      <c r="C2743" s="21">
        <f t="shared" si="47"/>
        <v>-5.43</v>
      </c>
      <c r="CG2743" s="106">
        <v>-5.43</v>
      </c>
    </row>
    <row r="2744" spans="1:228" x14ac:dyDescent="0.25">
      <c r="A2744" s="127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27">
        <v>45015</v>
      </c>
      <c r="B2745" s="24" t="s">
        <v>152</v>
      </c>
      <c r="C2745" s="21">
        <f t="shared" si="47"/>
        <v>-674.03</v>
      </c>
      <c r="AR2745" s="74">
        <v>-33.090000000000003</v>
      </c>
      <c r="AW2745" s="74">
        <v>-32.68</v>
      </c>
      <c r="BC2745" s="74">
        <v>-33.53</v>
      </c>
      <c r="BI2745" s="106">
        <v>-66.41</v>
      </c>
      <c r="BO2745" s="74">
        <v>-67.94</v>
      </c>
      <c r="BU2745" s="106">
        <v>-65.099999999999994</v>
      </c>
      <c r="CA2745" s="106">
        <v>-102.63</v>
      </c>
      <c r="CG2745" s="106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27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27">
        <v>45016</v>
      </c>
      <c r="B2747" s="24" t="s">
        <v>48</v>
      </c>
      <c r="C2747" s="21">
        <f t="shared" si="47"/>
        <v>-160.13</v>
      </c>
      <c r="AW2747" s="74">
        <v>-8.8000000000000007</v>
      </c>
      <c r="BI2747" s="106">
        <v>-17.690000000000001</v>
      </c>
      <c r="BO2747" s="74">
        <v>-33.950000000000003</v>
      </c>
      <c r="BU2747" s="106">
        <v>-31.33</v>
      </c>
      <c r="CA2747" s="106">
        <v>-17.73</v>
      </c>
      <c r="CG2747" s="106">
        <v>-16.600000000000001</v>
      </c>
      <c r="CS2747" s="74">
        <v>-34.03</v>
      </c>
    </row>
    <row r="2748" spans="1:228" x14ac:dyDescent="0.25">
      <c r="A2748" s="127">
        <v>45016</v>
      </c>
      <c r="B2748" s="24" t="s">
        <v>133</v>
      </c>
      <c r="C2748" s="21">
        <f t="shared" si="47"/>
        <v>-171.51</v>
      </c>
      <c r="AW2748" s="74">
        <v>-34.54</v>
      </c>
      <c r="BI2748" s="106">
        <v>-34.74</v>
      </c>
      <c r="BO2748" s="74">
        <v>-34.01</v>
      </c>
      <c r="CM2748" s="74">
        <v>-34</v>
      </c>
      <c r="CS2748" s="74">
        <v>-34.22</v>
      </c>
    </row>
    <row r="2749" spans="1:228" x14ac:dyDescent="0.25">
      <c r="A2749" s="127">
        <v>45016</v>
      </c>
      <c r="B2749" s="24" t="s">
        <v>167</v>
      </c>
      <c r="C2749" s="21">
        <f t="shared" si="47"/>
        <v>-8.74</v>
      </c>
      <c r="D2749" s="145">
        <v>-8.74</v>
      </c>
    </row>
    <row r="2750" spans="1:228" x14ac:dyDescent="0.25">
      <c r="A2750" s="127">
        <v>45016</v>
      </c>
      <c r="B2750" s="24" t="s">
        <v>78</v>
      </c>
      <c r="C2750" s="21">
        <f t="shared" si="47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27">
        <v>45016</v>
      </c>
      <c r="B2751" s="24" t="s">
        <v>17</v>
      </c>
      <c r="C2751" s="21">
        <f t="shared" si="47"/>
        <v>0</v>
      </c>
    </row>
    <row r="2752" spans="1:228" x14ac:dyDescent="0.25">
      <c r="A2752" s="127">
        <v>45016</v>
      </c>
      <c r="B2752" s="24" t="s">
        <v>161</v>
      </c>
      <c r="C2752" s="21">
        <f t="shared" si="47"/>
        <v>-33.56</v>
      </c>
      <c r="BU2752" s="106">
        <v>-33.56</v>
      </c>
    </row>
    <row r="2753" spans="1:221" x14ac:dyDescent="0.25">
      <c r="A2753" s="127">
        <v>45016</v>
      </c>
      <c r="B2753" s="24" t="s">
        <v>20</v>
      </c>
      <c r="C2753" s="21">
        <f t="shared" si="47"/>
        <v>-65</v>
      </c>
      <c r="HA2753" s="115">
        <v>-65</v>
      </c>
    </row>
    <row r="2754" spans="1:221" x14ac:dyDescent="0.25">
      <c r="A2754" s="127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27">
        <v>45016</v>
      </c>
      <c r="B2755" s="29" t="s">
        <v>43</v>
      </c>
      <c r="C2755" s="21">
        <f t="shared" si="47"/>
        <v>-366.54</v>
      </c>
      <c r="BI2755" s="106">
        <v>-66.540000000000006</v>
      </c>
      <c r="BO2755" s="74">
        <v>-34.46</v>
      </c>
      <c r="BU2755" s="106">
        <v>-101.08</v>
      </c>
      <c r="CA2755" s="106">
        <v>-66.25</v>
      </c>
      <c r="CS2755" s="74">
        <v>-98.21</v>
      </c>
    </row>
    <row r="2756" spans="1:221" x14ac:dyDescent="0.25">
      <c r="A2756" s="127">
        <v>45017</v>
      </c>
      <c r="B2756" s="29" t="s">
        <v>48</v>
      </c>
      <c r="C2756" s="21">
        <f t="shared" si="47"/>
        <v>-48.93</v>
      </c>
      <c r="BU2756" s="106">
        <v>-16.170000000000002</v>
      </c>
      <c r="DE2756" s="74">
        <v>-8.61</v>
      </c>
      <c r="DK2756" s="74">
        <v>-24.15</v>
      </c>
    </row>
    <row r="2757" spans="1:221" x14ac:dyDescent="0.25">
      <c r="A2757" s="127">
        <v>45019</v>
      </c>
      <c r="B2757" s="24" t="s">
        <v>113</v>
      </c>
      <c r="C2757" s="21">
        <f t="shared" si="47"/>
        <v>1243.8900000000001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27">
        <v>45019</v>
      </c>
      <c r="B2758" s="29" t="s">
        <v>115</v>
      </c>
      <c r="C2758" s="21">
        <f t="shared" si="47"/>
        <v>101.94</v>
      </c>
      <c r="HA2758" s="115">
        <v>101.94</v>
      </c>
    </row>
    <row r="2759" spans="1:221" x14ac:dyDescent="0.25">
      <c r="A2759" s="127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27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106">
        <v>-8.4600000000000009</v>
      </c>
    </row>
    <row r="2761" spans="1:221" x14ac:dyDescent="0.25">
      <c r="A2761" s="127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5">
        <v>-11.5</v>
      </c>
    </row>
    <row r="2762" spans="1:221" x14ac:dyDescent="0.25">
      <c r="A2762" s="127">
        <v>45020</v>
      </c>
      <c r="B2762" s="29" t="s">
        <v>139</v>
      </c>
      <c r="C2762" s="21">
        <f t="shared" si="47"/>
        <v>-8.5299999999999994</v>
      </c>
      <c r="BU2762" s="106">
        <v>-8.5299999999999994</v>
      </c>
    </row>
    <row r="2763" spans="1:221" x14ac:dyDescent="0.25">
      <c r="A2763" s="127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27">
        <v>45021</v>
      </c>
      <c r="B2764" s="24" t="s">
        <v>115</v>
      </c>
      <c r="C2764" s="21">
        <f t="shared" si="47"/>
        <v>197.17</v>
      </c>
      <c r="E2764" s="145">
        <v>197.17</v>
      </c>
    </row>
    <row r="2765" spans="1:221" x14ac:dyDescent="0.25">
      <c r="A2765" s="127">
        <v>45021</v>
      </c>
      <c r="B2765" s="24" t="s">
        <v>169</v>
      </c>
      <c r="C2765" s="21">
        <f t="shared" si="47"/>
        <v>-158.46</v>
      </c>
      <c r="E2765" s="145">
        <v>-158.46</v>
      </c>
    </row>
    <row r="2766" spans="1:221" x14ac:dyDescent="0.25">
      <c r="A2766" s="127">
        <v>45022</v>
      </c>
      <c r="B2766" s="24" t="s">
        <v>113</v>
      </c>
      <c r="C2766" s="21">
        <f t="shared" si="47"/>
        <v>1015.49</v>
      </c>
      <c r="BI2766" s="106">
        <v>504.82</v>
      </c>
      <c r="CS2766" s="74">
        <v>510.67</v>
      </c>
    </row>
    <row r="2767" spans="1:221" x14ac:dyDescent="0.25">
      <c r="A2767" s="127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27">
        <v>45022</v>
      </c>
      <c r="B2768" s="24" t="s">
        <v>32</v>
      </c>
      <c r="C2768" s="21">
        <f t="shared" si="47"/>
        <v>-58.56</v>
      </c>
      <c r="AC2768" s="74">
        <v>-8.24</v>
      </c>
      <c r="AR2768" s="74">
        <v>-7.95</v>
      </c>
      <c r="BC2768" s="74">
        <v>-8.9700000000000006</v>
      </c>
      <c r="BI2768" s="106">
        <v>-17.37</v>
      </c>
      <c r="BU2768" s="106">
        <v>-16.03</v>
      </c>
    </row>
    <row r="2769" spans="1:199" x14ac:dyDescent="0.25">
      <c r="A2769" s="127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27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74">
        <v>-16.559999999999999</v>
      </c>
      <c r="BC2770" s="74">
        <v>-33.770000000000003</v>
      </c>
      <c r="BL2770" s="115">
        <v>-33.825000000000003</v>
      </c>
      <c r="BM2770" s="88">
        <v>-28.21</v>
      </c>
      <c r="BU2770" s="106">
        <v>-33.909999999999997</v>
      </c>
      <c r="DK2770" s="74">
        <v>-16.149999999999999</v>
      </c>
    </row>
    <row r="2771" spans="1:199" x14ac:dyDescent="0.25">
      <c r="A2771" s="127">
        <v>45022</v>
      </c>
      <c r="B2771" s="24" t="s">
        <v>115</v>
      </c>
      <c r="C2771" s="21">
        <f t="shared" si="47"/>
        <v>0</v>
      </c>
    </row>
    <row r="2772" spans="1:199" x14ac:dyDescent="0.25">
      <c r="A2772" s="127">
        <v>45022</v>
      </c>
      <c r="B2772" s="24" t="s">
        <v>83</v>
      </c>
      <c r="C2772" s="21">
        <f t="shared" si="47"/>
        <v>0</v>
      </c>
    </row>
    <row r="2773" spans="1:199" x14ac:dyDescent="0.25">
      <c r="A2773" s="127">
        <v>45022</v>
      </c>
      <c r="B2773" s="29" t="s">
        <v>39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106">
        <v>-8.77</v>
      </c>
      <c r="BO2773" s="74">
        <v>-8</v>
      </c>
      <c r="BU2773" s="106">
        <v>-8.36</v>
      </c>
      <c r="CA2773" s="106">
        <v>-6.97</v>
      </c>
    </row>
    <row r="2774" spans="1:199" x14ac:dyDescent="0.25">
      <c r="A2774" s="127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74">
        <v>-8.25</v>
      </c>
      <c r="BC2774" s="74">
        <v>-8.11</v>
      </c>
      <c r="BU2774" s="106">
        <v>-8.44</v>
      </c>
      <c r="CG2774" s="106">
        <v>-8.65</v>
      </c>
      <c r="CM2774" s="74">
        <v>-8.35</v>
      </c>
    </row>
    <row r="2775" spans="1:199" x14ac:dyDescent="0.25">
      <c r="A2775" s="127">
        <v>45023</v>
      </c>
      <c r="B2775" s="29" t="s">
        <v>133</v>
      </c>
      <c r="C2775" s="21">
        <f t="shared" si="47"/>
        <v>-233.41</v>
      </c>
      <c r="AR2775" s="74">
        <v>-33.200000000000003</v>
      </c>
      <c r="BC2775" s="74">
        <v>-32.700000000000003</v>
      </c>
      <c r="BI2775" s="106">
        <v>-34.19</v>
      </c>
      <c r="BU2775" s="106">
        <v>-34.15</v>
      </c>
      <c r="CA2775" s="106">
        <v>-33.81</v>
      </c>
      <c r="CM2775" s="74">
        <v>-32.9</v>
      </c>
      <c r="CY2775" s="74">
        <v>-32.46</v>
      </c>
    </row>
    <row r="2776" spans="1:199" x14ac:dyDescent="0.25">
      <c r="A2776" s="127">
        <v>45023</v>
      </c>
      <c r="B2776" s="29" t="s">
        <v>32</v>
      </c>
      <c r="C2776" s="21">
        <f t="shared" si="47"/>
        <v>-100.53</v>
      </c>
      <c r="BC2776" s="74">
        <v>-31.98</v>
      </c>
      <c r="BI2776" s="106">
        <v>-35.03</v>
      </c>
      <c r="BO2776" s="74">
        <v>-7.95</v>
      </c>
      <c r="CA2776" s="106">
        <v>-8.32</v>
      </c>
      <c r="CG2776" s="106">
        <v>-17.25</v>
      </c>
    </row>
    <row r="2777" spans="1:199" x14ac:dyDescent="0.25">
      <c r="A2777" s="127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27">
        <v>45023</v>
      </c>
      <c r="B2778" s="29" t="s">
        <v>175</v>
      </c>
      <c r="C2778" s="21">
        <f t="shared" si="47"/>
        <v>0</v>
      </c>
    </row>
    <row r="2779" spans="1:199" x14ac:dyDescent="0.25">
      <c r="A2779" s="127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106">
        <v>-34.78</v>
      </c>
    </row>
    <row r="2780" spans="1:199" x14ac:dyDescent="0.25">
      <c r="A2780" s="127">
        <v>45023</v>
      </c>
      <c r="B2780" s="24" t="s">
        <v>149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27">
        <v>45024</v>
      </c>
      <c r="B2781" s="24" t="s">
        <v>113</v>
      </c>
      <c r="C2781" s="21">
        <f t="shared" si="47"/>
        <v>1237.4100000000001</v>
      </c>
      <c r="CG2781" s="106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27">
        <v>45024</v>
      </c>
      <c r="B2782" s="24" t="s">
        <v>152</v>
      </c>
      <c r="C2782" s="21">
        <f t="shared" si="47"/>
        <v>-1276.8699999999999</v>
      </c>
      <c r="AR2782" s="74">
        <v>-32.83</v>
      </c>
      <c r="AW2782" s="74">
        <v>-32.15</v>
      </c>
      <c r="BC2782" s="74">
        <v>-31.27</v>
      </c>
      <c r="BI2782" s="106">
        <v>-104.26</v>
      </c>
      <c r="BU2782" s="106">
        <v>-100.71</v>
      </c>
      <c r="CA2782" s="106">
        <v>-34.99</v>
      </c>
      <c r="CG2782" s="106">
        <v>-132.65</v>
      </c>
      <c r="CM2782" s="74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27">
        <v>45026</v>
      </c>
      <c r="B2783" s="24" t="s">
        <v>78</v>
      </c>
      <c r="C2783" s="21">
        <f t="shared" si="47"/>
        <v>-34.130000000000003</v>
      </c>
      <c r="BI2783" s="106">
        <v>-34.130000000000003</v>
      </c>
    </row>
    <row r="2784" spans="1:199" x14ac:dyDescent="0.25">
      <c r="A2784" s="127">
        <v>45026</v>
      </c>
      <c r="B2784" s="24" t="s">
        <v>43</v>
      </c>
      <c r="C2784" s="21">
        <f t="shared" si="47"/>
        <v>-299.83</v>
      </c>
      <c r="CG2784" s="106">
        <v>-69.2</v>
      </c>
      <c r="CM2784" s="74">
        <v>-163.69999999999999</v>
      </c>
      <c r="CY2784" s="74">
        <v>-66.930000000000007</v>
      </c>
    </row>
    <row r="2785" spans="1:221" x14ac:dyDescent="0.25">
      <c r="A2785" s="127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74">
        <v>-33.200000000000003</v>
      </c>
      <c r="AW2785" s="74">
        <v>-64.849999999999994</v>
      </c>
      <c r="BC2785" s="74">
        <v>-30.26</v>
      </c>
      <c r="BI2785" s="106">
        <v>-97.5</v>
      </c>
      <c r="CG2785" s="106">
        <v>-69</v>
      </c>
      <c r="CM2785" s="74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27">
        <v>45027</v>
      </c>
      <c r="B2786" s="24" t="s">
        <v>139</v>
      </c>
      <c r="C2786" s="21">
        <f t="shared" si="47"/>
        <v>-39.484999999999999</v>
      </c>
      <c r="BR2786" s="115">
        <v>-8.4149999999999991</v>
      </c>
      <c r="CA2786" s="106">
        <v>-5.26</v>
      </c>
      <c r="CG2786" s="106">
        <v>-8.6999999999999993</v>
      </c>
      <c r="CM2786" s="74">
        <v>-8.4700000000000006</v>
      </c>
      <c r="CS2786" s="74">
        <v>-8.64</v>
      </c>
    </row>
    <row r="2787" spans="1:221" x14ac:dyDescent="0.25">
      <c r="A2787" s="127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27">
        <v>45027</v>
      </c>
      <c r="B2788" s="24" t="s">
        <v>33</v>
      </c>
      <c r="C2788" s="21">
        <f t="shared" si="47"/>
        <v>-8.9700000000000006</v>
      </c>
      <c r="BC2788" s="74">
        <v>-8.9700000000000006</v>
      </c>
    </row>
    <row r="2789" spans="1:221" x14ac:dyDescent="0.25">
      <c r="A2789" s="127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74">
        <v>236.61</v>
      </c>
      <c r="AW2789" s="74">
        <v>240.22</v>
      </c>
      <c r="DK2789" s="74">
        <v>191.55</v>
      </c>
    </row>
    <row r="2790" spans="1:221" x14ac:dyDescent="0.25">
      <c r="A2790" s="127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27">
        <v>45028</v>
      </c>
      <c r="B2791" s="24" t="s">
        <v>32</v>
      </c>
      <c r="C2791" s="21">
        <f t="shared" si="47"/>
        <v>-36.020000000000003</v>
      </c>
      <c r="DP2791" s="74">
        <v>-8.7799999999999994</v>
      </c>
      <c r="DS2791" s="42">
        <v>-27.24</v>
      </c>
    </row>
    <row r="2792" spans="1:221" x14ac:dyDescent="0.25">
      <c r="A2792" s="127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74">
        <v>-8.5500000000000007</v>
      </c>
      <c r="CS2792" s="74">
        <v>-8.06</v>
      </c>
    </row>
    <row r="2793" spans="1:221" x14ac:dyDescent="0.25">
      <c r="A2793" s="127">
        <v>45029</v>
      </c>
      <c r="B2793" s="24" t="s">
        <v>174</v>
      </c>
      <c r="C2793" s="21">
        <f t="shared" si="47"/>
        <v>-17.399999999999999</v>
      </c>
      <c r="CG2793" s="106">
        <v>-17.399999999999999</v>
      </c>
    </row>
    <row r="2794" spans="1:221" x14ac:dyDescent="0.25">
      <c r="A2794" s="127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-26.6</v>
      </c>
      <c r="HI2794" s="182">
        <f>-6.33-6.33-6.315</f>
        <v>-18.975000000000001</v>
      </c>
      <c r="HM2794" s="106">
        <v>-58.4</v>
      </c>
    </row>
    <row r="2795" spans="1:221" x14ac:dyDescent="0.25">
      <c r="A2795" s="127">
        <v>45030</v>
      </c>
      <c r="B2795" s="24" t="s">
        <v>133</v>
      </c>
      <c r="C2795" s="21">
        <f t="shared" si="47"/>
        <v>-167.64</v>
      </c>
      <c r="BC2795" s="74">
        <v>-33.28</v>
      </c>
      <c r="BI2795" s="106">
        <v>-100.96</v>
      </c>
      <c r="CS2795" s="74">
        <v>-33.4</v>
      </c>
    </row>
    <row r="2796" spans="1:221" x14ac:dyDescent="0.25">
      <c r="A2796" s="127">
        <v>45030</v>
      </c>
      <c r="B2796" s="24" t="s">
        <v>78</v>
      </c>
      <c r="C2796" s="21">
        <f t="shared" si="47"/>
        <v>-141.23500000000001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74">
        <v>-16.91</v>
      </c>
      <c r="AW2796" s="74">
        <v>-17.25</v>
      </c>
      <c r="BC2796" s="74">
        <v>-32.799999999999997</v>
      </c>
      <c r="BI2796" s="106">
        <v>-26.05</v>
      </c>
    </row>
    <row r="2797" spans="1:221" x14ac:dyDescent="0.25">
      <c r="A2797" s="127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27">
        <v>45030</v>
      </c>
      <c r="B2798" s="24" t="s">
        <v>113</v>
      </c>
      <c r="C2798" s="21">
        <f t="shared" si="47"/>
        <v>868.01</v>
      </c>
      <c r="BC2798" s="74">
        <v>354.55</v>
      </c>
      <c r="BU2798" s="106">
        <v>513.46</v>
      </c>
    </row>
    <row r="2799" spans="1:221" x14ac:dyDescent="0.25">
      <c r="A2799" s="127">
        <v>45031</v>
      </c>
      <c r="B2799" s="24" t="s">
        <v>48</v>
      </c>
      <c r="C2799" s="21">
        <f t="shared" si="47"/>
        <v>-59.58</v>
      </c>
      <c r="BI2799" s="106">
        <v>-24.49</v>
      </c>
      <c r="BU2799" s="106">
        <v>-35.090000000000003</v>
      </c>
    </row>
    <row r="2800" spans="1:221" x14ac:dyDescent="0.25">
      <c r="A2800" s="127">
        <v>45031</v>
      </c>
      <c r="B2800" s="24" t="s">
        <v>133</v>
      </c>
      <c r="C2800" s="21">
        <f t="shared" si="47"/>
        <v>-32.33</v>
      </c>
      <c r="BU2800" s="106">
        <v>-32.33</v>
      </c>
    </row>
    <row r="2801" spans="1:146" x14ac:dyDescent="0.25">
      <c r="A2801" s="127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27">
        <v>45033</v>
      </c>
      <c r="B2802" s="24" t="s">
        <v>115</v>
      </c>
      <c r="C2802" s="21">
        <f t="shared" si="48"/>
        <v>0</v>
      </c>
    </row>
    <row r="2803" spans="1:146" x14ac:dyDescent="0.25">
      <c r="A2803" s="127">
        <v>45033</v>
      </c>
      <c r="B2803" s="29" t="s">
        <v>115</v>
      </c>
      <c r="C2803" s="21">
        <f t="shared" si="48"/>
        <v>0</v>
      </c>
    </row>
    <row r="2804" spans="1:146" x14ac:dyDescent="0.25">
      <c r="A2804" s="127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27">
        <v>45033</v>
      </c>
      <c r="B2805" s="24" t="s">
        <v>65</v>
      </c>
      <c r="C2805" s="21">
        <f t="shared" si="48"/>
        <v>-67.69</v>
      </c>
      <c r="AR2805" s="74">
        <v>-67.69</v>
      </c>
    </row>
    <row r="2806" spans="1:146" x14ac:dyDescent="0.25">
      <c r="A2806" s="127">
        <v>45034</v>
      </c>
      <c r="B2806" s="24" t="s">
        <v>152</v>
      </c>
      <c r="C2806" s="21">
        <f t="shared" si="48"/>
        <v>-326.83</v>
      </c>
      <c r="AN2806" s="74">
        <v>-32.299999999999997</v>
      </c>
      <c r="BC2806" s="74">
        <v>-58.1</v>
      </c>
      <c r="BI2806" s="106">
        <v>-66.959999999999994</v>
      </c>
      <c r="CY2806" s="74">
        <v>-66.34</v>
      </c>
      <c r="DP2806" s="74">
        <v>-103.13</v>
      </c>
    </row>
    <row r="2807" spans="1:146" x14ac:dyDescent="0.25">
      <c r="A2807" s="127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27">
        <v>45034</v>
      </c>
      <c r="B2808" s="24" t="s">
        <v>27</v>
      </c>
      <c r="C2808" s="21">
        <f t="shared" si="48"/>
        <v>-26.27</v>
      </c>
      <c r="AG2808" s="106">
        <v>-8.6999999999999993</v>
      </c>
      <c r="AW2808" s="74">
        <v>-8.4</v>
      </c>
      <c r="CM2808" s="74">
        <v>-9.17</v>
      </c>
    </row>
    <row r="2809" spans="1:146" x14ac:dyDescent="0.25">
      <c r="A2809" s="127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27">
        <v>45034</v>
      </c>
      <c r="B2810" s="24" t="s">
        <v>167</v>
      </c>
      <c r="C2810" s="21">
        <f t="shared" si="48"/>
        <v>-22.7</v>
      </c>
      <c r="E2810" s="145">
        <v>-22.7</v>
      </c>
    </row>
    <row r="2811" spans="1:146" x14ac:dyDescent="0.25">
      <c r="A2811" s="127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27">
        <v>45034</v>
      </c>
      <c r="B2812" s="24" t="s">
        <v>162</v>
      </c>
      <c r="C2812" s="21">
        <f t="shared" si="48"/>
        <v>-90.33</v>
      </c>
      <c r="AC2812" s="74">
        <v>-8.24</v>
      </c>
      <c r="AG2812" s="106">
        <v>-7.9</v>
      </c>
      <c r="AN2812" s="74">
        <v>-7.25</v>
      </c>
      <c r="AR2812" s="74">
        <v>-8.39</v>
      </c>
      <c r="AW2812" s="74">
        <v>-7.75</v>
      </c>
      <c r="BC2812" s="74">
        <v>-7.85</v>
      </c>
      <c r="BI2812" s="106">
        <v>-8.61</v>
      </c>
      <c r="BR2812" s="115">
        <v>-8.5</v>
      </c>
      <c r="BU2812" s="106">
        <v>-8.69</v>
      </c>
      <c r="CG2812" s="106">
        <v>-8.6999999999999993</v>
      </c>
      <c r="CM2812" s="74">
        <v>-8.4499999999999993</v>
      </c>
    </row>
    <row r="2813" spans="1:146" x14ac:dyDescent="0.25">
      <c r="A2813" s="127">
        <v>45034</v>
      </c>
      <c r="B2813" s="24" t="s">
        <v>48</v>
      </c>
      <c r="C2813" s="21">
        <f t="shared" si="48"/>
        <v>-0.47</v>
      </c>
      <c r="BC2813" s="74">
        <v>-34.15</v>
      </c>
      <c r="BM2813" s="88">
        <v>33.68</v>
      </c>
    </row>
    <row r="2814" spans="1:146" x14ac:dyDescent="0.25">
      <c r="A2814" s="127">
        <v>45034</v>
      </c>
      <c r="B2814" s="24" t="s">
        <v>68</v>
      </c>
      <c r="C2814" s="21">
        <f t="shared" si="48"/>
        <v>-69.540000000000006</v>
      </c>
      <c r="AW2814" s="74">
        <v>-35.86</v>
      </c>
      <c r="BM2814" s="88">
        <v>-33.68</v>
      </c>
    </row>
    <row r="2815" spans="1:146" x14ac:dyDescent="0.25">
      <c r="A2815" s="127">
        <v>45034</v>
      </c>
      <c r="B2815" s="24" t="s">
        <v>222</v>
      </c>
      <c r="C2815" s="21">
        <f t="shared" si="48"/>
        <v>-51.265000000000001</v>
      </c>
      <c r="AR2815" s="74">
        <v>-8.4700000000000006</v>
      </c>
      <c r="AW2815" s="74">
        <v>-8.4499999999999993</v>
      </c>
      <c r="BC2815" s="74">
        <v>-8.5</v>
      </c>
      <c r="BG2815" s="42">
        <v>-8.57</v>
      </c>
      <c r="BR2815" s="115">
        <v>-8.4649999999999999</v>
      </c>
      <c r="BU2815" s="106">
        <v>-8.81</v>
      </c>
    </row>
    <row r="2816" spans="1:146" x14ac:dyDescent="0.25">
      <c r="A2816" s="127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27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27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27">
        <v>45040</v>
      </c>
      <c r="B2819" s="24" t="s">
        <v>17</v>
      </c>
      <c r="C2819" s="21">
        <f t="shared" si="48"/>
        <v>-35.159999999999997</v>
      </c>
      <c r="BU2819" s="106">
        <v>-35.159999999999997</v>
      </c>
    </row>
    <row r="2820" spans="1:226" x14ac:dyDescent="0.25">
      <c r="A2820" s="127">
        <v>45040</v>
      </c>
      <c r="B2820" s="24" t="s">
        <v>174</v>
      </c>
      <c r="C2820" s="21">
        <f t="shared" si="48"/>
        <v>-14.24</v>
      </c>
      <c r="BG2820" s="42">
        <v>-8.89</v>
      </c>
      <c r="BI2820" s="106">
        <v>-5.35</v>
      </c>
    </row>
    <row r="2821" spans="1:226" x14ac:dyDescent="0.25">
      <c r="A2821" s="127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27">
        <v>45040</v>
      </c>
      <c r="B2822" s="24" t="s">
        <v>57</v>
      </c>
      <c r="C2822" s="21">
        <f t="shared" si="48"/>
        <v>-24.28</v>
      </c>
      <c r="DK2822" s="74">
        <v>-8.0500000000000007</v>
      </c>
      <c r="DP2822" s="74">
        <v>-16.23</v>
      </c>
    </row>
    <row r="2823" spans="1:226" x14ac:dyDescent="0.25">
      <c r="A2823" s="127">
        <v>45041</v>
      </c>
      <c r="B2823" s="24" t="s">
        <v>113</v>
      </c>
      <c r="C2823" s="21">
        <f t="shared" si="48"/>
        <v>1222.02</v>
      </c>
      <c r="BI2823" s="106">
        <v>199.15</v>
      </c>
      <c r="BO2823" s="74">
        <v>203.57</v>
      </c>
      <c r="CA2823" s="106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27">
        <v>45041</v>
      </c>
      <c r="B2824" s="24" t="s">
        <v>133</v>
      </c>
      <c r="C2824" s="21">
        <f t="shared" si="48"/>
        <v>-202.19</v>
      </c>
      <c r="AW2824" s="74">
        <v>-33.909999999999997</v>
      </c>
      <c r="BC2824" s="74">
        <v>-33.200000000000003</v>
      </c>
      <c r="BI2824" s="106">
        <v>-34.700000000000003</v>
      </c>
      <c r="BO2824" s="74">
        <v>-33.93</v>
      </c>
      <c r="CA2824" s="106">
        <v>-33.200000000000003</v>
      </c>
      <c r="CG2824" s="106">
        <v>-33.25</v>
      </c>
    </row>
    <row r="2825" spans="1:226" x14ac:dyDescent="0.25">
      <c r="A2825" s="127">
        <v>45041</v>
      </c>
      <c r="B2825" s="24" t="s">
        <v>43</v>
      </c>
      <c r="C2825" s="21">
        <f t="shared" si="48"/>
        <v>-502.69</v>
      </c>
      <c r="BC2825" s="74">
        <v>-64.599999999999994</v>
      </c>
      <c r="BI2825" s="106">
        <v>-65.75</v>
      </c>
      <c r="BO2825" s="74">
        <v>-101.34</v>
      </c>
      <c r="BU2825" s="106">
        <v>-171.3</v>
      </c>
      <c r="CA2825" s="106">
        <v>-33.1</v>
      </c>
      <c r="CG2825" s="106">
        <v>-66.599999999999994</v>
      </c>
    </row>
    <row r="2826" spans="1:226" x14ac:dyDescent="0.25">
      <c r="A2826" s="127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74">
        <v>-5.5</v>
      </c>
      <c r="BC2826" s="74">
        <v>-8.25</v>
      </c>
      <c r="BU2826" s="106">
        <v>-8.7200000000000006</v>
      </c>
      <c r="CJ2826" s="115">
        <v>-8.2949999999999999</v>
      </c>
      <c r="CM2826" s="74">
        <v>-8.07</v>
      </c>
      <c r="CS2826" s="74">
        <v>-8.8000000000000007</v>
      </c>
    </row>
    <row r="2827" spans="1:226" x14ac:dyDescent="0.25">
      <c r="A2827" s="127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15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27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27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27">
        <v>45041</v>
      </c>
      <c r="B2830" s="24" t="s">
        <v>32</v>
      </c>
      <c r="C2830" s="21">
        <f t="shared" si="48"/>
        <v>-217.87</v>
      </c>
      <c r="AR2830" s="74">
        <v>-16.84</v>
      </c>
      <c r="AW2830" s="74">
        <v>-17.3</v>
      </c>
      <c r="BC2830" s="74">
        <v>-33.200000000000003</v>
      </c>
      <c r="BI2830" s="106">
        <v>-32.950000000000003</v>
      </c>
      <c r="BO2830" s="74">
        <v>-16.52</v>
      </c>
      <c r="BU2830" s="106">
        <v>-33.950000000000003</v>
      </c>
      <c r="CG2830" s="106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27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27">
        <v>45041</v>
      </c>
      <c r="B2832" s="24" t="s">
        <v>17</v>
      </c>
      <c r="C2832" s="21">
        <f t="shared" si="48"/>
        <v>0</v>
      </c>
    </row>
    <row r="2833" spans="1:221" x14ac:dyDescent="0.25">
      <c r="A2833" s="127">
        <v>45041</v>
      </c>
      <c r="B2833" s="24" t="s">
        <v>17</v>
      </c>
      <c r="C2833" s="21">
        <f t="shared" si="48"/>
        <v>-502.82</v>
      </c>
      <c r="AR2833" s="74">
        <v>-67.59</v>
      </c>
      <c r="AW2833" s="74">
        <v>-66.3</v>
      </c>
      <c r="BC2833" s="74">
        <v>-35.450000000000003</v>
      </c>
      <c r="CG2833" s="106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27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74">
        <v>-15.5</v>
      </c>
      <c r="BI2834" s="106">
        <v>-16.3</v>
      </c>
      <c r="BO2834" s="74">
        <v>-17.23</v>
      </c>
      <c r="BU2834" s="106">
        <v>-15.82</v>
      </c>
      <c r="CA2834" s="106">
        <v>-49.85</v>
      </c>
    </row>
    <row r="2835" spans="1:221" x14ac:dyDescent="0.25">
      <c r="A2835" s="127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106">
        <v>-34.090000000000003</v>
      </c>
    </row>
    <row r="2836" spans="1:221" x14ac:dyDescent="0.25">
      <c r="A2836" s="127">
        <v>45042</v>
      </c>
      <c r="B2836" s="24" t="s">
        <v>139</v>
      </c>
      <c r="C2836" s="21">
        <f t="shared" si="48"/>
        <v>-59.27</v>
      </c>
      <c r="BU2836" s="106">
        <f>-8.78-8.44</f>
        <v>-17.22</v>
      </c>
      <c r="CJ2836" s="115">
        <v>-8.3800000000000008</v>
      </c>
      <c r="CM2836" s="74">
        <f>-7.77-8.65</f>
        <v>-16.420000000000002</v>
      </c>
      <c r="CS2836" s="74">
        <f>-8.55-8.7</f>
        <v>-17.25</v>
      </c>
    </row>
    <row r="2837" spans="1:221" x14ac:dyDescent="0.25">
      <c r="A2837" s="127">
        <v>45042</v>
      </c>
      <c r="B2837" s="24" t="s">
        <v>115</v>
      </c>
      <c r="C2837" s="21">
        <f t="shared" si="48"/>
        <v>0</v>
      </c>
    </row>
    <row r="2838" spans="1:221" x14ac:dyDescent="0.25">
      <c r="A2838" s="127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27">
        <v>45042</v>
      </c>
      <c r="B2839" s="24" t="s">
        <v>43</v>
      </c>
      <c r="C2839" s="21">
        <f t="shared" si="48"/>
        <v>-34.68</v>
      </c>
      <c r="BU2839" s="106">
        <v>-34.68</v>
      </c>
    </row>
    <row r="2840" spans="1:221" x14ac:dyDescent="0.25">
      <c r="A2840" s="127">
        <v>45042</v>
      </c>
      <c r="B2840" s="24" t="s">
        <v>20</v>
      </c>
      <c r="C2840" s="21">
        <f t="shared" si="48"/>
        <v>-17.079999999999998</v>
      </c>
      <c r="BO2840" s="74">
        <v>-8.7799999999999994</v>
      </c>
      <c r="CA2840" s="106">
        <v>-8.3000000000000007</v>
      </c>
    </row>
    <row r="2841" spans="1:221" x14ac:dyDescent="0.25">
      <c r="A2841" s="127">
        <v>45042</v>
      </c>
      <c r="B2841" s="24" t="s">
        <v>139</v>
      </c>
      <c r="C2841" s="21">
        <f t="shared" si="48"/>
        <v>-33.83</v>
      </c>
      <c r="BO2841" s="74">
        <v>-8.6300000000000008</v>
      </c>
      <c r="CA2841" s="106">
        <v>-16.600000000000001</v>
      </c>
      <c r="CG2841" s="106">
        <v>-8.6</v>
      </c>
    </row>
    <row r="2842" spans="1:221" x14ac:dyDescent="0.25">
      <c r="A2842" s="127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27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27">
        <v>45042</v>
      </c>
      <c r="B2844" s="24" t="s">
        <v>83</v>
      </c>
      <c r="C2844" s="21">
        <f t="shared" si="48"/>
        <v>0</v>
      </c>
    </row>
    <row r="2845" spans="1:221" x14ac:dyDescent="0.25">
      <c r="A2845" s="127">
        <v>45042</v>
      </c>
      <c r="B2845" s="24" t="s">
        <v>68</v>
      </c>
      <c r="C2845" s="21">
        <f t="shared" si="48"/>
        <v>-33.200000000000003</v>
      </c>
      <c r="CA2845" s="106">
        <v>-33.200000000000003</v>
      </c>
    </row>
    <row r="2846" spans="1:221" x14ac:dyDescent="0.25">
      <c r="A2846" s="127">
        <v>45043</v>
      </c>
      <c r="B2846" s="24" t="s">
        <v>14</v>
      </c>
      <c r="C2846" s="21">
        <f t="shared" si="48"/>
        <v>-223.81</v>
      </c>
      <c r="AN2846" s="74">
        <v>-15.3</v>
      </c>
      <c r="AR2846" s="74">
        <v>-16.920000000000002</v>
      </c>
      <c r="AW2846" s="74">
        <v>-34.39</v>
      </c>
      <c r="BC2846" s="74">
        <f>-34.1-7.95-7.85-5.85</f>
        <v>-55.75</v>
      </c>
      <c r="BI2846" s="106">
        <v>-32.950000000000003</v>
      </c>
      <c r="BU2846" s="106">
        <v>-34.950000000000003</v>
      </c>
      <c r="CA2846" s="106">
        <v>-24.9</v>
      </c>
      <c r="CG2846" s="106">
        <v>-8.65</v>
      </c>
    </row>
    <row r="2847" spans="1:221" x14ac:dyDescent="0.25">
      <c r="A2847" s="127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27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27">
        <v>45043</v>
      </c>
      <c r="B2849" s="24" t="s">
        <v>17</v>
      </c>
      <c r="C2849" s="21">
        <f t="shared" si="48"/>
        <v>-40.89</v>
      </c>
      <c r="BU2849" s="106">
        <v>-16.489999999999998</v>
      </c>
      <c r="CS2849" s="74">
        <v>-16.079999999999998</v>
      </c>
      <c r="CV2849" s="115">
        <v>-8.32</v>
      </c>
    </row>
    <row r="2850" spans="1:237" x14ac:dyDescent="0.25">
      <c r="A2850" s="127">
        <v>45043</v>
      </c>
      <c r="B2850" s="24" t="s">
        <v>59</v>
      </c>
      <c r="C2850" s="21">
        <f t="shared" si="48"/>
        <v>-7.06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27">
        <v>45044</v>
      </c>
      <c r="B2851" s="24" t="s">
        <v>43</v>
      </c>
      <c r="C2851" s="21">
        <f t="shared" si="48"/>
        <v>-234.43</v>
      </c>
      <c r="AR2851" s="74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27">
        <v>45044</v>
      </c>
      <c r="B2852" s="24" t="s">
        <v>78</v>
      </c>
      <c r="C2852" s="21">
        <f t="shared" si="48"/>
        <v>-34.590000000000003</v>
      </c>
      <c r="BO2852" s="74">
        <v>-8.61</v>
      </c>
      <c r="BU2852" s="106">
        <v>-17.329999999999998</v>
      </c>
      <c r="CS2852" s="74">
        <v>-8.65</v>
      </c>
    </row>
    <row r="2853" spans="1:237" x14ac:dyDescent="0.25">
      <c r="A2853" s="127">
        <v>45044</v>
      </c>
      <c r="B2853" s="24" t="s">
        <v>138</v>
      </c>
      <c r="C2853" s="21">
        <f t="shared" si="48"/>
        <v>-8.5299999999999994</v>
      </c>
      <c r="BO2853" s="74">
        <v>-8.5299999999999994</v>
      </c>
    </row>
    <row r="2854" spans="1:237" x14ac:dyDescent="0.25">
      <c r="A2854" s="127">
        <v>45044</v>
      </c>
      <c r="B2854" s="24" t="s">
        <v>95</v>
      </c>
      <c r="C2854" s="21">
        <f t="shared" si="48"/>
        <v>-165.9</v>
      </c>
      <c r="AW2854" s="74">
        <v>-32.840000000000003</v>
      </c>
      <c r="CM2854" s="74">
        <v>-63.96</v>
      </c>
      <c r="CS2854" s="74">
        <v>-69.099999999999994</v>
      </c>
    </row>
    <row r="2855" spans="1:237" x14ac:dyDescent="0.25">
      <c r="A2855" s="127">
        <v>45045</v>
      </c>
      <c r="B2855" s="24" t="s">
        <v>151</v>
      </c>
      <c r="C2855" s="21">
        <f t="shared" si="48"/>
        <v>-49.8</v>
      </c>
      <c r="DK2855" s="74">
        <v>-49.8</v>
      </c>
    </row>
    <row r="2856" spans="1:237" x14ac:dyDescent="0.25">
      <c r="A2856" s="127">
        <v>45045</v>
      </c>
      <c r="B2856" s="24" t="s">
        <v>100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27">
        <v>45045</v>
      </c>
      <c r="B2857" s="24" t="s">
        <v>113</v>
      </c>
      <c r="C2857" s="21">
        <f t="shared" si="48"/>
        <v>2871.23</v>
      </c>
      <c r="AC2857" s="74">
        <v>213.95</v>
      </c>
      <c r="AW2857" s="74">
        <v>234.54</v>
      </c>
      <c r="CM2857" s="74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27">
        <v>45045</v>
      </c>
      <c r="B2858" s="24" t="s">
        <v>113</v>
      </c>
      <c r="C2858" s="21">
        <f t="shared" si="48"/>
        <v>1552.64</v>
      </c>
      <c r="BI2858" s="106">
        <v>329.95</v>
      </c>
      <c r="BO2858" s="74">
        <v>136.44999999999999</v>
      </c>
      <c r="BU2858" s="106">
        <v>376.29</v>
      </c>
      <c r="CA2858" s="106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27">
        <v>45045</v>
      </c>
      <c r="B2859" s="24" t="s">
        <v>48</v>
      </c>
      <c r="C2859" s="21">
        <f t="shared" si="48"/>
        <v>-25.46</v>
      </c>
      <c r="AW2859" s="74">
        <v>-8.33</v>
      </c>
      <c r="BU2859" s="106">
        <v>-8.83</v>
      </c>
      <c r="CA2859" s="106">
        <v>-8.3000000000000007</v>
      </c>
    </row>
    <row r="2860" spans="1:237" x14ac:dyDescent="0.25">
      <c r="A2860" s="127">
        <v>45045</v>
      </c>
      <c r="B2860" s="24" t="s">
        <v>95</v>
      </c>
      <c r="C2860" s="21">
        <f t="shared" si="48"/>
        <v>-837.03</v>
      </c>
      <c r="AC2860" s="74">
        <v>-61.48</v>
      </c>
      <c r="AR2860" s="74">
        <v>-99.8</v>
      </c>
      <c r="BI2860" s="106">
        <v>-98.65</v>
      </c>
      <c r="BO2860" s="74">
        <v>-33.79</v>
      </c>
      <c r="BU2860" s="106">
        <v>-172.13</v>
      </c>
      <c r="CA2860" s="106">
        <v>-33.1</v>
      </c>
      <c r="CG2860" s="106">
        <v>-34.1</v>
      </c>
      <c r="CM2860" s="74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27">
        <v>45045</v>
      </c>
      <c r="B2861" s="24" t="s">
        <v>84</v>
      </c>
      <c r="C2861" s="21">
        <f t="shared" si="48"/>
        <v>-83.65</v>
      </c>
      <c r="BI2861" s="106">
        <v>-16.5</v>
      </c>
      <c r="BO2861" s="74">
        <v>-17.53</v>
      </c>
      <c r="BU2861" s="106">
        <v>-17.47</v>
      </c>
      <c r="CG2861" s="106">
        <v>-17.25</v>
      </c>
      <c r="CM2861" s="74">
        <v>-14.9</v>
      </c>
    </row>
    <row r="2862" spans="1:237" x14ac:dyDescent="0.25">
      <c r="A2862" s="127">
        <v>45048</v>
      </c>
      <c r="B2862" s="24" t="s">
        <v>152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106">
        <v>-32.950000000000003</v>
      </c>
      <c r="BO2862" s="74">
        <v>-68.27</v>
      </c>
      <c r="BU2862" s="106">
        <v>-103</v>
      </c>
      <c r="CA2862" s="106">
        <v>-67</v>
      </c>
      <c r="CG2862" s="106">
        <v>-68.25</v>
      </c>
      <c r="CM2862" s="74">
        <v>-31.9</v>
      </c>
      <c r="DE2862" s="74">
        <v>-66.84</v>
      </c>
      <c r="EA2862" s="74">
        <v>-100.37</v>
      </c>
    </row>
    <row r="2863" spans="1:237" x14ac:dyDescent="0.25">
      <c r="A2863" s="127">
        <v>45048</v>
      </c>
      <c r="B2863" s="24" t="s">
        <v>152</v>
      </c>
      <c r="C2863" s="21">
        <f t="shared" si="48"/>
        <v>-1623.8</v>
      </c>
      <c r="AC2863" s="74">
        <v>-28.4</v>
      </c>
      <c r="CG2863" s="106">
        <v>-103.15</v>
      </c>
      <c r="CM2863" s="74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27">
        <v>45048</v>
      </c>
      <c r="B2864" s="24" t="s">
        <v>32</v>
      </c>
      <c r="C2864" s="21">
        <f t="shared" si="48"/>
        <v>-49.4</v>
      </c>
      <c r="BI2864" s="106">
        <v>-32.799999999999997</v>
      </c>
      <c r="CA2864" s="106">
        <v>-16.600000000000001</v>
      </c>
    </row>
    <row r="2865" spans="1:226" x14ac:dyDescent="0.25">
      <c r="A2865" s="127">
        <v>45048</v>
      </c>
      <c r="B2865" s="24" t="s">
        <v>133</v>
      </c>
      <c r="C2865" s="21">
        <f t="shared" ref="C2865:C2928" si="49">SUM(D2865:JT2865)</f>
        <v>-135.25</v>
      </c>
      <c r="AW2865" s="74">
        <v>-34.86</v>
      </c>
      <c r="BI2865" s="106">
        <v>-32.85</v>
      </c>
      <c r="BU2865" s="106">
        <v>-34.340000000000003</v>
      </c>
      <c r="CA2865" s="106">
        <v>-33.200000000000003</v>
      </c>
    </row>
    <row r="2866" spans="1:226" x14ac:dyDescent="0.25">
      <c r="A2866" s="127">
        <v>45048</v>
      </c>
      <c r="B2866" s="24" t="s">
        <v>20</v>
      </c>
      <c r="C2866" s="21">
        <f t="shared" si="49"/>
        <v>-51.37</v>
      </c>
      <c r="AR2866" s="74">
        <v>-8.4499999999999993</v>
      </c>
      <c r="AW2866" s="74">
        <v>-8.7799999999999994</v>
      </c>
      <c r="CS2866" s="74">
        <v>-8.6999999999999993</v>
      </c>
      <c r="HA2866" s="115">
        <v>-25.44</v>
      </c>
    </row>
    <row r="2867" spans="1:226" x14ac:dyDescent="0.25">
      <c r="A2867" s="127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27">
        <v>45048</v>
      </c>
      <c r="B2868" s="24" t="s">
        <v>75</v>
      </c>
      <c r="C2868" s="21">
        <f t="shared" si="49"/>
        <v>-41.56</v>
      </c>
      <c r="BO2868" s="74">
        <v>-8.02</v>
      </c>
      <c r="BU2868" s="106">
        <v>-16.940000000000001</v>
      </c>
      <c r="CA2868" s="106">
        <v>-16.600000000000001</v>
      </c>
    </row>
    <row r="2869" spans="1:226" x14ac:dyDescent="0.25">
      <c r="A2869" s="127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27">
        <v>45048</v>
      </c>
      <c r="B2870" s="24" t="s">
        <v>68</v>
      </c>
      <c r="C2870" s="21">
        <f t="shared" si="49"/>
        <v>-32.950000000000003</v>
      </c>
      <c r="BI2870" s="106">
        <v>-32.950000000000003</v>
      </c>
    </row>
    <row r="2871" spans="1:226" x14ac:dyDescent="0.25">
      <c r="A2871" s="127">
        <v>45049</v>
      </c>
      <c r="B2871" s="24" t="s">
        <v>17</v>
      </c>
      <c r="C2871" s="21">
        <f t="shared" si="49"/>
        <v>-91.35</v>
      </c>
      <c r="V2871" s="74">
        <v>-8.01</v>
      </c>
      <c r="AR2871" s="74">
        <v>-8.4</v>
      </c>
      <c r="AW2871" s="74">
        <v>-8.84</v>
      </c>
      <c r="BI2871" s="106">
        <v>-33</v>
      </c>
      <c r="BO2871" s="74">
        <v>-8.84</v>
      </c>
      <c r="BU2871" s="106">
        <v>-15.96</v>
      </c>
      <c r="CA2871" s="106">
        <v>-8.3000000000000007</v>
      </c>
    </row>
    <row r="2872" spans="1:226" x14ac:dyDescent="0.25">
      <c r="A2872" s="127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27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27">
        <v>45049</v>
      </c>
      <c r="B2874" s="24" t="s">
        <v>151</v>
      </c>
      <c r="C2874" s="21">
        <f t="shared" si="49"/>
        <v>-8.25</v>
      </c>
      <c r="CV2874" s="115">
        <v>-8.25</v>
      </c>
    </row>
    <row r="2875" spans="1:226" x14ac:dyDescent="0.25">
      <c r="A2875" s="127">
        <v>45049</v>
      </c>
      <c r="B2875" s="24" t="s">
        <v>144</v>
      </c>
      <c r="C2875" s="21">
        <f t="shared" si="49"/>
        <v>-342.9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27">
        <v>45050</v>
      </c>
      <c r="B2876" s="24" t="s">
        <v>25</v>
      </c>
      <c r="C2876" s="21">
        <f t="shared" si="49"/>
        <v>-65.760000000000005</v>
      </c>
      <c r="AR2876" s="74">
        <v>-8.5</v>
      </c>
      <c r="AW2876" s="74">
        <v>-7.06</v>
      </c>
      <c r="BI2876" s="106">
        <v>-16.45</v>
      </c>
      <c r="BU2876" s="106">
        <v>-16.45</v>
      </c>
      <c r="CG2876" s="106">
        <v>-17.3</v>
      </c>
    </row>
    <row r="2877" spans="1:226" x14ac:dyDescent="0.25">
      <c r="A2877" s="127">
        <v>45050</v>
      </c>
      <c r="B2877" s="24" t="s">
        <v>48</v>
      </c>
      <c r="C2877" s="21">
        <f t="shared" si="49"/>
        <v>51.35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27">
        <v>45051</v>
      </c>
      <c r="B2878" s="24" t="s">
        <v>65</v>
      </c>
      <c r="C2878" s="21">
        <f t="shared" si="49"/>
        <v>0</v>
      </c>
    </row>
    <row r="2879" spans="1:226" x14ac:dyDescent="0.25">
      <c r="A2879" s="127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74">
        <v>-5.15</v>
      </c>
      <c r="AW2879" s="74">
        <v>-8.8800000000000008</v>
      </c>
      <c r="BI2879" s="106">
        <v>-8.9499999999999993</v>
      </c>
      <c r="CM2879" s="74">
        <v>-8.07</v>
      </c>
      <c r="CS2879" s="74">
        <v>-8.65</v>
      </c>
    </row>
    <row r="2880" spans="1:226" x14ac:dyDescent="0.25">
      <c r="A2880" s="127">
        <v>45051</v>
      </c>
      <c r="B2880" s="24" t="s">
        <v>152</v>
      </c>
      <c r="C2880" s="21">
        <f t="shared" si="49"/>
        <v>-388.52</v>
      </c>
      <c r="P2880" s="106">
        <v>-32.4</v>
      </c>
      <c r="Z2880" s="79">
        <v>-64.64</v>
      </c>
      <c r="CM2880" s="74">
        <v>-63.7</v>
      </c>
      <c r="DK2880" s="74">
        <v>-68.25</v>
      </c>
      <c r="DU2880" s="106">
        <v>-60.11</v>
      </c>
      <c r="DY2880" s="42">
        <f>-8.9-8.79</f>
        <v>-17.690000000000001</v>
      </c>
      <c r="EA2880" s="74">
        <f>-31.9-34.19-8.46-7.18</f>
        <v>-81.73</v>
      </c>
    </row>
    <row r="2881" spans="1:237" x14ac:dyDescent="0.25">
      <c r="A2881" s="127">
        <v>45051</v>
      </c>
      <c r="B2881" s="24" t="s">
        <v>163</v>
      </c>
      <c r="C2881" s="21">
        <f t="shared" si="49"/>
        <v>200.17500000000001</v>
      </c>
      <c r="AZ2881" s="115">
        <v>32.674999999999997</v>
      </c>
      <c r="BF2881" s="115">
        <v>33.335000000000001</v>
      </c>
      <c r="BL2881" s="115">
        <v>32.18</v>
      </c>
      <c r="BR2881" s="115">
        <v>34.090000000000003</v>
      </c>
      <c r="BX2881" s="115">
        <v>34.645000000000003</v>
      </c>
      <c r="CJ2881" s="115">
        <v>33.25</v>
      </c>
    </row>
    <row r="2882" spans="1:237" x14ac:dyDescent="0.25">
      <c r="A2882" s="127">
        <v>45051</v>
      </c>
      <c r="B2882" s="24" t="s">
        <v>17</v>
      </c>
      <c r="C2882" s="21">
        <f t="shared" si="49"/>
        <v>-56.84</v>
      </c>
      <c r="AN2882" s="74">
        <v>-31.6</v>
      </c>
      <c r="AW2882" s="74">
        <v>-8.69</v>
      </c>
      <c r="BI2882" s="106">
        <v>-16.55</v>
      </c>
    </row>
    <row r="2883" spans="1:237" x14ac:dyDescent="0.25">
      <c r="A2883" s="127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27">
        <v>45054</v>
      </c>
      <c r="B2884" s="24" t="s">
        <v>113</v>
      </c>
      <c r="C2884" s="21">
        <f t="shared" si="49"/>
        <v>2771.82</v>
      </c>
      <c r="CM2884" s="74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27">
        <v>45054</v>
      </c>
      <c r="B2885" s="24" t="s">
        <v>43</v>
      </c>
      <c r="C2885" s="21">
        <f t="shared" si="49"/>
        <v>-304.75</v>
      </c>
      <c r="AW2885" s="74">
        <v>-133.01</v>
      </c>
      <c r="CY2885" s="74">
        <v>-171.74</v>
      </c>
    </row>
    <row r="2886" spans="1:237" x14ac:dyDescent="0.25">
      <c r="A2886" s="127">
        <v>45054</v>
      </c>
      <c r="B2886" s="24" t="s">
        <v>133</v>
      </c>
      <c r="C2886" s="21">
        <f t="shared" si="49"/>
        <v>-161.4</v>
      </c>
      <c r="AR2886" s="74">
        <v>-33.65</v>
      </c>
      <c r="AW2886" s="74">
        <v>-33.590000000000003</v>
      </c>
      <c r="CM2886" s="74">
        <v>-64.650000000000006</v>
      </c>
      <c r="DE2886" s="74">
        <v>-29.51</v>
      </c>
    </row>
    <row r="2887" spans="1:237" x14ac:dyDescent="0.25">
      <c r="A2887" s="127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27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27">
        <v>45054</v>
      </c>
      <c r="B2889" s="24" t="s">
        <v>167</v>
      </c>
      <c r="C2889" s="21">
        <f t="shared" si="49"/>
        <v>-24.31</v>
      </c>
      <c r="D2889" s="145">
        <v>-8.3000000000000007</v>
      </c>
      <c r="E2889" s="145">
        <v>-16.010000000000002</v>
      </c>
    </row>
    <row r="2890" spans="1:237" x14ac:dyDescent="0.25">
      <c r="A2890" s="127">
        <v>45055</v>
      </c>
      <c r="B2890" s="24" t="s">
        <v>113</v>
      </c>
      <c r="C2890" s="21">
        <f t="shared" si="49"/>
        <v>1007.76</v>
      </c>
      <c r="BO2890" s="74">
        <v>167.6</v>
      </c>
      <c r="CA2890" s="106">
        <v>168.2</v>
      </c>
      <c r="CG2890" s="106">
        <v>172.7</v>
      </c>
      <c r="HF2890" s="79">
        <v>499.26</v>
      </c>
    </row>
    <row r="2891" spans="1:237" x14ac:dyDescent="0.25">
      <c r="A2891" s="127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27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27">
        <v>45055</v>
      </c>
      <c r="B2893" s="24" t="s">
        <v>20</v>
      </c>
      <c r="C2893" s="21">
        <f t="shared" si="49"/>
        <v>-8.3000000000000007</v>
      </c>
      <c r="BI2893" s="106">
        <v>-8.3000000000000007</v>
      </c>
    </row>
    <row r="2894" spans="1:237" x14ac:dyDescent="0.25">
      <c r="A2894" s="127">
        <v>45055</v>
      </c>
      <c r="B2894" s="24" t="s">
        <v>33</v>
      </c>
      <c r="C2894" s="21">
        <f t="shared" si="49"/>
        <v>-24.65</v>
      </c>
      <c r="AN2894" s="74">
        <v>-7.95</v>
      </c>
      <c r="BI2894" s="106">
        <v>-8.25</v>
      </c>
      <c r="CA2894" s="106">
        <v>-8.4499999999999993</v>
      </c>
    </row>
    <row r="2895" spans="1:237" x14ac:dyDescent="0.25">
      <c r="A2895" s="127">
        <v>45055</v>
      </c>
      <c r="B2895" s="24" t="s">
        <v>139</v>
      </c>
      <c r="C2895" s="21">
        <f t="shared" si="49"/>
        <v>-8.6</v>
      </c>
      <c r="CG2895" s="106">
        <v>-8.6</v>
      </c>
    </row>
    <row r="2896" spans="1:237" x14ac:dyDescent="0.25">
      <c r="A2896" s="127">
        <v>45055</v>
      </c>
      <c r="B2896" s="24" t="s">
        <v>39</v>
      </c>
      <c r="C2896" s="21">
        <f t="shared" si="49"/>
        <v>-42.244999999999997</v>
      </c>
      <c r="BF2896" s="115">
        <v>-8.35</v>
      </c>
      <c r="BR2896" s="115">
        <v>-8.4600000000000009</v>
      </c>
      <c r="BX2896" s="115">
        <v>-8.6349999999999998</v>
      </c>
      <c r="BY2896" s="42">
        <v>-8.4499999999999993</v>
      </c>
      <c r="CJ2896" s="115">
        <v>-8.35</v>
      </c>
    </row>
    <row r="2897" spans="1:224" x14ac:dyDescent="0.25">
      <c r="A2897" s="127">
        <v>45055</v>
      </c>
      <c r="B2897" s="29" t="s">
        <v>59</v>
      </c>
      <c r="C2897" s="21">
        <f t="shared" si="49"/>
        <v>-12.4</v>
      </c>
      <c r="CY2897" s="74">
        <v>-7.53</v>
      </c>
      <c r="DE2897" s="74">
        <v>-4.87</v>
      </c>
    </row>
    <row r="2898" spans="1:224" x14ac:dyDescent="0.25">
      <c r="A2898" s="127">
        <v>45056</v>
      </c>
      <c r="B2898" s="24" t="s">
        <v>17</v>
      </c>
      <c r="C2898" s="21">
        <f t="shared" si="49"/>
        <v>-33.25</v>
      </c>
      <c r="BO2898" s="74">
        <v>-24.85</v>
      </c>
      <c r="CA2898" s="106">
        <v>-8.4</v>
      </c>
    </row>
    <row r="2899" spans="1:224" x14ac:dyDescent="0.25">
      <c r="A2899" s="127">
        <v>45056</v>
      </c>
      <c r="B2899" s="24" t="s">
        <v>133</v>
      </c>
      <c r="C2899" s="21">
        <f t="shared" si="49"/>
        <v>0</v>
      </c>
    </row>
    <row r="2900" spans="1:224" x14ac:dyDescent="0.25">
      <c r="A2900" s="127">
        <v>45056</v>
      </c>
      <c r="B2900" s="29" t="s">
        <v>32</v>
      </c>
      <c r="C2900" s="21">
        <f t="shared" si="49"/>
        <v>-42.274999999999999</v>
      </c>
      <c r="AU2900" s="42">
        <v>-16.77</v>
      </c>
      <c r="BR2900" s="115">
        <v>-8.4949999999999992</v>
      </c>
      <c r="CK2900" s="42">
        <v>-17.010000000000002</v>
      </c>
    </row>
    <row r="2901" spans="1:224" x14ac:dyDescent="0.25">
      <c r="A2901" s="127">
        <v>45056</v>
      </c>
      <c r="B2901" s="29" t="s">
        <v>152</v>
      </c>
      <c r="C2901" s="21">
        <f t="shared" si="49"/>
        <v>-665.8</v>
      </c>
      <c r="Z2901" s="79">
        <v>-65.650000000000006</v>
      </c>
      <c r="AW2901" s="74">
        <v>-59.7</v>
      </c>
      <c r="BO2901" s="74">
        <v>-32.5</v>
      </c>
      <c r="CA2901" s="106">
        <v>-67.45</v>
      </c>
      <c r="CG2901" s="106">
        <v>-103.9</v>
      </c>
      <c r="CM2901" s="74">
        <v>-96.55</v>
      </c>
      <c r="CS2901" s="74">
        <v>-136.96</v>
      </c>
      <c r="CY2901" s="74">
        <v>-103.09</v>
      </c>
    </row>
    <row r="2902" spans="1:224" x14ac:dyDescent="0.25">
      <c r="A2902" s="127">
        <v>45056</v>
      </c>
      <c r="B2902" s="29" t="s">
        <v>138</v>
      </c>
      <c r="C2902" s="21">
        <f t="shared" si="49"/>
        <v>-99.17</v>
      </c>
      <c r="AZ2902" s="115">
        <v>-8.2200000000000006</v>
      </c>
      <c r="BF2902" s="115">
        <v>-8.2850000000000001</v>
      </c>
      <c r="BL2902" s="115">
        <v>-16.12</v>
      </c>
      <c r="BO2902" s="74">
        <v>-8.1</v>
      </c>
      <c r="BR2902" s="115">
        <f>-8.565-8.57</f>
        <v>-17.135000000000002</v>
      </c>
      <c r="BX2902" s="115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27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5">
        <v>-8.19</v>
      </c>
      <c r="BF2903" s="115">
        <v>-8.4149999999999991</v>
      </c>
      <c r="BS2903" s="42">
        <v>-8.6300000000000008</v>
      </c>
    </row>
    <row r="2904" spans="1:224" x14ac:dyDescent="0.25">
      <c r="A2904" s="127">
        <v>45056</v>
      </c>
      <c r="B2904" s="29" t="s">
        <v>27</v>
      </c>
      <c r="C2904" s="21">
        <f t="shared" si="49"/>
        <v>-16.059999999999999</v>
      </c>
      <c r="BL2904" s="115">
        <v>-16.059999999999999</v>
      </c>
    </row>
    <row r="2905" spans="1:224" x14ac:dyDescent="0.25">
      <c r="A2905" s="127">
        <v>45056</v>
      </c>
      <c r="B2905" s="29" t="s">
        <v>75</v>
      </c>
      <c r="C2905" s="21">
        <f t="shared" si="49"/>
        <v>-43.62</v>
      </c>
      <c r="AN2905" s="74">
        <v>-15.85</v>
      </c>
      <c r="AR2905" s="74">
        <v>-14.45</v>
      </c>
      <c r="CM2905" s="74">
        <v>-13.32</v>
      </c>
    </row>
    <row r="2906" spans="1:224" x14ac:dyDescent="0.25">
      <c r="A2906" s="127">
        <v>45056</v>
      </c>
      <c r="B2906" s="24" t="s">
        <v>39</v>
      </c>
      <c r="C2906" s="21">
        <f t="shared" si="49"/>
        <v>-7.3</v>
      </c>
      <c r="AR2906" s="74">
        <v>-7.3</v>
      </c>
    </row>
    <row r="2907" spans="1:224" x14ac:dyDescent="0.25">
      <c r="A2907" s="127">
        <v>45057</v>
      </c>
      <c r="B2907" s="24" t="s">
        <v>133</v>
      </c>
      <c r="C2907" s="21">
        <f t="shared" si="49"/>
        <v>-52.27</v>
      </c>
      <c r="CG2907" s="106">
        <v>-17.3</v>
      </c>
      <c r="DE2907" s="74">
        <v>-34.97</v>
      </c>
    </row>
    <row r="2908" spans="1:224" x14ac:dyDescent="0.25">
      <c r="A2908" s="127">
        <v>45057</v>
      </c>
      <c r="B2908" s="24" t="s">
        <v>48</v>
      </c>
      <c r="C2908" s="21">
        <f t="shared" si="49"/>
        <v>-8.35</v>
      </c>
      <c r="BO2908" s="74">
        <v>-8.35</v>
      </c>
    </row>
    <row r="2909" spans="1:224" x14ac:dyDescent="0.25">
      <c r="A2909" s="127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27">
        <v>45058</v>
      </c>
      <c r="B2910" s="24" t="s">
        <v>139</v>
      </c>
      <c r="C2910" s="21">
        <f t="shared" si="49"/>
        <v>-50.335000000000001</v>
      </c>
      <c r="BI2910" s="106">
        <v>-8.25</v>
      </c>
      <c r="BX2910" s="115">
        <v>-8.625</v>
      </c>
      <c r="CG2910" s="106">
        <v>-8.65</v>
      </c>
      <c r="CM2910" s="74">
        <v>-7.9</v>
      </c>
      <c r="CS2910" s="74">
        <v>-8.6</v>
      </c>
      <c r="CY2910" s="74">
        <v>-8.31</v>
      </c>
    </row>
    <row r="2911" spans="1:224" x14ac:dyDescent="0.25">
      <c r="A2911" s="127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74">
        <v>-33.6</v>
      </c>
      <c r="AZ2911" s="115">
        <v>-16.265000000000001</v>
      </c>
    </row>
    <row r="2912" spans="1:224" x14ac:dyDescent="0.25">
      <c r="A2912" s="127">
        <v>45059</v>
      </c>
      <c r="B2912" s="24" t="s">
        <v>113</v>
      </c>
      <c r="C2912" s="21">
        <f t="shared" si="49"/>
        <v>1637.05</v>
      </c>
      <c r="AW2912" s="74">
        <v>67.599999999999994</v>
      </c>
      <c r="BC2912" s="74">
        <v>268.2</v>
      </c>
      <c r="BI2912" s="106">
        <v>364.95</v>
      </c>
      <c r="BO2912" s="74">
        <v>244.65</v>
      </c>
      <c r="BU2912" s="106">
        <v>316.39999999999998</v>
      </c>
      <c r="CA2912" s="106">
        <v>120.45</v>
      </c>
      <c r="CG2912" s="106">
        <v>154.65</v>
      </c>
      <c r="DP2912" s="74">
        <v>100.15</v>
      </c>
    </row>
    <row r="2913" spans="1:178" x14ac:dyDescent="0.25">
      <c r="A2913" s="127">
        <v>45059</v>
      </c>
      <c r="B2913" s="24" t="s">
        <v>166</v>
      </c>
      <c r="C2913" s="21">
        <f t="shared" si="49"/>
        <v>-333.85</v>
      </c>
      <c r="BI2913" s="106">
        <v>-83.95</v>
      </c>
      <c r="BO2913" s="74">
        <v>-85.55</v>
      </c>
      <c r="BU2913" s="106">
        <v>-80.45</v>
      </c>
      <c r="CA2913" s="106">
        <v>-83.9</v>
      </c>
    </row>
    <row r="2914" spans="1:178" x14ac:dyDescent="0.25">
      <c r="A2914" s="127">
        <v>45059</v>
      </c>
      <c r="B2914" s="24" t="s">
        <v>115</v>
      </c>
      <c r="C2914" s="21">
        <f t="shared" si="49"/>
        <v>-193.7</v>
      </c>
      <c r="FV2914" s="106">
        <f>-21.85-16.2-20-23.05-19.95-23-24.5-22.15-23</f>
        <v>-193.7</v>
      </c>
    </row>
    <row r="2915" spans="1:178" x14ac:dyDescent="0.25">
      <c r="A2915" s="127">
        <v>45061</v>
      </c>
      <c r="B2915" s="24" t="s">
        <v>133</v>
      </c>
      <c r="C2915" s="21">
        <f t="shared" si="49"/>
        <v>-200.33</v>
      </c>
      <c r="AW2915" s="74">
        <v>-33.65</v>
      </c>
      <c r="BC2915" s="74">
        <v>-33.1</v>
      </c>
      <c r="BI2915" s="106">
        <v>-33.049999999999997</v>
      </c>
      <c r="BU2915" s="106">
        <v>-31.8</v>
      </c>
      <c r="CA2915" s="106">
        <v>-33.75</v>
      </c>
      <c r="CS2915" s="74">
        <v>-34.979999999999997</v>
      </c>
    </row>
    <row r="2916" spans="1:178" x14ac:dyDescent="0.25">
      <c r="A2916" s="127">
        <v>45061</v>
      </c>
      <c r="B2916" s="24" t="s">
        <v>95</v>
      </c>
      <c r="C2916" s="21">
        <f t="shared" si="49"/>
        <v>-119.79</v>
      </c>
      <c r="AW2916" s="74">
        <v>-33.950000000000003</v>
      </c>
      <c r="CM2916" s="74">
        <v>-31.9</v>
      </c>
      <c r="CP2916" s="115">
        <f>-26.975-26.965</f>
        <v>-53.94</v>
      </c>
    </row>
    <row r="2917" spans="1:178" x14ac:dyDescent="0.25">
      <c r="A2917" s="127">
        <v>45061</v>
      </c>
      <c r="B2917" s="24" t="s">
        <v>95</v>
      </c>
      <c r="C2917" s="21">
        <f t="shared" si="49"/>
        <v>-598.13</v>
      </c>
      <c r="AN2917" s="74">
        <v>-31.65</v>
      </c>
      <c r="BC2917" s="74">
        <v>-67.150000000000006</v>
      </c>
      <c r="BI2917" s="106">
        <v>-67.099999999999994</v>
      </c>
      <c r="BO2917" s="74">
        <v>-60.4</v>
      </c>
      <c r="BU2917" s="106">
        <v>-61.75</v>
      </c>
      <c r="CA2917" s="106">
        <v>-34.4</v>
      </c>
      <c r="CG2917" s="106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27">
        <v>45061</v>
      </c>
      <c r="B2918" s="24" t="s">
        <v>14</v>
      </c>
      <c r="C2918" s="21">
        <f t="shared" si="49"/>
        <v>-133.59</v>
      </c>
      <c r="BI2918" s="106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27">
        <v>45061</v>
      </c>
      <c r="B2919" s="24" t="s">
        <v>151</v>
      </c>
      <c r="C2919" s="21">
        <f t="shared" si="49"/>
        <v>-7.75</v>
      </c>
      <c r="BU2919" s="106">
        <v>-7.75</v>
      </c>
    </row>
    <row r="2920" spans="1:178" x14ac:dyDescent="0.25">
      <c r="A2920" s="127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27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27">
        <v>45062</v>
      </c>
      <c r="B2922" s="24" t="s">
        <v>115</v>
      </c>
      <c r="C2922" s="21">
        <f t="shared" si="49"/>
        <v>94.99</v>
      </c>
      <c r="D2922" s="145">
        <v>46.115000000000002</v>
      </c>
      <c r="E2922" s="145">
        <v>48.875</v>
      </c>
    </row>
    <row r="2923" spans="1:178" x14ac:dyDescent="0.25">
      <c r="A2923" s="127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27">
        <v>45062</v>
      </c>
      <c r="B2924" s="24" t="s">
        <v>127</v>
      </c>
      <c r="C2924" s="21">
        <f t="shared" si="49"/>
        <v>-25.535</v>
      </c>
      <c r="BF2924" s="115">
        <v>-8.2850000000000001</v>
      </c>
      <c r="BY2924" s="42">
        <v>-17.25</v>
      </c>
    </row>
    <row r="2925" spans="1:178" x14ac:dyDescent="0.25">
      <c r="A2925" s="127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27">
        <v>45062</v>
      </c>
      <c r="B2926" s="24" t="s">
        <v>134</v>
      </c>
      <c r="C2926" s="21">
        <f t="shared" si="49"/>
        <v>-70.11</v>
      </c>
      <c r="E2926" s="145">
        <v>-43.2</v>
      </c>
      <c r="F2926" s="145">
        <v>-26.91</v>
      </c>
    </row>
    <row r="2927" spans="1:178" x14ac:dyDescent="0.25">
      <c r="A2927" s="127">
        <v>45062</v>
      </c>
      <c r="B2927" s="24" t="s">
        <v>84</v>
      </c>
      <c r="C2927" s="21">
        <f t="shared" si="49"/>
        <v>-26.2</v>
      </c>
      <c r="CA2927" s="106">
        <v>-17.600000000000001</v>
      </c>
      <c r="CG2927" s="106">
        <v>-8.6</v>
      </c>
    </row>
    <row r="2928" spans="1:178" x14ac:dyDescent="0.25">
      <c r="A2928" s="127">
        <v>45062</v>
      </c>
      <c r="B2928" s="24" t="s">
        <v>20</v>
      </c>
      <c r="C2928" s="21">
        <f t="shared" si="49"/>
        <v>-59.79</v>
      </c>
      <c r="BC2928" s="74">
        <v>-8.4499999999999993</v>
      </c>
      <c r="BI2928" s="106">
        <v>-8.4</v>
      </c>
      <c r="BO2928" s="74">
        <v>-8.3000000000000007</v>
      </c>
      <c r="BU2928" s="106">
        <v>-7.8</v>
      </c>
      <c r="CA2928" s="106">
        <v>-9.4499999999999993</v>
      </c>
      <c r="CG2928" s="106">
        <v>-8.6</v>
      </c>
      <c r="CS2928" s="74">
        <v>-8.7899999999999991</v>
      </c>
    </row>
    <row r="2929" spans="1:237" x14ac:dyDescent="0.25">
      <c r="A2929" s="127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27">
        <v>45062</v>
      </c>
      <c r="B2930" s="24" t="s">
        <v>48</v>
      </c>
      <c r="C2930" s="21">
        <f t="shared" si="50"/>
        <v>-44.45</v>
      </c>
      <c r="BO2930" s="74">
        <v>-16.5</v>
      </c>
      <c r="CG2930" s="106">
        <v>-16.89</v>
      </c>
      <c r="CS2930" s="74">
        <v>-11.06</v>
      </c>
    </row>
    <row r="2931" spans="1:237" x14ac:dyDescent="0.25">
      <c r="A2931" s="127">
        <v>45062</v>
      </c>
      <c r="B2931" s="24" t="s">
        <v>32</v>
      </c>
      <c r="C2931" s="21">
        <f t="shared" si="50"/>
        <v>-23.7</v>
      </c>
      <c r="BI2931" s="106">
        <v>-7.95</v>
      </c>
      <c r="BU2931" s="106">
        <v>-15.75</v>
      </c>
    </row>
    <row r="2932" spans="1:237" x14ac:dyDescent="0.25">
      <c r="A2932" s="127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27">
        <v>45063</v>
      </c>
      <c r="B2933" s="24" t="s">
        <v>32</v>
      </c>
      <c r="C2933" s="21">
        <f t="shared" si="50"/>
        <v>-141.38999999999999</v>
      </c>
      <c r="CY2933" s="74">
        <v>-84.15</v>
      </c>
      <c r="DE2933" s="74">
        <v>-57.24</v>
      </c>
    </row>
    <row r="2934" spans="1:237" x14ac:dyDescent="0.25">
      <c r="A2934" s="127">
        <v>45063</v>
      </c>
      <c r="B2934" s="24" t="s">
        <v>48</v>
      </c>
      <c r="C2934" s="21">
        <f t="shared" si="50"/>
        <v>0</v>
      </c>
    </row>
    <row r="2935" spans="1:237" x14ac:dyDescent="0.25">
      <c r="A2935" s="127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27">
        <v>45063</v>
      </c>
      <c r="B2936" s="24" t="s">
        <v>115</v>
      </c>
      <c r="C2936" s="21">
        <f t="shared" si="50"/>
        <v>102.38500000000001</v>
      </c>
      <c r="E2936" s="145">
        <v>102.38500000000001</v>
      </c>
    </row>
    <row r="2937" spans="1:237" x14ac:dyDescent="0.25">
      <c r="A2937" s="127">
        <v>45064</v>
      </c>
      <c r="B2937" s="24" t="s">
        <v>17</v>
      </c>
      <c r="C2937" s="21">
        <f t="shared" si="50"/>
        <v>-58.9</v>
      </c>
      <c r="BC2937" s="74">
        <v>-16.8</v>
      </c>
      <c r="BO2937" s="74">
        <v>-9.1999999999999993</v>
      </c>
      <c r="BU2937" s="106">
        <v>-15.7</v>
      </c>
      <c r="CG2937" s="106">
        <v>-17.2</v>
      </c>
    </row>
    <row r="2938" spans="1:237" x14ac:dyDescent="0.25">
      <c r="A2938" s="127">
        <v>45064</v>
      </c>
      <c r="B2938" s="24" t="s">
        <v>75</v>
      </c>
      <c r="C2938" s="21">
        <f t="shared" si="50"/>
        <v>-24.2</v>
      </c>
      <c r="BI2938" s="106">
        <v>-7.15</v>
      </c>
      <c r="BO2938" s="74">
        <v>-17.05</v>
      </c>
    </row>
    <row r="2939" spans="1:237" x14ac:dyDescent="0.25">
      <c r="A2939" s="127">
        <v>45064</v>
      </c>
      <c r="B2939" s="24" t="s">
        <v>27</v>
      </c>
      <c r="C2939" s="21">
        <f t="shared" si="50"/>
        <v>-33.6</v>
      </c>
      <c r="BC2939" s="74">
        <v>-16.8</v>
      </c>
      <c r="CA2939" s="106">
        <v>-16.8</v>
      </c>
    </row>
    <row r="2940" spans="1:237" x14ac:dyDescent="0.25">
      <c r="A2940" s="127">
        <v>45064</v>
      </c>
      <c r="B2940" s="24" t="s">
        <v>127</v>
      </c>
      <c r="C2940" s="21">
        <f t="shared" si="50"/>
        <v>-33.549999999999997</v>
      </c>
      <c r="BI2940" s="106">
        <v>-16.75</v>
      </c>
      <c r="BO2940" s="74">
        <v>-16.8</v>
      </c>
    </row>
    <row r="2941" spans="1:237" x14ac:dyDescent="0.25">
      <c r="A2941" s="127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27">
        <v>45064</v>
      </c>
      <c r="B2942" s="24" t="s">
        <v>78</v>
      </c>
      <c r="C2942" s="21">
        <f t="shared" si="50"/>
        <v>-55.44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27">
        <v>45065</v>
      </c>
      <c r="B2943" s="24" t="s">
        <v>19</v>
      </c>
      <c r="C2943" s="21">
        <f t="shared" si="50"/>
        <v>290.19</v>
      </c>
      <c r="AX2943" s="121">
        <v>30.58</v>
      </c>
      <c r="BE2943" s="126">
        <v>32.549999999999997</v>
      </c>
      <c r="BK2943" s="126">
        <v>33.39</v>
      </c>
      <c r="BP2943" s="121">
        <v>30.22</v>
      </c>
      <c r="BW2943" s="126">
        <v>31.92</v>
      </c>
      <c r="CC2943" s="126">
        <v>33</v>
      </c>
      <c r="CI2943" s="126">
        <v>34.81</v>
      </c>
      <c r="CO2943" s="126">
        <v>31.66</v>
      </c>
      <c r="CT2943" s="121">
        <v>32.06</v>
      </c>
    </row>
    <row r="2944" spans="1:237" x14ac:dyDescent="0.25">
      <c r="A2944" s="127">
        <v>45065</v>
      </c>
      <c r="B2944" s="24" t="s">
        <v>19</v>
      </c>
      <c r="C2944" s="21">
        <f t="shared" si="50"/>
        <v>0</v>
      </c>
    </row>
    <row r="2945" spans="1:230" x14ac:dyDescent="0.25">
      <c r="A2945" s="127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27">
        <v>45065</v>
      </c>
      <c r="B2946" s="24" t="s">
        <v>19</v>
      </c>
      <c r="C2946" s="21">
        <f t="shared" si="50"/>
        <v>-276.43</v>
      </c>
      <c r="H2946" s="84">
        <v>-14.65</v>
      </c>
      <c r="J2946" s="110">
        <v>-15.45</v>
      </c>
      <c r="GQ2946" s="92">
        <v>-14.43</v>
      </c>
      <c r="GR2946" s="50">
        <v>-8.0500000000000007</v>
      </c>
      <c r="GS2946" s="110">
        <v>-6.9</v>
      </c>
      <c r="GT2946" s="110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27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27">
        <v>45068</v>
      </c>
      <c r="B2948" s="24" t="s">
        <v>59</v>
      </c>
      <c r="C2948" s="21">
        <f t="shared" si="50"/>
        <v>-7.4</v>
      </c>
      <c r="CG2948" s="106">
        <v>-3.2</v>
      </c>
      <c r="CY2948" s="74">
        <v>-4.2</v>
      </c>
    </row>
    <row r="2949" spans="1:230" x14ac:dyDescent="0.25">
      <c r="A2949" s="127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27">
        <v>45068</v>
      </c>
      <c r="B2950" s="24" t="s">
        <v>127</v>
      </c>
      <c r="C2950" s="21">
        <f t="shared" si="50"/>
        <v>-82.08</v>
      </c>
      <c r="BW2950" s="126">
        <v>-23.35</v>
      </c>
      <c r="CC2950" s="126">
        <v>-24.77</v>
      </c>
      <c r="CI2950" s="126">
        <v>-26</v>
      </c>
      <c r="CT2950" s="121">
        <v>-7.96</v>
      </c>
    </row>
    <row r="2951" spans="1:230" x14ac:dyDescent="0.25">
      <c r="A2951" s="127">
        <v>45069</v>
      </c>
      <c r="B2951" s="24" t="s">
        <v>115</v>
      </c>
      <c r="C2951" s="21">
        <f t="shared" si="50"/>
        <v>0</v>
      </c>
    </row>
    <row r="2952" spans="1:230" x14ac:dyDescent="0.25">
      <c r="A2952" s="127">
        <v>45069</v>
      </c>
      <c r="B2952" s="24" t="s">
        <v>25</v>
      </c>
      <c r="C2952" s="21">
        <f t="shared" si="50"/>
        <v>-25.31</v>
      </c>
      <c r="Z2952" s="79">
        <v>-8.51</v>
      </c>
      <c r="CA2952" s="106">
        <v>-8.4499999999999993</v>
      </c>
      <c r="CG2952" s="106">
        <v>-8.35</v>
      </c>
    </row>
    <row r="2953" spans="1:230" x14ac:dyDescent="0.25">
      <c r="A2953" s="127">
        <v>45069</v>
      </c>
      <c r="B2953" s="24" t="s">
        <v>75</v>
      </c>
      <c r="C2953" s="21">
        <f t="shared" si="50"/>
        <v>-41.29</v>
      </c>
      <c r="AN2953" s="74">
        <v>-7.95</v>
      </c>
      <c r="CG2953" s="106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27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106">
        <v>-25.1</v>
      </c>
      <c r="BO2954" s="74">
        <v>-8.4</v>
      </c>
    </row>
    <row r="2955" spans="1:230" x14ac:dyDescent="0.25">
      <c r="A2955" s="127">
        <v>45069</v>
      </c>
      <c r="B2955" s="24" t="s">
        <v>133</v>
      </c>
      <c r="C2955" s="21">
        <f t="shared" si="50"/>
        <v>-98.81</v>
      </c>
      <c r="AN2955" s="74">
        <v>-31.85</v>
      </c>
      <c r="CG2955" s="106">
        <v>-34.25</v>
      </c>
      <c r="CY2955" s="74">
        <v>-32.71</v>
      </c>
    </row>
    <row r="2956" spans="1:230" x14ac:dyDescent="0.25">
      <c r="A2956" s="127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74">
        <v>99.45</v>
      </c>
      <c r="AW2956" s="74">
        <v>100.85</v>
      </c>
      <c r="BC2956" s="74">
        <v>95.15</v>
      </c>
      <c r="BI2956" s="106">
        <v>98.05</v>
      </c>
      <c r="BO2956" s="74">
        <v>101.8</v>
      </c>
      <c r="BU2956" s="106">
        <v>200.2</v>
      </c>
      <c r="CA2956" s="106">
        <v>136.15</v>
      </c>
      <c r="CG2956" s="106">
        <v>136.4</v>
      </c>
      <c r="CM2956" s="74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27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27">
        <v>45070</v>
      </c>
      <c r="B2958" s="24" t="s">
        <v>17</v>
      </c>
      <c r="C2958" s="21">
        <f t="shared" si="50"/>
        <v>-91.24</v>
      </c>
      <c r="AR2958" s="74">
        <v>-7.35</v>
      </c>
      <c r="AW2958" s="74">
        <v>-8.35</v>
      </c>
      <c r="BI2958" s="106">
        <f>-7.6-8.35</f>
        <v>-15.95</v>
      </c>
      <c r="BO2958" s="74">
        <v>-9.1</v>
      </c>
      <c r="BU2958" s="106">
        <v>-6.85</v>
      </c>
      <c r="CA2958" s="106">
        <v>-8.75</v>
      </c>
      <c r="CG2958" s="106">
        <v>-25.7</v>
      </c>
      <c r="DY2958" s="42">
        <v>-9.19</v>
      </c>
    </row>
    <row r="2959" spans="1:230" x14ac:dyDescent="0.25">
      <c r="A2959" s="127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27">
        <v>45070</v>
      </c>
      <c r="B2960" s="24" t="s">
        <v>65</v>
      </c>
      <c r="C2960" s="21">
        <f t="shared" si="50"/>
        <v>-97.71</v>
      </c>
      <c r="AN2960" s="74">
        <v>-63.6</v>
      </c>
      <c r="AR2960" s="74">
        <v>-34.11</v>
      </c>
    </row>
    <row r="2961" spans="1:221" x14ac:dyDescent="0.25">
      <c r="A2961" s="127">
        <v>45070</v>
      </c>
      <c r="B2961" s="24" t="s">
        <v>83</v>
      </c>
      <c r="C2961" s="21">
        <f t="shared" si="50"/>
        <v>0</v>
      </c>
    </row>
    <row r="2962" spans="1:221" x14ac:dyDescent="0.25">
      <c r="A2962" s="127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27">
        <v>45070</v>
      </c>
      <c r="B2963" s="24" t="s">
        <v>133</v>
      </c>
      <c r="C2963" s="21">
        <f t="shared" si="50"/>
        <v>-98.54</v>
      </c>
      <c r="AC2963" s="74">
        <v>-31.95</v>
      </c>
      <c r="AG2963" s="106">
        <v>-32.69</v>
      </c>
      <c r="CA2963" s="106">
        <v>-33.9</v>
      </c>
    </row>
    <row r="2964" spans="1:221" x14ac:dyDescent="0.25">
      <c r="A2964" s="127">
        <v>45070</v>
      </c>
      <c r="B2964" s="24" t="s">
        <v>59</v>
      </c>
      <c r="C2964" s="21">
        <f t="shared" si="50"/>
        <v>-11.1</v>
      </c>
      <c r="CM2964" s="74">
        <v>-6.23</v>
      </c>
      <c r="CS2964" s="74">
        <v>-4.87</v>
      </c>
    </row>
    <row r="2965" spans="1:221" x14ac:dyDescent="0.25">
      <c r="A2965" s="127">
        <v>45071</v>
      </c>
      <c r="B2965" s="24" t="s">
        <v>113</v>
      </c>
      <c r="C2965" s="21">
        <f t="shared" si="50"/>
        <v>1252.93</v>
      </c>
      <c r="AG2965" s="106">
        <v>128.18</v>
      </c>
      <c r="AW2965" s="74">
        <v>232.2</v>
      </c>
      <c r="CA2965" s="106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27">
        <v>45071</v>
      </c>
      <c r="B2966" s="24" t="s">
        <v>29</v>
      </c>
      <c r="C2966" s="21">
        <f t="shared" si="50"/>
        <v>-16.55</v>
      </c>
      <c r="AW2966" s="74">
        <v>-8.4499999999999993</v>
      </c>
      <c r="BI2966" s="106">
        <v>-8.1</v>
      </c>
    </row>
    <row r="2967" spans="1:221" x14ac:dyDescent="0.25">
      <c r="A2967" s="127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27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27">
        <v>45072</v>
      </c>
      <c r="B2969" s="24" t="s">
        <v>53</v>
      </c>
      <c r="C2969" s="21">
        <f t="shared" si="50"/>
        <v>-637.29</v>
      </c>
      <c r="BC2969" s="74">
        <v>-63.95</v>
      </c>
      <c r="BI2969" s="106">
        <v>-32.9</v>
      </c>
      <c r="BO2969" s="74">
        <v>-34.700000000000003</v>
      </c>
      <c r="CA2969" s="106">
        <v>-34.6</v>
      </c>
      <c r="CM2969" s="74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27">
        <v>45072</v>
      </c>
      <c r="B2970" s="24" t="s">
        <v>152</v>
      </c>
      <c r="C2970" s="21">
        <f t="shared" si="50"/>
        <v>-737.6</v>
      </c>
      <c r="AR2970" s="74">
        <v>-31.55</v>
      </c>
      <c r="AW2970" s="74">
        <v>-29.95</v>
      </c>
      <c r="BI2970" s="106">
        <v>-64.849999999999994</v>
      </c>
      <c r="BO2970" s="74">
        <v>-99.9</v>
      </c>
      <c r="BU2970" s="106">
        <v>-133.75</v>
      </c>
      <c r="CA2970" s="106">
        <v>-69.25</v>
      </c>
      <c r="CG2970" s="106">
        <v>-135.85</v>
      </c>
      <c r="CM2970" s="74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27">
        <v>45072</v>
      </c>
      <c r="B2971" s="24" t="s">
        <v>149</v>
      </c>
      <c r="C2971" s="21">
        <f t="shared" si="50"/>
        <v>-16.45</v>
      </c>
      <c r="CG2971" s="106">
        <v>-8.5</v>
      </c>
      <c r="CM2971" s="74">
        <v>-7.95</v>
      </c>
    </row>
    <row r="2972" spans="1:221" x14ac:dyDescent="0.25">
      <c r="A2972" s="127">
        <v>45072</v>
      </c>
      <c r="B2972" s="24" t="s">
        <v>20</v>
      </c>
      <c r="C2972" s="21">
        <f t="shared" si="50"/>
        <v>-15.9</v>
      </c>
      <c r="AC2972" s="74">
        <v>-8</v>
      </c>
      <c r="BU2972" s="106">
        <v>-7.9</v>
      </c>
    </row>
    <row r="2973" spans="1:221" x14ac:dyDescent="0.25">
      <c r="A2973" s="127">
        <v>45072</v>
      </c>
      <c r="B2973" s="24" t="s">
        <v>18</v>
      </c>
      <c r="C2973" s="21">
        <f t="shared" si="50"/>
        <v>-409.75</v>
      </c>
      <c r="AN2973" s="74">
        <v>-32.25</v>
      </c>
      <c r="BI2973" s="106">
        <v>-33.450000000000003</v>
      </c>
      <c r="BU2973" s="106">
        <v>-66.45</v>
      </c>
      <c r="CA2973" s="106">
        <v>-68.8</v>
      </c>
      <c r="CG2973" s="106">
        <v>-102.45</v>
      </c>
      <c r="CS2973" s="74">
        <v>-106.35</v>
      </c>
    </row>
    <row r="2974" spans="1:221" x14ac:dyDescent="0.25">
      <c r="A2974" s="127">
        <v>45073</v>
      </c>
      <c r="B2974" s="24" t="s">
        <v>32</v>
      </c>
      <c r="C2974" s="21">
        <f t="shared" si="50"/>
        <v>-86.34</v>
      </c>
      <c r="CM2974" s="74">
        <v>-33.9</v>
      </c>
      <c r="CS2974" s="74">
        <f>-35.4-8.73</f>
        <v>-44.13</v>
      </c>
      <c r="CV2974" s="115">
        <v>-8.31</v>
      </c>
    </row>
    <row r="2975" spans="1:221" x14ac:dyDescent="0.25">
      <c r="A2975" s="127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27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27">
        <v>45075</v>
      </c>
      <c r="B2977" s="24" t="s">
        <v>25</v>
      </c>
      <c r="C2977" s="21">
        <f t="shared" si="50"/>
        <v>-41.16</v>
      </c>
      <c r="BI2977" s="106">
        <v>-7.55</v>
      </c>
      <c r="BO2977" s="74">
        <v>-8.25</v>
      </c>
      <c r="BU2977" s="106">
        <v>-7.9</v>
      </c>
      <c r="DE2977" s="74">
        <v>-17.46</v>
      </c>
    </row>
    <row r="2978" spans="1:221" x14ac:dyDescent="0.25">
      <c r="A2978" s="127">
        <v>45076</v>
      </c>
      <c r="B2978" s="24" t="s">
        <v>43</v>
      </c>
      <c r="C2978" s="21">
        <f t="shared" si="50"/>
        <v>-97.75</v>
      </c>
      <c r="BC2978" s="74">
        <v>-64.7</v>
      </c>
      <c r="BO2978" s="74">
        <v>-33.049999999999997</v>
      </c>
    </row>
    <row r="2979" spans="1:221" x14ac:dyDescent="0.25">
      <c r="A2979" s="127">
        <v>45076</v>
      </c>
      <c r="B2979" s="24" t="s">
        <v>75</v>
      </c>
      <c r="C2979" s="21">
        <f t="shared" si="50"/>
        <v>-34.950000000000003</v>
      </c>
      <c r="BC2979" s="74">
        <v>-8.35</v>
      </c>
      <c r="BI2979" s="106">
        <v>-9.5500000000000007</v>
      </c>
      <c r="CG2979" s="106">
        <v>-8.5</v>
      </c>
      <c r="CY2979" s="74">
        <v>-8.5500000000000007</v>
      </c>
    </row>
    <row r="2980" spans="1:221" x14ac:dyDescent="0.25">
      <c r="A2980" s="127">
        <v>45076</v>
      </c>
      <c r="B2980" s="24" t="s">
        <v>113</v>
      </c>
      <c r="C2980" s="21">
        <f t="shared" si="50"/>
        <v>233.95</v>
      </c>
      <c r="BI2980" s="106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27">
        <v>45076</v>
      </c>
      <c r="B2981" s="24" t="s">
        <v>27</v>
      </c>
      <c r="C2981" s="21">
        <f t="shared" si="50"/>
        <v>-23.15</v>
      </c>
      <c r="BP2981" s="121">
        <v>-23.15</v>
      </c>
    </row>
    <row r="2982" spans="1:221" x14ac:dyDescent="0.25">
      <c r="A2982" s="127">
        <v>45076</v>
      </c>
      <c r="B2982" s="24" t="s">
        <v>37</v>
      </c>
      <c r="C2982" s="21">
        <f t="shared" si="50"/>
        <v>-201.64</v>
      </c>
      <c r="GU2982" s="110">
        <v>-84.14</v>
      </c>
      <c r="HM2982" s="106">
        <v>-117.5</v>
      </c>
    </row>
    <row r="2983" spans="1:221" x14ac:dyDescent="0.25">
      <c r="A2983" s="127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27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27">
        <v>45076</v>
      </c>
      <c r="B2985" s="24" t="s">
        <v>53</v>
      </c>
      <c r="C2985" s="21">
        <f t="shared" si="50"/>
        <v>-233.95</v>
      </c>
      <c r="BI2985" s="106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27">
        <v>45076</v>
      </c>
      <c r="B2986" s="24" t="s">
        <v>84</v>
      </c>
      <c r="C2986" s="21">
        <f t="shared" si="50"/>
        <v>-58.104999999999997</v>
      </c>
      <c r="AC2986" s="74">
        <v>-7.95</v>
      </c>
      <c r="BI2986" s="106">
        <v>-8.5500000000000007</v>
      </c>
      <c r="BU2986" s="106">
        <v>-7.9</v>
      </c>
      <c r="BX2986" s="115">
        <v>-8.5549999999999997</v>
      </c>
      <c r="CA2986" s="106">
        <v>-17.2</v>
      </c>
      <c r="CM2986" s="74">
        <v>-7.95</v>
      </c>
    </row>
    <row r="2987" spans="1:221" x14ac:dyDescent="0.25">
      <c r="A2987" s="127">
        <v>45076</v>
      </c>
      <c r="B2987" s="24" t="s">
        <v>20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27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74">
        <v>-33.4</v>
      </c>
      <c r="CS2988" s="74">
        <v>-3.86</v>
      </c>
      <c r="CV2988" s="115">
        <v>-8.3149999999999995</v>
      </c>
    </row>
    <row r="2989" spans="1:221" x14ac:dyDescent="0.25">
      <c r="A2989" s="127">
        <v>45076</v>
      </c>
      <c r="B2989" s="24" t="s">
        <v>59</v>
      </c>
      <c r="C2989" s="21">
        <f t="shared" si="50"/>
        <v>0</v>
      </c>
    </row>
    <row r="2990" spans="1:221" x14ac:dyDescent="0.25">
      <c r="A2990" s="127">
        <v>45077</v>
      </c>
      <c r="B2990" s="24" t="s">
        <v>167</v>
      </c>
      <c r="C2990" s="21">
        <f t="shared" si="50"/>
        <v>-5.6749999999999998</v>
      </c>
      <c r="E2990" s="145">
        <v>-5.6749999999999998</v>
      </c>
    </row>
    <row r="2991" spans="1:221" x14ac:dyDescent="0.25">
      <c r="A2991" s="127">
        <v>45077</v>
      </c>
      <c r="B2991" s="24" t="s">
        <v>167</v>
      </c>
      <c r="C2991" s="21">
        <f t="shared" si="50"/>
        <v>-14.62</v>
      </c>
      <c r="E2991" s="145">
        <v>-14.62</v>
      </c>
    </row>
    <row r="2992" spans="1:221" x14ac:dyDescent="0.25">
      <c r="A2992" s="127">
        <v>45077</v>
      </c>
      <c r="B2992" s="24" t="s">
        <v>78</v>
      </c>
      <c r="C2992" s="21">
        <f t="shared" si="50"/>
        <v>-166.05</v>
      </c>
      <c r="BC2992" s="74">
        <v>-67.3</v>
      </c>
      <c r="BU2992" s="106">
        <v>-64.849999999999994</v>
      </c>
      <c r="CA2992" s="106">
        <v>-33.9</v>
      </c>
    </row>
    <row r="2993" spans="1:221" x14ac:dyDescent="0.25">
      <c r="A2993" s="127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27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27">
        <v>45078</v>
      </c>
      <c r="B2995" s="24" t="s">
        <v>176</v>
      </c>
      <c r="C2995" s="21">
        <f t="shared" si="51"/>
        <v>-16.52</v>
      </c>
      <c r="D2995" s="145">
        <v>-16.52</v>
      </c>
    </row>
    <row r="2996" spans="1:221" x14ac:dyDescent="0.25">
      <c r="A2996" s="127">
        <v>45079</v>
      </c>
      <c r="B2996" s="24" t="s">
        <v>133</v>
      </c>
      <c r="C2996" s="21">
        <f t="shared" si="51"/>
        <v>-51</v>
      </c>
      <c r="CA2996" s="106">
        <v>-16.95</v>
      </c>
      <c r="CG2996" s="106">
        <v>-34.049999999999997</v>
      </c>
    </row>
    <row r="2997" spans="1:221" x14ac:dyDescent="0.25">
      <c r="A2997" s="127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106">
        <v>-8.4499999999999993</v>
      </c>
      <c r="CG2997" s="106">
        <v>-8.5</v>
      </c>
      <c r="CM2997" s="74">
        <v>-7.95</v>
      </c>
      <c r="CY2997" s="74">
        <v>-8.5500000000000007</v>
      </c>
    </row>
    <row r="2998" spans="1:221" x14ac:dyDescent="0.25">
      <c r="A2998" s="127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27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27">
        <v>45079</v>
      </c>
      <c r="B3000" s="24" t="s">
        <v>169</v>
      </c>
      <c r="C3000" s="21">
        <f t="shared" si="51"/>
        <v>-51.2</v>
      </c>
      <c r="F3000" s="145">
        <v>-51.2</v>
      </c>
    </row>
    <row r="3001" spans="1:221" x14ac:dyDescent="0.25">
      <c r="A3001" s="127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27">
        <v>45079</v>
      </c>
      <c r="B3002" s="24" t="s">
        <v>113</v>
      </c>
      <c r="C3002" s="21">
        <f t="shared" si="51"/>
        <v>1773.45</v>
      </c>
      <c r="V3002" s="74">
        <v>129.44999999999999</v>
      </c>
      <c r="AC3002" s="74">
        <v>110.65</v>
      </c>
      <c r="AR3002" s="74">
        <v>216.15</v>
      </c>
      <c r="AW3002" s="74">
        <v>171.25</v>
      </c>
      <c r="CM3002" s="74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27">
        <v>45079</v>
      </c>
      <c r="B3003" s="24" t="s">
        <v>78</v>
      </c>
      <c r="C3003" s="21">
        <f t="shared" si="51"/>
        <v>-58.65</v>
      </c>
      <c r="DU3003" s="106">
        <v>-41.2</v>
      </c>
      <c r="EA3003" s="74">
        <v>-17.45</v>
      </c>
    </row>
    <row r="3004" spans="1:221" x14ac:dyDescent="0.25">
      <c r="A3004" s="127">
        <v>45080</v>
      </c>
      <c r="B3004" s="24" t="s">
        <v>59</v>
      </c>
      <c r="C3004" s="21">
        <f t="shared" si="51"/>
        <v>-12.44</v>
      </c>
      <c r="CY3004" s="74">
        <v>-7.51</v>
      </c>
      <c r="DE3004" s="74">
        <v>-4.93</v>
      </c>
    </row>
    <row r="3005" spans="1:221" x14ac:dyDescent="0.25">
      <c r="A3005" s="127">
        <v>45082</v>
      </c>
      <c r="B3005" s="24" t="s">
        <v>43</v>
      </c>
      <c r="C3005" s="21">
        <f t="shared" si="51"/>
        <v>-231.27</v>
      </c>
      <c r="AR3005" s="74">
        <v>-65.819999999999993</v>
      </c>
      <c r="CG3005" s="106">
        <v>-34</v>
      </c>
      <c r="CM3005" s="74">
        <v>-68.5</v>
      </c>
      <c r="DE3005" s="74">
        <v>-62.95</v>
      </c>
    </row>
    <row r="3006" spans="1:221" x14ac:dyDescent="0.25">
      <c r="A3006" s="127">
        <v>45082</v>
      </c>
      <c r="B3006" s="24" t="s">
        <v>133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27">
        <v>45082</v>
      </c>
      <c r="B3007" s="24" t="s">
        <v>44</v>
      </c>
      <c r="C3007" s="21">
        <f t="shared" si="51"/>
        <v>-107.39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27">
        <v>45082</v>
      </c>
      <c r="B3008" s="24" t="s">
        <v>32</v>
      </c>
      <c r="C3008" s="21">
        <f t="shared" si="51"/>
        <v>0</v>
      </c>
    </row>
    <row r="3009" spans="1:232" x14ac:dyDescent="0.25">
      <c r="A3009" s="127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27">
        <v>45082</v>
      </c>
      <c r="B3010" s="24" t="s">
        <v>162</v>
      </c>
      <c r="C3010" s="21">
        <f t="shared" si="51"/>
        <v>-24.5</v>
      </c>
      <c r="CT3010" s="121">
        <v>-7.65</v>
      </c>
      <c r="CY3010" s="74">
        <v>-16.850000000000001</v>
      </c>
    </row>
    <row r="3011" spans="1:232" x14ac:dyDescent="0.25">
      <c r="A3011" s="127">
        <v>45082</v>
      </c>
      <c r="B3011" s="24" t="s">
        <v>57</v>
      </c>
      <c r="C3011" s="21">
        <f t="shared" si="51"/>
        <v>-16.84</v>
      </c>
      <c r="AN3011" s="74">
        <v>-7.9</v>
      </c>
      <c r="AR3011" s="74">
        <v>-8.94</v>
      </c>
    </row>
    <row r="3012" spans="1:232" x14ac:dyDescent="0.25">
      <c r="A3012" s="127">
        <v>45082</v>
      </c>
      <c r="B3012" s="24" t="s">
        <v>29</v>
      </c>
      <c r="C3012" s="21">
        <f t="shared" si="51"/>
        <v>-11.6</v>
      </c>
      <c r="P3012" s="106">
        <v>-3.2</v>
      </c>
      <c r="BC3012" s="74">
        <v>-8.4</v>
      </c>
    </row>
    <row r="3013" spans="1:232" x14ac:dyDescent="0.25">
      <c r="A3013" s="127">
        <v>45083</v>
      </c>
      <c r="B3013" s="24" t="s">
        <v>68</v>
      </c>
      <c r="C3013" s="21">
        <f t="shared" si="51"/>
        <v>-61.99</v>
      </c>
      <c r="Z3013" s="79">
        <f>-8.24-8.25</f>
        <v>-16.489999999999998</v>
      </c>
      <c r="AN3013" s="74">
        <v>-15.3</v>
      </c>
      <c r="AW3013" s="74">
        <v>-30.2</v>
      </c>
    </row>
    <row r="3014" spans="1:232" x14ac:dyDescent="0.25">
      <c r="A3014" s="127">
        <v>45083</v>
      </c>
      <c r="B3014" s="24" t="s">
        <v>65</v>
      </c>
      <c r="C3014" s="21">
        <f t="shared" si="51"/>
        <v>0</v>
      </c>
    </row>
    <row r="3015" spans="1:232" x14ac:dyDescent="0.25">
      <c r="A3015" s="127">
        <v>45083</v>
      </c>
      <c r="B3015" s="24" t="s">
        <v>139</v>
      </c>
      <c r="C3015" s="21">
        <f t="shared" si="51"/>
        <v>-8.5500000000000007</v>
      </c>
      <c r="CY3015" s="74">
        <v>-8.5500000000000007</v>
      </c>
    </row>
    <row r="3016" spans="1:232" x14ac:dyDescent="0.25">
      <c r="A3016" s="127">
        <v>45083</v>
      </c>
      <c r="B3016" s="24" t="s">
        <v>20</v>
      </c>
      <c r="C3016" s="21">
        <f t="shared" si="51"/>
        <v>-49.36</v>
      </c>
      <c r="AR3016" s="74">
        <v>-7.96</v>
      </c>
      <c r="AW3016" s="74">
        <v>-9.25</v>
      </c>
      <c r="BE3016" s="126">
        <v>-8.2200000000000006</v>
      </c>
      <c r="BK3016" s="126">
        <v>-8.2899999999999991</v>
      </c>
      <c r="BP3016" s="121">
        <v>-7.07</v>
      </c>
      <c r="BW3016" s="126">
        <v>-8.57</v>
      </c>
    </row>
    <row r="3017" spans="1:232" x14ac:dyDescent="0.25">
      <c r="A3017" s="127">
        <v>45083</v>
      </c>
      <c r="B3017" s="24" t="s">
        <v>84</v>
      </c>
      <c r="C3017" s="21">
        <f t="shared" si="51"/>
        <v>-17.899999999999999</v>
      </c>
      <c r="AW3017" s="74">
        <v>-9.8000000000000007</v>
      </c>
      <c r="BE3017" s="126">
        <v>-8.1</v>
      </c>
    </row>
    <row r="3018" spans="1:232" x14ac:dyDescent="0.25">
      <c r="A3018" s="127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27">
        <v>45083</v>
      </c>
      <c r="B3019" s="24" t="s">
        <v>75</v>
      </c>
      <c r="C3019" s="21">
        <f t="shared" si="51"/>
        <v>-16.45</v>
      </c>
      <c r="AN3019" s="74">
        <v>-7.95</v>
      </c>
      <c r="CG3019" s="106">
        <v>-8.5</v>
      </c>
    </row>
    <row r="3020" spans="1:232" x14ac:dyDescent="0.25">
      <c r="A3020" s="127">
        <v>45083</v>
      </c>
      <c r="B3020" s="24" t="s">
        <v>17</v>
      </c>
      <c r="C3020" s="21">
        <f t="shared" si="51"/>
        <v>-16.75</v>
      </c>
      <c r="BC3020" s="74">
        <v>-8.35</v>
      </c>
      <c r="CM3020" s="74">
        <v>-8.4</v>
      </c>
    </row>
    <row r="3021" spans="1:232" x14ac:dyDescent="0.25">
      <c r="A3021" s="127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27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27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</v>
      </c>
    </row>
    <row r="3024" spans="1:232" x14ac:dyDescent="0.25">
      <c r="A3024" s="127">
        <v>45084</v>
      </c>
      <c r="B3024" s="24" t="s">
        <v>127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27">
        <v>45085</v>
      </c>
      <c r="B3025" s="24" t="s">
        <v>113</v>
      </c>
      <c r="C3025" s="21">
        <f t="shared" si="51"/>
        <v>877.02</v>
      </c>
      <c r="BC3025" s="74">
        <v>128.80000000000001</v>
      </c>
      <c r="BI3025" s="106">
        <v>143.88</v>
      </c>
      <c r="BO3025" s="74">
        <v>131.75</v>
      </c>
      <c r="CA3025" s="106">
        <v>135.84</v>
      </c>
      <c r="CG3025" s="106">
        <v>134.07</v>
      </c>
      <c r="CY3025" s="74">
        <v>97.19</v>
      </c>
      <c r="DE3025" s="74">
        <v>105.49</v>
      </c>
    </row>
    <row r="3026" spans="1:226" x14ac:dyDescent="0.25">
      <c r="A3026" s="127">
        <v>45086</v>
      </c>
      <c r="B3026" s="24" t="s">
        <v>48</v>
      </c>
      <c r="C3026" s="21">
        <f t="shared" si="51"/>
        <v>-93.54</v>
      </c>
      <c r="X3026" s="42">
        <v>-8.32</v>
      </c>
      <c r="AG3026" s="106">
        <v>-16.38</v>
      </c>
      <c r="BI3026" s="106">
        <v>-35.49</v>
      </c>
      <c r="BO3026" s="74">
        <v>-33.35</v>
      </c>
    </row>
    <row r="3027" spans="1:226" x14ac:dyDescent="0.25">
      <c r="A3027" s="127">
        <v>45086</v>
      </c>
      <c r="B3027" s="24" t="s">
        <v>57</v>
      </c>
      <c r="C3027" s="21">
        <f t="shared" si="51"/>
        <v>-49.22</v>
      </c>
      <c r="BI3027" s="106">
        <f>-9-9.02</f>
        <v>-18.02</v>
      </c>
      <c r="BO3027" s="74">
        <v>-31.2</v>
      </c>
    </row>
    <row r="3028" spans="1:226" x14ac:dyDescent="0.25">
      <c r="A3028" s="127">
        <v>45086</v>
      </c>
      <c r="B3028" s="24" t="s">
        <v>65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27">
        <v>45086</v>
      </c>
      <c r="B3029" s="24" t="s">
        <v>17</v>
      </c>
      <c r="C3029" s="21">
        <f t="shared" si="51"/>
        <v>-25.22</v>
      </c>
      <c r="AR3029" s="74">
        <v>-8.52</v>
      </c>
      <c r="AW3029" s="74">
        <v>-7.75</v>
      </c>
      <c r="BI3029" s="106">
        <v>-8.9499999999999993</v>
      </c>
    </row>
    <row r="3030" spans="1:226" x14ac:dyDescent="0.25">
      <c r="A3030" s="127">
        <v>45086</v>
      </c>
      <c r="B3030" s="24" t="s">
        <v>17</v>
      </c>
      <c r="C3030" s="21">
        <f t="shared" si="51"/>
        <v>-26.17</v>
      </c>
      <c r="BI3030" s="106">
        <v>-9</v>
      </c>
      <c r="BO3030" s="74">
        <v>-8.4499999999999993</v>
      </c>
      <c r="CA3030" s="106">
        <v>-8.7200000000000006</v>
      </c>
    </row>
    <row r="3031" spans="1:226" x14ac:dyDescent="0.25">
      <c r="A3031" s="127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27">
        <v>45087</v>
      </c>
      <c r="B3032" s="24" t="s">
        <v>78</v>
      </c>
      <c r="C3032" s="21">
        <f t="shared" si="51"/>
        <v>-17.059999999999999</v>
      </c>
      <c r="BC3032" s="74">
        <v>-8.0500000000000007</v>
      </c>
      <c r="BI3032" s="106">
        <v>-9.01</v>
      </c>
    </row>
    <row r="3033" spans="1:226" x14ac:dyDescent="0.25">
      <c r="A3033" s="127">
        <v>45087</v>
      </c>
      <c r="B3033" s="24" t="s">
        <v>113</v>
      </c>
      <c r="C3033" s="21">
        <f t="shared" si="51"/>
        <v>978.64</v>
      </c>
      <c r="AN3033" s="74">
        <v>106.1</v>
      </c>
      <c r="BC3033" s="74">
        <v>96.85</v>
      </c>
      <c r="BI3033" s="106">
        <v>126.3</v>
      </c>
      <c r="BO3033" s="74">
        <v>164.13</v>
      </c>
      <c r="BU3033" s="106">
        <v>151.66</v>
      </c>
      <c r="CA3033" s="106">
        <v>134.83000000000001</v>
      </c>
      <c r="CG3033" s="106">
        <v>102.09</v>
      </c>
      <c r="CM3033" s="74">
        <v>96.68</v>
      </c>
    </row>
    <row r="3034" spans="1:226" x14ac:dyDescent="0.25">
      <c r="A3034" s="127">
        <v>45089</v>
      </c>
      <c r="B3034" s="24" t="s">
        <v>17</v>
      </c>
      <c r="C3034" s="21">
        <f t="shared" si="51"/>
        <v>-66.959999999999994</v>
      </c>
      <c r="AW3034" s="74">
        <v>-16.850000000000001</v>
      </c>
      <c r="BC3034" s="74">
        <v>-16</v>
      </c>
      <c r="BO3034" s="74">
        <v>-16.8</v>
      </c>
      <c r="CA3034" s="106">
        <v>-17.309999999999999</v>
      </c>
    </row>
    <row r="3035" spans="1:226" x14ac:dyDescent="0.25">
      <c r="A3035" s="127">
        <v>45089</v>
      </c>
      <c r="B3035" s="24" t="s">
        <v>133</v>
      </c>
      <c r="C3035" s="21">
        <f t="shared" si="51"/>
        <v>-168.58</v>
      </c>
      <c r="AR3035" s="74">
        <v>-31.69</v>
      </c>
      <c r="AW3035" s="74">
        <v>-33.75</v>
      </c>
      <c r="BI3035" s="106">
        <v>-35.89</v>
      </c>
      <c r="CG3035" s="106">
        <v>-32.75</v>
      </c>
      <c r="CM3035" s="74">
        <v>-34.5</v>
      </c>
    </row>
    <row r="3036" spans="1:226" x14ac:dyDescent="0.25">
      <c r="A3036" s="127">
        <v>45090</v>
      </c>
      <c r="B3036" s="24" t="s">
        <v>48</v>
      </c>
      <c r="C3036" s="21">
        <f t="shared" si="51"/>
        <v>8.2799999999999994</v>
      </c>
      <c r="AA3036" s="42">
        <v>8.0399999999999991</v>
      </c>
      <c r="BI3036" s="106">
        <v>-36.18</v>
      </c>
      <c r="BO3036" s="74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27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27">
        <v>45090</v>
      </c>
      <c r="B3038" s="24" t="s">
        <v>138</v>
      </c>
      <c r="C3038" s="21">
        <f t="shared" si="51"/>
        <v>-24.07</v>
      </c>
      <c r="AR3038" s="74">
        <v>-8.92</v>
      </c>
      <c r="BU3038" s="106">
        <v>-15.15</v>
      </c>
    </row>
    <row r="3039" spans="1:226" x14ac:dyDescent="0.25">
      <c r="A3039" s="127">
        <v>45090</v>
      </c>
      <c r="B3039" s="24" t="s">
        <v>75</v>
      </c>
      <c r="C3039" s="21">
        <f t="shared" si="51"/>
        <v>-8.4</v>
      </c>
      <c r="CM3039" s="74">
        <v>-8.4</v>
      </c>
    </row>
    <row r="3040" spans="1:226" x14ac:dyDescent="0.25">
      <c r="A3040" s="127">
        <v>45090</v>
      </c>
      <c r="B3040" s="24" t="s">
        <v>139</v>
      </c>
      <c r="C3040" s="21">
        <f t="shared" si="51"/>
        <v>-66.78</v>
      </c>
      <c r="BU3040" s="106">
        <v>-7.66</v>
      </c>
      <c r="CA3040" s="106">
        <v>-8.7200000000000006</v>
      </c>
      <c r="CM3040" s="74">
        <v>-26.25</v>
      </c>
      <c r="CY3040" s="74">
        <v>-24.15</v>
      </c>
    </row>
    <row r="3041" spans="1:224" x14ac:dyDescent="0.25">
      <c r="A3041" s="127">
        <v>45090</v>
      </c>
      <c r="B3041" s="24" t="s">
        <v>20</v>
      </c>
      <c r="C3041" s="21">
        <f t="shared" si="51"/>
        <v>-16.329999999999998</v>
      </c>
      <c r="BU3041" s="106">
        <v>-7.71</v>
      </c>
      <c r="CA3041" s="106">
        <v>-8.6199999999999992</v>
      </c>
    </row>
    <row r="3042" spans="1:224" x14ac:dyDescent="0.25">
      <c r="A3042" s="127">
        <v>45090</v>
      </c>
      <c r="B3042" s="24" t="s">
        <v>25</v>
      </c>
      <c r="C3042" s="21">
        <f t="shared" si="51"/>
        <v>-41.29</v>
      </c>
      <c r="AW3042" s="74">
        <v>-8.25</v>
      </c>
      <c r="BC3042" s="74">
        <v>-8</v>
      </c>
      <c r="BI3042" s="106">
        <v>-9.09</v>
      </c>
      <c r="BO3042" s="74">
        <v>-8.1999999999999993</v>
      </c>
      <c r="BU3042" s="106">
        <v>-7.75</v>
      </c>
    </row>
    <row r="3043" spans="1:224" x14ac:dyDescent="0.25">
      <c r="A3043" s="127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27">
        <v>45090</v>
      </c>
      <c r="B3044" s="24" t="s">
        <v>113</v>
      </c>
      <c r="C3044" s="21">
        <f t="shared" si="51"/>
        <v>1322.03</v>
      </c>
      <c r="BU3044" s="106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27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27">
        <v>45090</v>
      </c>
      <c r="B3046" s="24" t="s">
        <v>152</v>
      </c>
      <c r="C3046" s="21">
        <f t="shared" si="51"/>
        <v>-1849.74</v>
      </c>
      <c r="AN3046" s="74">
        <v>-70.47</v>
      </c>
      <c r="AR3046" s="74">
        <v>-67.760000000000005</v>
      </c>
      <c r="BC3046" s="74">
        <v>-161.1</v>
      </c>
      <c r="BO3046" s="74">
        <v>-98.11</v>
      </c>
      <c r="BU3046" s="106">
        <v>-91.19</v>
      </c>
      <c r="CA3046" s="106">
        <v>-68.98</v>
      </c>
      <c r="CG3046" s="106">
        <v>-102.09</v>
      </c>
      <c r="CM3046" s="74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27">
        <v>45091</v>
      </c>
      <c r="B3047" s="24" t="s">
        <v>14</v>
      </c>
      <c r="C3047" s="21">
        <f t="shared" si="51"/>
        <v>-7.625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106">
        <v>8.75</v>
      </c>
      <c r="CJ3047" s="115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5">
        <v>-33.295000000000002</v>
      </c>
      <c r="DC3047" s="42">
        <v>-25.12</v>
      </c>
      <c r="DE3047" s="74">
        <v>24.22</v>
      </c>
      <c r="DI3047" s="42">
        <f>-8.55-8.64-8.55</f>
        <v>-25.74</v>
      </c>
      <c r="DK3047" s="74">
        <v>17.100000000000001</v>
      </c>
    </row>
    <row r="3048" spans="1:224" x14ac:dyDescent="0.25">
      <c r="A3048" s="127">
        <v>45091</v>
      </c>
      <c r="B3048" s="24" t="s">
        <v>113</v>
      </c>
      <c r="C3048" s="21">
        <f t="shared" si="51"/>
        <v>1378.75</v>
      </c>
      <c r="BC3048" s="74">
        <v>137.85</v>
      </c>
      <c r="BI3048" s="106">
        <v>70.459999999999994</v>
      </c>
      <c r="BO3048" s="74">
        <v>16.8</v>
      </c>
      <c r="CM3048" s="74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27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27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27">
        <v>45091</v>
      </c>
      <c r="B3051" s="24" t="s">
        <v>17</v>
      </c>
      <c r="C3051" s="21">
        <f t="shared" si="51"/>
        <v>-73.59</v>
      </c>
      <c r="AW3051" s="74">
        <v>-8.3000000000000007</v>
      </c>
      <c r="BC3051" s="74">
        <v>-8.49</v>
      </c>
      <c r="BI3051" s="106">
        <v>-8.94</v>
      </c>
      <c r="BO3051" s="74">
        <v>-8.4</v>
      </c>
      <c r="BU3051" s="106">
        <v>-14.52</v>
      </c>
      <c r="CA3051" s="106">
        <v>-7.44</v>
      </c>
      <c r="CG3051" s="106">
        <v>-8.75</v>
      </c>
      <c r="CM3051" s="74">
        <v>-8.75</v>
      </c>
    </row>
    <row r="3052" spans="1:224" x14ac:dyDescent="0.25">
      <c r="A3052" s="127">
        <v>45091</v>
      </c>
      <c r="B3052" s="24" t="s">
        <v>14</v>
      </c>
      <c r="C3052" s="21">
        <f t="shared" si="51"/>
        <v>0</v>
      </c>
    </row>
    <row r="3053" spans="1:224" x14ac:dyDescent="0.25">
      <c r="A3053" s="127">
        <v>45092</v>
      </c>
      <c r="B3053" s="24" t="s">
        <v>178</v>
      </c>
      <c r="C3053" s="21">
        <f t="shared" si="51"/>
        <v>-15.48</v>
      </c>
      <c r="BU3053" s="106">
        <v>-15.48</v>
      </c>
    </row>
    <row r="3054" spans="1:224" x14ac:dyDescent="0.25">
      <c r="A3054" s="127">
        <v>45092</v>
      </c>
      <c r="B3054" s="24" t="s">
        <v>37</v>
      </c>
      <c r="C3054" s="21">
        <f t="shared" si="51"/>
        <v>-224.35</v>
      </c>
      <c r="HJ3054" s="79">
        <v>-56.2</v>
      </c>
      <c r="HP3054" s="79">
        <v>-168.15</v>
      </c>
    </row>
    <row r="3055" spans="1:224" x14ac:dyDescent="0.25">
      <c r="A3055" s="127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27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27">
        <v>45092</v>
      </c>
      <c r="B3057" s="24" t="s">
        <v>48</v>
      </c>
      <c r="C3057" s="21">
        <f t="shared" ref="C3057:C3120" si="52">SUM(D3057:JT3057)</f>
        <v>333.08</v>
      </c>
      <c r="AP3057" s="42">
        <f>8.31+5.81</f>
        <v>14.12</v>
      </c>
      <c r="AU3057" s="42">
        <v>34.29</v>
      </c>
      <c r="BG3057" s="42">
        <v>28.14</v>
      </c>
      <c r="BM3057" s="88">
        <f>8.09+8.04+32.77</f>
        <v>48.9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27">
        <v>45093</v>
      </c>
      <c r="B3058" s="24" t="s">
        <v>178</v>
      </c>
      <c r="C3058" s="21">
        <f t="shared" si="52"/>
        <v>-15.21</v>
      </c>
      <c r="BU3058" s="106">
        <v>-15.21</v>
      </c>
    </row>
    <row r="3059" spans="1:226" x14ac:dyDescent="0.25">
      <c r="A3059" s="127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27">
        <v>45093</v>
      </c>
      <c r="B3060" s="24" t="s">
        <v>17</v>
      </c>
      <c r="C3060" s="21">
        <f t="shared" si="52"/>
        <v>-135.65</v>
      </c>
      <c r="BO3060" s="74">
        <v>-8.4</v>
      </c>
      <c r="BU3060" s="106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27">
        <v>45093</v>
      </c>
      <c r="B3061" s="24" t="s">
        <v>59</v>
      </c>
      <c r="C3061" s="21">
        <f t="shared" si="52"/>
        <v>-19.399999999999999</v>
      </c>
      <c r="CA3061" s="106">
        <v>-5.07</v>
      </c>
      <c r="CG3061" s="106">
        <v>-2.84</v>
      </c>
      <c r="CM3061" s="74">
        <v>-8.7899999999999991</v>
      </c>
      <c r="CY3061" s="74">
        <v>-2.7</v>
      </c>
    </row>
    <row r="3062" spans="1:226" x14ac:dyDescent="0.25">
      <c r="A3062" s="127">
        <v>45096</v>
      </c>
      <c r="B3062" s="24" t="s">
        <v>12</v>
      </c>
      <c r="C3062" s="21">
        <f t="shared" si="52"/>
        <v>0</v>
      </c>
    </row>
    <row r="3063" spans="1:226" x14ac:dyDescent="0.25">
      <c r="A3063" s="127">
        <v>45096</v>
      </c>
      <c r="B3063" s="24" t="s">
        <v>17</v>
      </c>
      <c r="C3063" s="21">
        <f t="shared" si="52"/>
        <v>-16.43</v>
      </c>
      <c r="BO3063" s="74">
        <v>-16.43</v>
      </c>
    </row>
    <row r="3064" spans="1:226" x14ac:dyDescent="0.25">
      <c r="A3064" s="127">
        <v>45096</v>
      </c>
      <c r="B3064" s="24" t="s">
        <v>68</v>
      </c>
      <c r="C3064" s="21">
        <f t="shared" si="52"/>
        <v>-62.16</v>
      </c>
      <c r="AG3064" s="106">
        <v>-33.17</v>
      </c>
      <c r="BU3064" s="106">
        <v>-28.99</v>
      </c>
    </row>
    <row r="3065" spans="1:226" x14ac:dyDescent="0.25">
      <c r="A3065" s="127">
        <v>45096</v>
      </c>
      <c r="B3065" s="24" t="s">
        <v>20</v>
      </c>
      <c r="C3065" s="21">
        <f t="shared" si="52"/>
        <v>-24.85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27">
        <v>45096</v>
      </c>
      <c r="B3066" s="24" t="s">
        <v>32</v>
      </c>
      <c r="C3066" s="21">
        <f t="shared" si="52"/>
        <v>-36.46</v>
      </c>
      <c r="BI3066" s="106">
        <v>-36.46</v>
      </c>
    </row>
    <row r="3067" spans="1:226" x14ac:dyDescent="0.25">
      <c r="A3067" s="127">
        <v>45096</v>
      </c>
      <c r="B3067" s="24" t="s">
        <v>133</v>
      </c>
      <c r="C3067" s="21">
        <f t="shared" si="52"/>
        <v>-34</v>
      </c>
      <c r="BI3067" s="106">
        <v>-34</v>
      </c>
    </row>
    <row r="3068" spans="1:226" x14ac:dyDescent="0.25">
      <c r="A3068" s="127">
        <v>45097</v>
      </c>
      <c r="B3068" s="24" t="s">
        <v>83</v>
      </c>
      <c r="C3068" s="21">
        <f t="shared" si="52"/>
        <v>0</v>
      </c>
    </row>
    <row r="3069" spans="1:226" x14ac:dyDescent="0.25">
      <c r="A3069" s="127">
        <v>45097</v>
      </c>
      <c r="B3069" s="24" t="s">
        <v>174</v>
      </c>
      <c r="C3069" s="21">
        <f t="shared" si="52"/>
        <v>-17.23</v>
      </c>
      <c r="CA3069" s="106">
        <v>-8.34</v>
      </c>
      <c r="CG3069" s="106">
        <v>-8.89</v>
      </c>
    </row>
    <row r="3070" spans="1:226" x14ac:dyDescent="0.25">
      <c r="A3070" s="127">
        <v>45097</v>
      </c>
      <c r="B3070" s="24" t="s">
        <v>27</v>
      </c>
      <c r="C3070" s="21">
        <f t="shared" si="52"/>
        <v>-46.64</v>
      </c>
      <c r="BU3070" s="106">
        <v>-21.92</v>
      </c>
      <c r="CM3070" s="74">
        <v>-24.72</v>
      </c>
    </row>
    <row r="3071" spans="1:226" x14ac:dyDescent="0.25">
      <c r="A3071" s="127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27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27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27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27">
        <v>45097</v>
      </c>
      <c r="B3075" s="24" t="s">
        <v>151</v>
      </c>
      <c r="C3075" s="21">
        <f t="shared" si="52"/>
        <v>-8.23</v>
      </c>
      <c r="BO3075" s="74">
        <v>-8.23</v>
      </c>
    </row>
    <row r="3076" spans="1:199" x14ac:dyDescent="0.25">
      <c r="A3076" s="127">
        <v>45097</v>
      </c>
      <c r="B3076" s="24" t="s">
        <v>111</v>
      </c>
      <c r="C3076" s="21">
        <f t="shared" si="52"/>
        <v>-29.1</v>
      </c>
      <c r="BU3076" s="106">
        <v>-29.1</v>
      </c>
    </row>
    <row r="3077" spans="1:199" x14ac:dyDescent="0.25">
      <c r="A3077" s="127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27">
        <v>45097</v>
      </c>
      <c r="B3078" s="24" t="s">
        <v>113</v>
      </c>
      <c r="C3078" s="21">
        <f t="shared" si="52"/>
        <v>1458.48</v>
      </c>
      <c r="AN3078" s="74">
        <v>245.93</v>
      </c>
      <c r="BI3078" s="106">
        <f>38.6+171.46</f>
        <v>210.06</v>
      </c>
      <c r="CM3078" s="74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27">
        <v>44947</v>
      </c>
      <c r="B3079" s="24" t="s">
        <v>20</v>
      </c>
      <c r="C3079" s="21">
        <f t="shared" si="52"/>
        <v>-8.4700000000000006</v>
      </c>
      <c r="BO3079" s="74">
        <v>-8.4700000000000006</v>
      </c>
    </row>
    <row r="3080" spans="1:199" x14ac:dyDescent="0.25">
      <c r="A3080" s="127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27">
        <v>45099</v>
      </c>
      <c r="B3081" s="24" t="s">
        <v>48</v>
      </c>
      <c r="C3081" s="21">
        <f t="shared" si="52"/>
        <v>-8.4</v>
      </c>
      <c r="BO3081" s="74">
        <v>-8.4</v>
      </c>
    </row>
    <row r="3082" spans="1:199" x14ac:dyDescent="0.25">
      <c r="A3082" s="127">
        <v>45100</v>
      </c>
      <c r="B3082" s="24" t="s">
        <v>17</v>
      </c>
      <c r="C3082" s="21">
        <f t="shared" si="52"/>
        <v>-17.510000000000002</v>
      </c>
      <c r="BC3082" s="74">
        <v>-17.510000000000002</v>
      </c>
    </row>
    <row r="3083" spans="1:199" x14ac:dyDescent="0.25">
      <c r="A3083" s="127">
        <v>45100</v>
      </c>
      <c r="B3083" s="24" t="s">
        <v>48</v>
      </c>
      <c r="C3083" s="21">
        <f t="shared" si="52"/>
        <v>-36.07</v>
      </c>
      <c r="BI3083" s="106">
        <v>-36.07</v>
      </c>
    </row>
    <row r="3084" spans="1:199" x14ac:dyDescent="0.25">
      <c r="A3084" s="127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27">
        <v>45104</v>
      </c>
      <c r="B3085" s="24" t="s">
        <v>20</v>
      </c>
      <c r="C3085" s="21">
        <f t="shared" si="52"/>
        <v>-33.659999999999997</v>
      </c>
      <c r="CA3085" s="106">
        <v>-8.2899999999999991</v>
      </c>
      <c r="CG3085" s="106">
        <v>-8.02</v>
      </c>
      <c r="CM3085" s="74">
        <v>-8.73</v>
      </c>
      <c r="CS3085" s="74">
        <v>-8.6199999999999992</v>
      </c>
    </row>
    <row r="3086" spans="1:199" x14ac:dyDescent="0.25">
      <c r="A3086" s="127">
        <v>45104</v>
      </c>
      <c r="B3086" s="24" t="s">
        <v>65</v>
      </c>
      <c r="C3086" s="21">
        <f t="shared" si="52"/>
        <v>0</v>
      </c>
    </row>
    <row r="3087" spans="1:199" x14ac:dyDescent="0.25">
      <c r="A3087" s="127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74">
        <v>-66.55</v>
      </c>
      <c r="BC3087" s="74">
        <v>-33.6</v>
      </c>
      <c r="BI3087" s="106">
        <v>-174.11</v>
      </c>
      <c r="CA3087" s="106">
        <v>-67.2</v>
      </c>
      <c r="CG3087" s="106">
        <v>-68.98</v>
      </c>
      <c r="CM3087" s="74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27">
        <v>45111</v>
      </c>
      <c r="B3088" s="24" t="s">
        <v>75</v>
      </c>
      <c r="C3088" s="21">
        <f t="shared" si="52"/>
        <v>-23.47</v>
      </c>
      <c r="BM3088" s="88">
        <v>-16.13</v>
      </c>
      <c r="CA3088" s="106">
        <v>-7.34</v>
      </c>
    </row>
    <row r="3089" spans="1:211" x14ac:dyDescent="0.25">
      <c r="A3089" s="127">
        <v>45111</v>
      </c>
      <c r="B3089" s="24" t="s">
        <v>20</v>
      </c>
      <c r="C3089" s="21">
        <f t="shared" si="52"/>
        <v>-40.96</v>
      </c>
      <c r="BG3089" s="42">
        <v>-7.06</v>
      </c>
      <c r="BU3089" s="106">
        <v>-7.75</v>
      </c>
      <c r="CG3089" s="106">
        <v>-8.15</v>
      </c>
      <c r="CM3089" s="74">
        <v>-9.32</v>
      </c>
      <c r="CS3089" s="74">
        <v>-8.68</v>
      </c>
    </row>
    <row r="3090" spans="1:211" x14ac:dyDescent="0.25">
      <c r="A3090" s="127">
        <v>45111</v>
      </c>
      <c r="B3090" s="24" t="s">
        <v>79</v>
      </c>
      <c r="C3090" s="21">
        <f t="shared" si="52"/>
        <v>-14.2</v>
      </c>
      <c r="AN3090" s="74">
        <v>-8.0500000000000007</v>
      </c>
      <c r="AW3090" s="74">
        <v>-6.15</v>
      </c>
    </row>
    <row r="3091" spans="1:211" x14ac:dyDescent="0.25">
      <c r="A3091" s="127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74">
        <v>-17.809999999999999</v>
      </c>
      <c r="BO3091" s="74">
        <v>-16.899999999999999</v>
      </c>
      <c r="CG3091" s="106">
        <v>-17.47</v>
      </c>
      <c r="CM3091" s="74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27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27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27">
        <v>45111</v>
      </c>
      <c r="B3094" s="24" t="s">
        <v>17</v>
      </c>
      <c r="C3094" s="21">
        <f t="shared" si="52"/>
        <v>-42.8</v>
      </c>
      <c r="AR3094" s="74">
        <v>-9.08</v>
      </c>
      <c r="BI3094" s="106">
        <v>-9.07</v>
      </c>
      <c r="BO3094" s="74">
        <v>-8.4499999999999993</v>
      </c>
      <c r="BU3094" s="106">
        <v>-7.66</v>
      </c>
      <c r="CA3094" s="106">
        <v>-8.5399999999999991</v>
      </c>
    </row>
    <row r="3095" spans="1:211" x14ac:dyDescent="0.25">
      <c r="A3095" s="127">
        <v>45112</v>
      </c>
      <c r="B3095" s="24" t="s">
        <v>48</v>
      </c>
      <c r="C3095" s="21">
        <f t="shared" si="52"/>
        <v>0</v>
      </c>
    </row>
    <row r="3096" spans="1:211" x14ac:dyDescent="0.25">
      <c r="A3096" s="127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27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27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27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27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106">
        <v>-8</v>
      </c>
      <c r="CM3100" s="74">
        <v>-8.3000000000000007</v>
      </c>
      <c r="CY3100" s="74">
        <v>-8.7100000000000009</v>
      </c>
    </row>
    <row r="3101" spans="1:211" x14ac:dyDescent="0.25">
      <c r="A3101" s="127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27">
        <v>45112</v>
      </c>
      <c r="B3102" s="24" t="s">
        <v>19</v>
      </c>
      <c r="C3102" s="21">
        <f t="shared" si="52"/>
        <v>0</v>
      </c>
    </row>
    <row r="3103" spans="1:211" x14ac:dyDescent="0.25">
      <c r="A3103" s="127">
        <v>45112</v>
      </c>
      <c r="B3103" s="24" t="s">
        <v>111</v>
      </c>
      <c r="C3103" s="21">
        <f t="shared" si="52"/>
        <v>-16.07</v>
      </c>
      <c r="AP3103" s="42">
        <v>-8.31</v>
      </c>
      <c r="AR3103" s="74">
        <v>-7.76</v>
      </c>
    </row>
    <row r="3104" spans="1:211" x14ac:dyDescent="0.25">
      <c r="A3104" s="127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27">
        <v>45113</v>
      </c>
      <c r="B3105" s="24" t="s">
        <v>167</v>
      </c>
      <c r="C3105" s="21">
        <f t="shared" si="52"/>
        <v>-33.86</v>
      </c>
      <c r="D3105" s="145">
        <v>-8.92</v>
      </c>
      <c r="E3105" s="145">
        <f>-8.31-8.31-8.32</f>
        <v>-24.94</v>
      </c>
    </row>
    <row r="3106" spans="1:237" x14ac:dyDescent="0.25">
      <c r="A3106" s="127">
        <v>45113</v>
      </c>
      <c r="B3106" s="24" t="s">
        <v>167</v>
      </c>
      <c r="C3106" s="21">
        <f t="shared" si="52"/>
        <v>-7.31</v>
      </c>
      <c r="E3106" s="145">
        <v>-7.31</v>
      </c>
    </row>
    <row r="3107" spans="1:237" x14ac:dyDescent="0.25">
      <c r="A3107" s="127">
        <v>45113</v>
      </c>
      <c r="B3107" s="24" t="s">
        <v>68</v>
      </c>
      <c r="C3107" s="21">
        <f t="shared" si="52"/>
        <v>-100.28</v>
      </c>
      <c r="AR3107" s="74">
        <v>-31.45</v>
      </c>
      <c r="AW3107" s="74">
        <v>-34.950000000000003</v>
      </c>
      <c r="BC3107" s="74">
        <v>-33.880000000000003</v>
      </c>
    </row>
    <row r="3108" spans="1:237" x14ac:dyDescent="0.25">
      <c r="A3108" s="127">
        <v>45113</v>
      </c>
      <c r="B3108" s="24" t="s">
        <v>44</v>
      </c>
      <c r="C3108" s="21">
        <f t="shared" si="52"/>
        <v>-55.01</v>
      </c>
      <c r="BM3108" s="88">
        <v>-16.309999999999999</v>
      </c>
      <c r="GZ3108" s="106">
        <v>-38.700000000000003</v>
      </c>
    </row>
    <row r="3109" spans="1:237" x14ac:dyDescent="0.25">
      <c r="A3109" s="127">
        <v>45114</v>
      </c>
      <c r="B3109" s="24" t="s">
        <v>78</v>
      </c>
      <c r="C3109" s="21">
        <f t="shared" si="52"/>
        <v>-50.04</v>
      </c>
      <c r="AW3109" s="74">
        <v>-8.4</v>
      </c>
      <c r="BI3109" s="106">
        <v>-9.01</v>
      </c>
      <c r="BM3109" s="88">
        <v>-8.39</v>
      </c>
      <c r="BU3109" s="106">
        <v>-7.6</v>
      </c>
      <c r="CA3109" s="106">
        <v>-8.65</v>
      </c>
      <c r="CF3109" s="69">
        <v>-7.99</v>
      </c>
    </row>
    <row r="3110" spans="1:237" x14ac:dyDescent="0.25">
      <c r="A3110" s="127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27">
        <v>45114</v>
      </c>
      <c r="B3111" s="24" t="s">
        <v>39</v>
      </c>
      <c r="C3111" s="21">
        <f t="shared" si="52"/>
        <v>-68.05</v>
      </c>
      <c r="AU3111" s="42">
        <v>-8.5</v>
      </c>
      <c r="AW3111" s="74">
        <v>-8.3000000000000007</v>
      </c>
      <c r="BC3111" s="74">
        <v>-8.8699999999999992</v>
      </c>
      <c r="BI3111" s="106">
        <v>-9.0299999999999994</v>
      </c>
      <c r="BT3111" s="69">
        <v>-8.15</v>
      </c>
      <c r="CA3111" s="106">
        <v>-8.58</v>
      </c>
      <c r="CF3111" s="69">
        <v>-8.43</v>
      </c>
      <c r="CM3111" s="74">
        <v>-8.19</v>
      </c>
    </row>
    <row r="3112" spans="1:237" x14ac:dyDescent="0.25">
      <c r="A3112" s="127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27">
        <v>45114</v>
      </c>
      <c r="B3113" s="24" t="s">
        <v>27</v>
      </c>
      <c r="C3113" s="21">
        <f t="shared" si="52"/>
        <v>-24.85</v>
      </c>
      <c r="BC3113" s="74">
        <v>-24.85</v>
      </c>
    </row>
    <row r="3114" spans="1:237" x14ac:dyDescent="0.25">
      <c r="A3114" s="127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27">
        <v>45114</v>
      </c>
      <c r="B3115" s="24" t="s">
        <v>115</v>
      </c>
      <c r="C3115" s="21">
        <f t="shared" si="52"/>
        <v>63.43</v>
      </c>
      <c r="FT3115" s="115">
        <v>63.43</v>
      </c>
    </row>
    <row r="3116" spans="1:237" x14ac:dyDescent="0.25">
      <c r="A3116" s="127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27">
        <v>45115</v>
      </c>
      <c r="B3117" s="24" t="s">
        <v>113</v>
      </c>
      <c r="C3117" s="21">
        <f t="shared" si="52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27">
        <v>45117</v>
      </c>
      <c r="B3118" s="24" t="s">
        <v>27</v>
      </c>
      <c r="C3118" s="21">
        <f t="shared" si="52"/>
        <v>-26.11</v>
      </c>
      <c r="AW3118" s="74">
        <v>-26.11</v>
      </c>
    </row>
    <row r="3119" spans="1:237" x14ac:dyDescent="0.25">
      <c r="A3119" s="127">
        <v>45117</v>
      </c>
      <c r="B3119" s="24" t="s">
        <v>20</v>
      </c>
      <c r="C3119" s="21">
        <f t="shared" si="52"/>
        <v>-22.86</v>
      </c>
      <c r="AP3119" s="42">
        <v>-5.81</v>
      </c>
      <c r="BE3119" s="126">
        <v>-7.97</v>
      </c>
      <c r="BI3119" s="106">
        <v>-9.08</v>
      </c>
    </row>
    <row r="3120" spans="1:237" x14ac:dyDescent="0.25">
      <c r="A3120" s="127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5">
        <v>-63.43</v>
      </c>
    </row>
    <row r="3121" spans="1:224" x14ac:dyDescent="0.25">
      <c r="A3121" s="127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106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27">
        <v>45117</v>
      </c>
      <c r="B3122" s="24" t="s">
        <v>178</v>
      </c>
      <c r="C3122" s="21">
        <f t="shared" si="53"/>
        <v>-16.5</v>
      </c>
      <c r="BC3122" s="74">
        <v>-16.5</v>
      </c>
    </row>
    <row r="3123" spans="1:224" x14ac:dyDescent="0.25">
      <c r="A3123" s="127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27">
        <v>45118</v>
      </c>
      <c r="B3124" s="24" t="s">
        <v>25</v>
      </c>
      <c r="C3124" s="21">
        <f t="shared" si="53"/>
        <v>-41.52</v>
      </c>
      <c r="BE3124" s="126">
        <v>-8.26</v>
      </c>
      <c r="BG3124" s="42">
        <v>-7.03</v>
      </c>
      <c r="BT3124" s="69">
        <v>-8.41</v>
      </c>
      <c r="CA3124" s="106">
        <v>-8.65</v>
      </c>
      <c r="CE3124" s="42">
        <v>-9.17</v>
      </c>
    </row>
    <row r="3125" spans="1:224" x14ac:dyDescent="0.25">
      <c r="A3125" s="127">
        <v>45118</v>
      </c>
      <c r="B3125" s="24" t="s">
        <v>75</v>
      </c>
      <c r="C3125" s="21">
        <f t="shared" si="53"/>
        <v>-34.380000000000003</v>
      </c>
      <c r="AW3125" s="74">
        <v>-17.25</v>
      </c>
      <c r="BT3125" s="69">
        <v>-8.43</v>
      </c>
      <c r="CA3125" s="106">
        <v>-8.6999999999999993</v>
      </c>
    </row>
    <row r="3126" spans="1:224" x14ac:dyDescent="0.25">
      <c r="A3126" s="127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27">
        <v>45118</v>
      </c>
      <c r="B3127" s="24" t="s">
        <v>113</v>
      </c>
      <c r="C3127" s="21">
        <f t="shared" si="53"/>
        <v>919.45</v>
      </c>
      <c r="BC3127" s="74">
        <v>93.77</v>
      </c>
      <c r="BI3127" s="106">
        <v>162.25</v>
      </c>
      <c r="BO3127" s="74">
        <v>152.30000000000001</v>
      </c>
      <c r="BU3127" s="106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27">
        <v>45120</v>
      </c>
      <c r="B3128" s="24" t="s">
        <v>17</v>
      </c>
      <c r="C3128" s="21">
        <f t="shared" si="53"/>
        <v>-109.63500000000001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74">
        <v>-15.33</v>
      </c>
      <c r="BI3128" s="106">
        <v>-16.329999999999998</v>
      </c>
      <c r="BO3128" s="74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27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27">
        <v>45120</v>
      </c>
      <c r="B3130" s="24" t="s">
        <v>78</v>
      </c>
      <c r="C3130" s="21">
        <f t="shared" si="53"/>
        <v>-33.68</v>
      </c>
      <c r="BI3130" s="106">
        <v>-7.91</v>
      </c>
      <c r="DU3130" s="106">
        <v>-8.5500000000000007</v>
      </c>
      <c r="EA3130" s="74">
        <v>-17.22</v>
      </c>
    </row>
    <row r="3131" spans="1:224" x14ac:dyDescent="0.25">
      <c r="A3131" s="127">
        <v>45120</v>
      </c>
      <c r="B3131" s="24" t="s">
        <v>37</v>
      </c>
      <c r="C3131" s="21">
        <f t="shared" si="53"/>
        <v>-412.95</v>
      </c>
      <c r="GO3131" s="110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27">
        <v>45120</v>
      </c>
      <c r="B3132" s="24" t="s">
        <v>65</v>
      </c>
      <c r="C3132" s="21">
        <f t="shared" si="53"/>
        <v>0</v>
      </c>
    </row>
    <row r="3133" spans="1:224" x14ac:dyDescent="0.25">
      <c r="A3133" s="127">
        <v>45120</v>
      </c>
      <c r="B3133" s="24" t="s">
        <v>48</v>
      </c>
      <c r="C3133" s="21">
        <f t="shared" si="53"/>
        <v>-170.13</v>
      </c>
      <c r="BI3133" s="106">
        <v>-33.79</v>
      </c>
      <c r="BO3133" s="74">
        <v>-33.07</v>
      </c>
      <c r="BU3133" s="106">
        <v>-31.95</v>
      </c>
      <c r="CG3133" s="106">
        <v>-34.97</v>
      </c>
      <c r="CS3133" s="74">
        <v>-36.35</v>
      </c>
    </row>
    <row r="3134" spans="1:224" x14ac:dyDescent="0.25">
      <c r="A3134" s="127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27">
        <v>45121</v>
      </c>
      <c r="B3135" s="24" t="s">
        <v>20</v>
      </c>
      <c r="C3135" s="21">
        <f t="shared" si="53"/>
        <v>-17.285</v>
      </c>
      <c r="BC3135" s="74">
        <v>-8.1999999999999993</v>
      </c>
      <c r="BO3135" s="74">
        <v>-9.0850000000000009</v>
      </c>
    </row>
    <row r="3136" spans="1:224" x14ac:dyDescent="0.25">
      <c r="A3136" s="127">
        <v>45121</v>
      </c>
      <c r="B3136" s="24" t="s">
        <v>17</v>
      </c>
      <c r="C3136" s="21">
        <f t="shared" si="53"/>
        <v>-8</v>
      </c>
      <c r="BU3136" s="106">
        <v>-8</v>
      </c>
    </row>
    <row r="3137" spans="1:226" x14ac:dyDescent="0.25">
      <c r="A3137" s="127">
        <v>45121</v>
      </c>
      <c r="B3137" s="24" t="s">
        <v>84</v>
      </c>
      <c r="C3137" s="21">
        <f t="shared" si="53"/>
        <v>-43.67</v>
      </c>
      <c r="BC3137" s="74">
        <v>-8.2200000000000006</v>
      </c>
      <c r="BI3137" s="106">
        <v>-6.77</v>
      </c>
      <c r="BO3137" s="74">
        <v>-8.35</v>
      </c>
      <c r="BU3137" s="106">
        <v>-17.09</v>
      </c>
      <c r="CA3137" s="106">
        <v>-3.24</v>
      </c>
    </row>
    <row r="3138" spans="1:226" x14ac:dyDescent="0.25">
      <c r="A3138" s="127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27">
        <v>45121</v>
      </c>
      <c r="B3139" s="24" t="s">
        <v>48</v>
      </c>
      <c r="C3139" s="21">
        <f t="shared" si="53"/>
        <v>100.14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27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27">
        <v>45121</v>
      </c>
      <c r="B3141" s="24" t="s">
        <v>25</v>
      </c>
      <c r="C3141" s="21">
        <f t="shared" si="53"/>
        <v>-16.649999999999999</v>
      </c>
      <c r="CT3141" s="121">
        <f>-8.3-8.35</f>
        <v>-16.649999999999999</v>
      </c>
    </row>
    <row r="3142" spans="1:226" x14ac:dyDescent="0.25">
      <c r="A3142" s="127">
        <v>45121</v>
      </c>
      <c r="B3142" s="24" t="s">
        <v>174</v>
      </c>
      <c r="C3142" s="21">
        <f t="shared" si="53"/>
        <v>-33.14</v>
      </c>
      <c r="CG3142" s="106">
        <v>-17.670000000000002</v>
      </c>
      <c r="CM3142" s="74">
        <v>-15.47</v>
      </c>
    </row>
    <row r="3143" spans="1:226" x14ac:dyDescent="0.25">
      <c r="A3143" s="127">
        <v>45122</v>
      </c>
      <c r="B3143" s="24" t="s">
        <v>32</v>
      </c>
      <c r="C3143" s="21">
        <f t="shared" si="53"/>
        <v>-131.32</v>
      </c>
      <c r="AN3143" s="74">
        <v>-17.62</v>
      </c>
      <c r="AW3143" s="74">
        <v>-34.270000000000003</v>
      </c>
      <c r="BC3143" s="74">
        <v>-32.01</v>
      </c>
      <c r="BU3143" s="106">
        <v>-47.42</v>
      </c>
    </row>
    <row r="3144" spans="1:226" x14ac:dyDescent="0.25">
      <c r="A3144" s="127">
        <v>45122</v>
      </c>
      <c r="B3144" s="24" t="s">
        <v>32</v>
      </c>
      <c r="C3144" s="21">
        <f t="shared" si="53"/>
        <v>-42.09</v>
      </c>
      <c r="BU3144" s="106">
        <v>-16.420000000000002</v>
      </c>
      <c r="CC3144" s="126">
        <v>-8.23</v>
      </c>
      <c r="CS3144" s="74">
        <v>-17.440000000000001</v>
      </c>
    </row>
    <row r="3145" spans="1:226" x14ac:dyDescent="0.25">
      <c r="A3145" s="127">
        <v>45122</v>
      </c>
      <c r="B3145" s="24" t="s">
        <v>139</v>
      </c>
      <c r="C3145" s="21">
        <f t="shared" si="53"/>
        <v>-54.09</v>
      </c>
      <c r="BU3145" s="106">
        <v>-8.9499999999999993</v>
      </c>
      <c r="CG3145" s="106">
        <f>-9.39-9.62</f>
        <v>-19.010000000000002</v>
      </c>
      <c r="CM3145" s="74">
        <f>-8.69-8.85</f>
        <v>-17.54</v>
      </c>
      <c r="CS3145" s="74">
        <v>-8.59</v>
      </c>
    </row>
    <row r="3146" spans="1:226" x14ac:dyDescent="0.25">
      <c r="A3146" s="127">
        <v>45123</v>
      </c>
      <c r="B3146" s="24" t="s">
        <v>178</v>
      </c>
      <c r="C3146" s="21">
        <f t="shared" si="53"/>
        <v>-62.38</v>
      </c>
      <c r="BC3146" s="74">
        <v>-30.59</v>
      </c>
      <c r="BU3146" s="106">
        <v>-31.79</v>
      </c>
    </row>
    <row r="3147" spans="1:226" x14ac:dyDescent="0.25">
      <c r="A3147" s="127">
        <v>45123</v>
      </c>
      <c r="B3147" s="24" t="s">
        <v>65</v>
      </c>
      <c r="C3147" s="21">
        <f t="shared" si="53"/>
        <v>0</v>
      </c>
    </row>
    <row r="3148" spans="1:226" x14ac:dyDescent="0.25">
      <c r="A3148" s="127">
        <v>45124</v>
      </c>
      <c r="B3148" s="24" t="s">
        <v>59</v>
      </c>
      <c r="C3148" s="21">
        <f t="shared" si="53"/>
        <v>-3.27</v>
      </c>
      <c r="CG3148" s="106">
        <v>-3.27</v>
      </c>
    </row>
    <row r="3149" spans="1:226" x14ac:dyDescent="0.25">
      <c r="A3149" s="127">
        <v>45124</v>
      </c>
      <c r="B3149" s="24" t="s">
        <v>113</v>
      </c>
      <c r="C3149" s="21">
        <f t="shared" si="53"/>
        <v>1033.45</v>
      </c>
      <c r="AR3149" s="74">
        <v>93.76</v>
      </c>
      <c r="BC3149" s="74">
        <v>166.27</v>
      </c>
      <c r="BI3149" s="106">
        <v>195.1</v>
      </c>
      <c r="BO3149" s="74">
        <v>103.74</v>
      </c>
      <c r="BU3149" s="106">
        <v>29.95</v>
      </c>
      <c r="CA3149" s="106">
        <v>205.15</v>
      </c>
      <c r="HH3149" s="106">
        <v>170.17</v>
      </c>
      <c r="HR3149" s="92">
        <v>69.31</v>
      </c>
    </row>
    <row r="3150" spans="1:226" x14ac:dyDescent="0.25">
      <c r="A3150" s="127">
        <v>45124</v>
      </c>
      <c r="B3150" s="24" t="s">
        <v>82</v>
      </c>
      <c r="C3150" s="21">
        <f t="shared" si="53"/>
        <v>-162.66</v>
      </c>
      <c r="HH3150" s="106">
        <v>-152.83000000000001</v>
      </c>
      <c r="HR3150" s="92">
        <v>-9.83</v>
      </c>
    </row>
    <row r="3151" spans="1:226" x14ac:dyDescent="0.25">
      <c r="A3151" s="127">
        <v>45124</v>
      </c>
      <c r="B3151" s="24" t="s">
        <v>138</v>
      </c>
      <c r="C3151" s="21">
        <f t="shared" si="53"/>
        <v>-96.24</v>
      </c>
      <c r="BC3151" s="74">
        <v>-14.75</v>
      </c>
      <c r="BI3151" s="106">
        <v>-24.02</v>
      </c>
      <c r="BO3151" s="74">
        <v>-25.19</v>
      </c>
      <c r="BU3151" s="106">
        <v>-15.04</v>
      </c>
      <c r="CA3151" s="106">
        <v>-8.4600000000000009</v>
      </c>
      <c r="CS3151" s="74">
        <v>-8.7799999999999994</v>
      </c>
    </row>
    <row r="3152" spans="1:226" x14ac:dyDescent="0.25">
      <c r="A3152" s="127">
        <v>45124</v>
      </c>
      <c r="B3152" s="24" t="s">
        <v>20</v>
      </c>
      <c r="C3152" s="21">
        <f t="shared" si="53"/>
        <v>-23.1</v>
      </c>
      <c r="AW3152" s="74">
        <v>-8.01</v>
      </c>
      <c r="BI3152" s="106">
        <v>-7.63</v>
      </c>
      <c r="BU3152" s="106">
        <v>-7.46</v>
      </c>
    </row>
    <row r="3153" spans="1:131" x14ac:dyDescent="0.25">
      <c r="A3153" s="127">
        <v>45124</v>
      </c>
      <c r="B3153" s="24" t="s">
        <v>139</v>
      </c>
      <c r="C3153" s="21">
        <f t="shared" si="53"/>
        <v>-16.989999999999998</v>
      </c>
      <c r="CA3153" s="106">
        <v>-16.989999999999998</v>
      </c>
    </row>
    <row r="3154" spans="1:131" x14ac:dyDescent="0.25">
      <c r="A3154" s="127">
        <v>45124</v>
      </c>
      <c r="B3154" s="24" t="s">
        <v>65</v>
      </c>
      <c r="C3154" s="21">
        <f t="shared" si="53"/>
        <v>-134.24</v>
      </c>
      <c r="AW3154" s="74">
        <v>-134.24</v>
      </c>
    </row>
    <row r="3155" spans="1:131" x14ac:dyDescent="0.25">
      <c r="A3155" s="127">
        <v>45124</v>
      </c>
      <c r="B3155" s="24" t="s">
        <v>33</v>
      </c>
      <c r="C3155" s="21">
        <f t="shared" si="53"/>
        <v>-8.4499999999999993</v>
      </c>
      <c r="BO3155" s="74">
        <v>-8.4499999999999993</v>
      </c>
    </row>
    <row r="3156" spans="1:131" x14ac:dyDescent="0.25">
      <c r="A3156" s="127">
        <v>45124</v>
      </c>
      <c r="B3156" s="24" t="s">
        <v>162</v>
      </c>
      <c r="C3156" s="21">
        <f t="shared" si="53"/>
        <v>-142.83000000000001</v>
      </c>
      <c r="V3156" s="74">
        <v>-8.18</v>
      </c>
      <c r="AN3156" s="74">
        <v>-26.86</v>
      </c>
      <c r="AR3156" s="74">
        <v>-30.97</v>
      </c>
      <c r="BC3156" s="74">
        <v>-26.44</v>
      </c>
      <c r="BI3156" s="106">
        <v>-24.69</v>
      </c>
      <c r="BO3156" s="74">
        <v>-17.190000000000001</v>
      </c>
      <c r="CA3156" s="106">
        <v>-8.5</v>
      </c>
    </row>
    <row r="3157" spans="1:131" x14ac:dyDescent="0.25">
      <c r="A3157" s="127">
        <v>45124</v>
      </c>
      <c r="B3157" s="24" t="s">
        <v>25</v>
      </c>
      <c r="C3157" s="21">
        <f t="shared" si="53"/>
        <v>-49.185000000000002</v>
      </c>
      <c r="BI3157" s="106">
        <v>-7.95</v>
      </c>
      <c r="BO3157" s="74">
        <v>-7.4550000000000001</v>
      </c>
      <c r="BU3157" s="106">
        <v>-7.45</v>
      </c>
      <c r="CA3157" s="106">
        <v>-8.5299999999999994</v>
      </c>
      <c r="CG3157" s="106">
        <v>-9.39</v>
      </c>
      <c r="CM3157" s="74">
        <v>-8.41</v>
      </c>
    </row>
    <row r="3158" spans="1:131" x14ac:dyDescent="0.25">
      <c r="A3158" s="127">
        <v>45124</v>
      </c>
      <c r="B3158" s="24" t="s">
        <v>17</v>
      </c>
      <c r="C3158" s="21">
        <f t="shared" si="53"/>
        <v>-24.98</v>
      </c>
      <c r="AR3158" s="74">
        <v>-24.98</v>
      </c>
    </row>
    <row r="3159" spans="1:131" x14ac:dyDescent="0.25">
      <c r="A3159" s="127">
        <v>45124</v>
      </c>
      <c r="B3159" s="24" t="s">
        <v>133</v>
      </c>
      <c r="C3159" s="21">
        <f t="shared" si="53"/>
        <v>-266.48</v>
      </c>
      <c r="BC3159" s="74">
        <v>-34.130000000000003</v>
      </c>
      <c r="BI3159" s="106">
        <v>-64.64</v>
      </c>
      <c r="BO3159" s="74">
        <v>-68.040000000000006</v>
      </c>
      <c r="CF3159" s="69">
        <v>-33.72</v>
      </c>
      <c r="CM3159" s="74">
        <v>-32.950000000000003</v>
      </c>
      <c r="CS3159" s="74">
        <v>-33</v>
      </c>
    </row>
    <row r="3160" spans="1:131" x14ac:dyDescent="0.25">
      <c r="A3160" s="127">
        <v>45126</v>
      </c>
      <c r="B3160" s="24" t="s">
        <v>17</v>
      </c>
      <c r="C3160" s="21">
        <f t="shared" si="53"/>
        <v>-16.149999999999999</v>
      </c>
      <c r="BI3160" s="106">
        <v>-16.149999999999999</v>
      </c>
    </row>
    <row r="3161" spans="1:131" x14ac:dyDescent="0.25">
      <c r="A3161" s="127">
        <v>45126</v>
      </c>
      <c r="B3161" s="24" t="s">
        <v>48</v>
      </c>
      <c r="C3161" s="21">
        <f t="shared" si="53"/>
        <v>0</v>
      </c>
    </row>
    <row r="3162" spans="1:131" x14ac:dyDescent="0.25">
      <c r="A3162" s="127">
        <v>45127</v>
      </c>
      <c r="B3162" s="24" t="s">
        <v>48</v>
      </c>
      <c r="C3162" s="21">
        <f t="shared" si="53"/>
        <v>-35.83</v>
      </c>
      <c r="BC3162" s="74">
        <v>-8.92</v>
      </c>
      <c r="BI3162" s="106">
        <f>-9.11-8.97</f>
        <v>-18.079999999999998</v>
      </c>
      <c r="BO3162" s="74">
        <v>-8.83</v>
      </c>
    </row>
    <row r="3163" spans="1:131" x14ac:dyDescent="0.25">
      <c r="A3163" s="127">
        <v>45127</v>
      </c>
      <c r="B3163" s="24" t="s">
        <v>113</v>
      </c>
      <c r="C3163" s="21">
        <f t="shared" si="53"/>
        <v>1215.67</v>
      </c>
      <c r="AC3163" s="74">
        <v>157.72</v>
      </c>
      <c r="AN3163" s="74">
        <v>103.71</v>
      </c>
      <c r="AR3163" s="74">
        <v>98.08</v>
      </c>
      <c r="BO3163" s="74">
        <v>103.82</v>
      </c>
      <c r="BU3163" s="106">
        <v>91.08</v>
      </c>
      <c r="CG3163" s="106">
        <v>101.69</v>
      </c>
      <c r="CM3163" s="74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27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27">
        <v>45127</v>
      </c>
      <c r="B3165" s="24" t="s">
        <v>133</v>
      </c>
      <c r="C3165" s="21">
        <f t="shared" si="53"/>
        <v>-129.5</v>
      </c>
      <c r="AW3165" s="74">
        <v>-33.31</v>
      </c>
      <c r="BC3165" s="74">
        <v>-32.54</v>
      </c>
      <c r="BO3165" s="74">
        <v>-33.86</v>
      </c>
      <c r="BU3165" s="106">
        <v>-29.79</v>
      </c>
    </row>
    <row r="3166" spans="1:131" x14ac:dyDescent="0.25">
      <c r="A3166" s="127">
        <v>45127</v>
      </c>
      <c r="B3166" s="24" t="s">
        <v>48</v>
      </c>
      <c r="C3166" s="21">
        <f t="shared" si="53"/>
        <v>-7.65</v>
      </c>
      <c r="J3166" s="110">
        <v>-7.65</v>
      </c>
    </row>
    <row r="3167" spans="1:131" x14ac:dyDescent="0.25">
      <c r="A3167" s="127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27">
        <v>45128</v>
      </c>
      <c r="B3168" s="24" t="s">
        <v>151</v>
      </c>
      <c r="C3168" s="21">
        <f t="shared" si="53"/>
        <v>-2.42</v>
      </c>
      <c r="AW3168" s="74">
        <v>-2.42</v>
      </c>
    </row>
    <row r="3169" spans="1:228" x14ac:dyDescent="0.25">
      <c r="A3169" s="127">
        <v>45128</v>
      </c>
      <c r="B3169" s="24" t="s">
        <v>20</v>
      </c>
      <c r="C3169" s="21">
        <f t="shared" si="53"/>
        <v>-24.96</v>
      </c>
      <c r="BO3169" s="74">
        <v>-8.83</v>
      </c>
      <c r="BU3169" s="106">
        <v>-7.63</v>
      </c>
      <c r="CA3169" s="106">
        <v>-8.5</v>
      </c>
    </row>
    <row r="3170" spans="1:228" x14ac:dyDescent="0.25">
      <c r="A3170" s="127">
        <v>45128</v>
      </c>
      <c r="B3170" s="24" t="s">
        <v>68</v>
      </c>
      <c r="C3170" s="21">
        <f t="shared" si="53"/>
        <v>-136.24</v>
      </c>
      <c r="AN3170" s="74">
        <v>-34.58</v>
      </c>
      <c r="BC3170" s="74">
        <v>-33.950000000000003</v>
      </c>
      <c r="BI3170" s="106">
        <v>-31.83</v>
      </c>
      <c r="BO3170" s="74">
        <v>-35.880000000000003</v>
      </c>
    </row>
    <row r="3171" spans="1:228" x14ac:dyDescent="0.25">
      <c r="A3171" s="127">
        <v>45128</v>
      </c>
      <c r="B3171" s="24" t="s">
        <v>139</v>
      </c>
      <c r="C3171" s="21">
        <f t="shared" si="53"/>
        <v>-58.27</v>
      </c>
      <c r="BO3171" s="74">
        <v>-8.48</v>
      </c>
      <c r="BU3171" s="106">
        <v>-7.39</v>
      </c>
      <c r="CA3171" s="106">
        <v>-8.4600000000000009</v>
      </c>
      <c r="CG3171" s="106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27">
        <v>45128</v>
      </c>
      <c r="B3172" s="24" t="s">
        <v>25</v>
      </c>
      <c r="C3172" s="21">
        <f t="shared" si="53"/>
        <v>-43.09</v>
      </c>
      <c r="BU3172" s="106">
        <v>-7.52</v>
      </c>
      <c r="CG3172" s="106">
        <v>-9.86</v>
      </c>
      <c r="CM3172" s="74">
        <v>-17.05</v>
      </c>
      <c r="CS3172" s="74">
        <v>-8.66</v>
      </c>
    </row>
    <row r="3173" spans="1:228" x14ac:dyDescent="0.25">
      <c r="A3173" s="127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27">
        <v>45129</v>
      </c>
      <c r="B3174" s="24" t="s">
        <v>161</v>
      </c>
      <c r="C3174" s="21">
        <f t="shared" si="53"/>
        <v>0</v>
      </c>
    </row>
    <row r="3175" spans="1:228" x14ac:dyDescent="0.25">
      <c r="A3175" s="127">
        <v>45129</v>
      </c>
      <c r="B3175" s="24" t="s">
        <v>113</v>
      </c>
      <c r="C3175" s="21">
        <f t="shared" si="53"/>
        <v>972.68499999999995</v>
      </c>
      <c r="AN3175" s="74">
        <v>103.82</v>
      </c>
      <c r="AW3175" s="74">
        <v>97.275000000000006</v>
      </c>
      <c r="BC3175" s="74">
        <v>94.04</v>
      </c>
      <c r="BI3175" s="106">
        <v>47.84</v>
      </c>
      <c r="BO3175" s="74">
        <v>104.05</v>
      </c>
      <c r="BU3175" s="106">
        <v>91.5</v>
      </c>
      <c r="CA3175" s="106">
        <v>101.81</v>
      </c>
      <c r="CG3175" s="106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27">
        <v>45129</v>
      </c>
      <c r="B3176" s="24" t="s">
        <v>161</v>
      </c>
      <c r="C3176" s="21">
        <f t="shared" si="53"/>
        <v>-15.78</v>
      </c>
      <c r="AC3176" s="74">
        <f>-7.94-7.84</f>
        <v>-15.78</v>
      </c>
    </row>
    <row r="3177" spans="1:228" x14ac:dyDescent="0.25">
      <c r="A3177" s="127">
        <v>45129</v>
      </c>
      <c r="B3177" s="24" t="s">
        <v>78</v>
      </c>
      <c r="C3177" s="21">
        <f t="shared" si="53"/>
        <v>-80.23</v>
      </c>
      <c r="BC3177" s="74">
        <v>-32.4</v>
      </c>
      <c r="BI3177" s="106">
        <v>-15.85</v>
      </c>
      <c r="BO3177" s="74">
        <v>-17.04</v>
      </c>
      <c r="BU3177" s="106">
        <v>-14.94</v>
      </c>
    </row>
    <row r="3178" spans="1:228" x14ac:dyDescent="0.25">
      <c r="A3178" s="127">
        <v>45131</v>
      </c>
      <c r="B3178" s="24" t="s">
        <v>29</v>
      </c>
      <c r="C3178" s="21">
        <f t="shared" si="53"/>
        <v>-25.04</v>
      </c>
      <c r="BC3178" s="74">
        <v>-8</v>
      </c>
      <c r="BI3178" s="106">
        <v>-8.8699999999999992</v>
      </c>
      <c r="BO3178" s="74">
        <v>-8.17</v>
      </c>
    </row>
    <row r="3179" spans="1:228" x14ac:dyDescent="0.25">
      <c r="A3179" s="127">
        <v>45131</v>
      </c>
      <c r="B3179" s="24" t="s">
        <v>178</v>
      </c>
      <c r="C3179" s="21">
        <f t="shared" si="53"/>
        <v>-61.3</v>
      </c>
      <c r="BC3179" s="74">
        <v>-32</v>
      </c>
      <c r="BU3179" s="106">
        <v>-29.3</v>
      </c>
    </row>
    <row r="3180" spans="1:228" x14ac:dyDescent="0.25">
      <c r="A3180" s="127">
        <v>45132</v>
      </c>
      <c r="B3180" s="24" t="s">
        <v>127</v>
      </c>
      <c r="C3180" s="21">
        <f t="shared" si="53"/>
        <v>-8</v>
      </c>
      <c r="BC3180" s="74">
        <v>-8</v>
      </c>
    </row>
    <row r="3181" spans="1:228" x14ac:dyDescent="0.25">
      <c r="A3181" s="127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27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27">
        <v>45132</v>
      </c>
      <c r="B3183" s="24" t="s">
        <v>75</v>
      </c>
      <c r="C3183" s="21">
        <f t="shared" si="53"/>
        <v>-49.48</v>
      </c>
      <c r="BU3183" s="106">
        <v>-6.66</v>
      </c>
      <c r="CG3183" s="106">
        <v>-9.61</v>
      </c>
      <c r="CM3183" s="74">
        <v>-8.33</v>
      </c>
      <c r="EA3183" s="74">
        <v>-24.88</v>
      </c>
    </row>
    <row r="3184" spans="1:228" x14ac:dyDescent="0.25">
      <c r="A3184" s="127">
        <v>45132</v>
      </c>
      <c r="B3184" s="24" t="s">
        <v>17</v>
      </c>
      <c r="C3184" s="21">
        <f t="shared" si="53"/>
        <v>-48.95</v>
      </c>
      <c r="BC3184" s="74">
        <v>-6.31</v>
      </c>
      <c r="BO3184" s="74">
        <v>-8.82</v>
      </c>
      <c r="BU3184" s="106">
        <v>-7.96</v>
      </c>
      <c r="CS3184" s="74">
        <v>-9.0299999999999994</v>
      </c>
      <c r="CY3184" s="74">
        <v>-16.829999999999998</v>
      </c>
    </row>
    <row r="3185" spans="1:186" x14ac:dyDescent="0.25">
      <c r="A3185" s="127">
        <v>45132</v>
      </c>
      <c r="B3185" s="24" t="s">
        <v>17</v>
      </c>
      <c r="C3185" s="21">
        <f t="shared" ref="C3185:C3248" si="54">SUM(D3185:JT3185)</f>
        <v>-66.125</v>
      </c>
      <c r="AW3185" s="74">
        <v>-18.024999999999999</v>
      </c>
      <c r="BC3185" s="74">
        <v>-14.97</v>
      </c>
      <c r="BO3185" s="74">
        <v>-17.690000000000001</v>
      </c>
      <c r="BU3185" s="106">
        <v>-15.44</v>
      </c>
    </row>
    <row r="3186" spans="1:186" x14ac:dyDescent="0.25">
      <c r="A3186" s="127">
        <v>45132</v>
      </c>
      <c r="B3186" s="24" t="s">
        <v>162</v>
      </c>
      <c r="C3186" s="21">
        <f t="shared" si="54"/>
        <v>-23.49</v>
      </c>
      <c r="BU3186" s="106">
        <v>-23.49</v>
      </c>
    </row>
    <row r="3187" spans="1:186" x14ac:dyDescent="0.25">
      <c r="A3187" s="127">
        <v>45132</v>
      </c>
      <c r="B3187" s="24" t="s">
        <v>25</v>
      </c>
      <c r="C3187" s="21">
        <f t="shared" si="54"/>
        <v>-47.41</v>
      </c>
      <c r="AN3187" s="74">
        <v>-8.77</v>
      </c>
      <c r="AR3187" s="74">
        <v>-6.26</v>
      </c>
      <c r="AW3187" s="74">
        <v>-7.84</v>
      </c>
      <c r="BU3187" s="106">
        <v>-7.94</v>
      </c>
      <c r="CA3187" s="106">
        <v>-8.49</v>
      </c>
      <c r="CG3187" s="106">
        <v>-8.11</v>
      </c>
    </row>
    <row r="3188" spans="1:186" x14ac:dyDescent="0.25">
      <c r="A3188" s="127">
        <v>45132</v>
      </c>
      <c r="B3188" s="24" t="s">
        <v>147</v>
      </c>
      <c r="C3188" s="21">
        <f t="shared" si="54"/>
        <v>-25.28</v>
      </c>
      <c r="BI3188" s="106">
        <v>-8.4700000000000006</v>
      </c>
      <c r="BO3188" s="74">
        <v>-8.83</v>
      </c>
      <c r="BU3188" s="106">
        <v>-7.98</v>
      </c>
    </row>
    <row r="3189" spans="1:186" x14ac:dyDescent="0.25">
      <c r="A3189" s="127">
        <v>45132</v>
      </c>
      <c r="B3189" s="24" t="s">
        <v>147</v>
      </c>
      <c r="C3189" s="21">
        <f t="shared" si="54"/>
        <v>-22.88</v>
      </c>
      <c r="AR3189" s="74">
        <v>-8.26</v>
      </c>
      <c r="AW3189" s="74">
        <v>-7.29</v>
      </c>
      <c r="BC3189" s="74">
        <v>-7.33</v>
      </c>
    </row>
    <row r="3190" spans="1:186" x14ac:dyDescent="0.25">
      <c r="A3190" s="127">
        <v>45132</v>
      </c>
      <c r="B3190" s="24" t="s">
        <v>84</v>
      </c>
      <c r="C3190" s="21">
        <f t="shared" si="54"/>
        <v>-16.68</v>
      </c>
      <c r="BI3190" s="106">
        <v>-7.86</v>
      </c>
      <c r="BO3190" s="74">
        <v>-8.82</v>
      </c>
    </row>
    <row r="3191" spans="1:186" x14ac:dyDescent="0.25">
      <c r="A3191" s="127">
        <v>45132</v>
      </c>
      <c r="B3191" s="24" t="s">
        <v>59</v>
      </c>
      <c r="C3191" s="21">
        <f t="shared" si="54"/>
        <v>-11.87</v>
      </c>
      <c r="CA3191" s="106">
        <v>-2.35</v>
      </c>
      <c r="CG3191" s="106">
        <v>-2.68</v>
      </c>
      <c r="DK3191" s="74">
        <v>-4.43</v>
      </c>
      <c r="DP3191" s="74">
        <v>-2.41</v>
      </c>
    </row>
    <row r="3192" spans="1:186" x14ac:dyDescent="0.25">
      <c r="A3192" s="127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74">
        <v>-32.68</v>
      </c>
      <c r="BI3192" s="106">
        <v>-62.34</v>
      </c>
      <c r="BO3192" s="74">
        <v>-34.08</v>
      </c>
      <c r="CA3192" s="106">
        <v>-33.99</v>
      </c>
      <c r="CM3192" s="74">
        <v>-64.62</v>
      </c>
      <c r="CS3192" s="74">
        <v>-33.83</v>
      </c>
      <c r="DE3192" s="74">
        <v>-33.604999999999997</v>
      </c>
    </row>
    <row r="3193" spans="1:186" x14ac:dyDescent="0.25">
      <c r="A3193" s="127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106">
        <v>-33.159999999999997</v>
      </c>
      <c r="BO3193" s="74">
        <v>-70.38</v>
      </c>
      <c r="CA3193" s="106">
        <v>-34.9</v>
      </c>
      <c r="CG3193" s="106">
        <v>-69.760000000000005</v>
      </c>
      <c r="CM3193" s="74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5">
        <v>-19.47</v>
      </c>
    </row>
    <row r="3194" spans="1:186" x14ac:dyDescent="0.25">
      <c r="A3194" s="127">
        <v>45133</v>
      </c>
      <c r="B3194" s="24" t="s">
        <v>140</v>
      </c>
      <c r="C3194" s="21">
        <f t="shared" si="54"/>
        <v>-71.885000000000005</v>
      </c>
      <c r="D3194" s="145">
        <v>-49.965000000000003</v>
      </c>
      <c r="E3194" s="145">
        <v>-21.92</v>
      </c>
    </row>
    <row r="3195" spans="1:186" x14ac:dyDescent="0.25">
      <c r="A3195" s="127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27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74">
        <v>179.95</v>
      </c>
      <c r="BC3196" s="74">
        <v>78.58</v>
      </c>
      <c r="BI3196" s="106">
        <v>168.84</v>
      </c>
      <c r="CA3196" s="106">
        <v>167.75</v>
      </c>
      <c r="CM3196" s="74">
        <v>303.99</v>
      </c>
      <c r="CS3196" s="74">
        <v>203.59</v>
      </c>
    </row>
    <row r="3197" spans="1:186" x14ac:dyDescent="0.25">
      <c r="A3197" s="127">
        <v>45134</v>
      </c>
      <c r="B3197" s="24" t="s">
        <v>32</v>
      </c>
      <c r="C3197" s="21">
        <f t="shared" si="54"/>
        <v>-224.61</v>
      </c>
      <c r="AR3197" s="74">
        <v>-16.2</v>
      </c>
      <c r="AW3197" s="74">
        <v>-16.670000000000002</v>
      </c>
      <c r="BC3197" s="74">
        <v>-31.61</v>
      </c>
      <c r="BI3197" s="106">
        <v>-31.32</v>
      </c>
      <c r="CG3197" s="106">
        <v>-31.1</v>
      </c>
      <c r="CM3197" s="74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27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106">
        <v>-16.760000000000002</v>
      </c>
      <c r="CA3198" s="106">
        <v>-33.97</v>
      </c>
      <c r="CG3198" s="106">
        <v>-29.95</v>
      </c>
      <c r="DE3198" s="74">
        <v>-18.32</v>
      </c>
      <c r="DK3198" s="74">
        <v>-15.3</v>
      </c>
    </row>
    <row r="3199" spans="1:186" x14ac:dyDescent="0.25">
      <c r="A3199" s="127">
        <v>45134</v>
      </c>
      <c r="B3199" s="24" t="s">
        <v>133</v>
      </c>
      <c r="C3199" s="21">
        <f t="shared" si="54"/>
        <v>-169.72</v>
      </c>
      <c r="AG3199" s="106">
        <v>-35.35</v>
      </c>
      <c r="BI3199" s="106">
        <v>-35.630000000000003</v>
      </c>
      <c r="CA3199" s="106">
        <v>-31.89</v>
      </c>
      <c r="CS3199" s="74">
        <v>-33.04</v>
      </c>
      <c r="CY3199" s="74">
        <v>-33.81</v>
      </c>
    </row>
    <row r="3200" spans="1:186" x14ac:dyDescent="0.25">
      <c r="A3200" s="127">
        <v>45135</v>
      </c>
      <c r="B3200" s="24" t="s">
        <v>17</v>
      </c>
      <c r="C3200" s="21">
        <f t="shared" si="54"/>
        <v>-50.76</v>
      </c>
      <c r="AR3200" s="74">
        <v>-7.91</v>
      </c>
      <c r="BC3200" s="74">
        <v>-7.59</v>
      </c>
      <c r="BI3200" s="106">
        <f>-8.91-8.37</f>
        <v>-17.28</v>
      </c>
      <c r="CS3200" s="74">
        <v>-17.98</v>
      </c>
    </row>
    <row r="3201" spans="1:231" x14ac:dyDescent="0.25">
      <c r="A3201" s="127">
        <v>45135</v>
      </c>
      <c r="B3201" s="24" t="s">
        <v>48</v>
      </c>
      <c r="C3201" s="21">
        <f t="shared" si="54"/>
        <v>-50.77</v>
      </c>
      <c r="BC3201" s="74">
        <v>-6.3</v>
      </c>
      <c r="BI3201" s="106">
        <f>-35.46-9.01</f>
        <v>-44.47</v>
      </c>
    </row>
    <row r="3202" spans="1:231" x14ac:dyDescent="0.25">
      <c r="A3202" s="127">
        <v>45135</v>
      </c>
      <c r="B3202" s="24" t="s">
        <v>113</v>
      </c>
      <c r="C3202" s="21">
        <f t="shared" si="54"/>
        <v>1528.47</v>
      </c>
      <c r="AC3202" s="74">
        <v>31.84</v>
      </c>
      <c r="AW3202" s="74">
        <v>176.16499999999999</v>
      </c>
      <c r="BI3202" s="106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27">
        <v>45135</v>
      </c>
      <c r="B3203" s="24" t="s">
        <v>139</v>
      </c>
      <c r="C3203" s="21">
        <f t="shared" si="54"/>
        <v>-58.23</v>
      </c>
      <c r="AC3203" s="74">
        <v>-7.87</v>
      </c>
      <c r="BC3203" s="74">
        <v>-8.32</v>
      </c>
      <c r="CA3203" s="106">
        <v>-8.44</v>
      </c>
      <c r="CM3203" s="74">
        <v>-15.65</v>
      </c>
      <c r="CS3203" s="74">
        <v>-17.95</v>
      </c>
    </row>
    <row r="3204" spans="1:231" x14ac:dyDescent="0.25">
      <c r="A3204" s="127">
        <v>45135</v>
      </c>
      <c r="B3204" s="24" t="s">
        <v>44</v>
      </c>
      <c r="C3204" s="21">
        <f t="shared" si="54"/>
        <v>-221.215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27">
        <v>45136</v>
      </c>
      <c r="B3205" s="24" t="s">
        <v>152</v>
      </c>
      <c r="C3205" s="21">
        <f t="shared" si="54"/>
        <v>-602.27499999999998</v>
      </c>
      <c r="AW3205" s="74">
        <v>-33.664999999999999</v>
      </c>
      <c r="BI3205" s="106">
        <v>-67.92</v>
      </c>
      <c r="CA3205" s="106">
        <v>-67.89</v>
      </c>
      <c r="CG3205" s="106">
        <v>-32.909999999999997</v>
      </c>
      <c r="CM3205" s="74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27">
        <v>45136</v>
      </c>
      <c r="B3206" s="24" t="s">
        <v>149</v>
      </c>
      <c r="C3206" s="21">
        <f t="shared" si="54"/>
        <v>-11.62</v>
      </c>
      <c r="AG3206" s="106">
        <v>-8.82</v>
      </c>
      <c r="AM3206" s="69">
        <v>-2.8</v>
      </c>
    </row>
    <row r="3207" spans="1:231" x14ac:dyDescent="0.25">
      <c r="A3207" s="127">
        <v>45136</v>
      </c>
      <c r="B3207" s="24" t="s">
        <v>25</v>
      </c>
      <c r="C3207" s="21">
        <f t="shared" si="54"/>
        <v>-52.02</v>
      </c>
      <c r="CG3207" s="106">
        <v>-25.8</v>
      </c>
      <c r="CM3207" s="74">
        <v>-26.22</v>
      </c>
    </row>
    <row r="3208" spans="1:231" x14ac:dyDescent="0.25">
      <c r="A3208" s="127">
        <v>45136</v>
      </c>
      <c r="B3208" s="24" t="s">
        <v>59</v>
      </c>
      <c r="C3208" s="21">
        <f t="shared" si="54"/>
        <v>0</v>
      </c>
      <c r="CA3208" s="106">
        <v>-8.44</v>
      </c>
      <c r="CG3208" s="106">
        <v>8.44</v>
      </c>
    </row>
    <row r="3209" spans="1:231" x14ac:dyDescent="0.25">
      <c r="A3209" s="127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27">
        <v>45138</v>
      </c>
      <c r="B3210" s="24" t="s">
        <v>19</v>
      </c>
      <c r="C3210" s="21">
        <f t="shared" si="54"/>
        <v>0</v>
      </c>
    </row>
    <row r="3211" spans="1:231" x14ac:dyDescent="0.25">
      <c r="A3211" s="127">
        <v>45138</v>
      </c>
      <c r="B3211" s="24" t="s">
        <v>222</v>
      </c>
      <c r="C3211" s="21">
        <f t="shared" si="54"/>
        <v>-17.309999999999999</v>
      </c>
      <c r="BC3211" s="74">
        <v>-8.26</v>
      </c>
      <c r="BI3211" s="106">
        <v>-9.0500000000000007</v>
      </c>
    </row>
    <row r="3212" spans="1:231" x14ac:dyDescent="0.25">
      <c r="A3212" s="127">
        <v>45138</v>
      </c>
      <c r="B3212" s="24" t="s">
        <v>17</v>
      </c>
      <c r="C3212" s="21">
        <f t="shared" si="54"/>
        <v>-16.66</v>
      </c>
      <c r="AW3212" s="74">
        <v>-8.44</v>
      </c>
      <c r="BU3212" s="106">
        <v>-8.2200000000000006</v>
      </c>
    </row>
    <row r="3213" spans="1:231" x14ac:dyDescent="0.25">
      <c r="A3213" s="127">
        <v>45138</v>
      </c>
      <c r="B3213" s="24" t="s">
        <v>33</v>
      </c>
      <c r="C3213" s="21">
        <f t="shared" si="54"/>
        <v>-16.05</v>
      </c>
      <c r="AR3213" s="74">
        <v>-7.01</v>
      </c>
      <c r="BI3213" s="106">
        <v>-9.0399999999999991</v>
      </c>
    </row>
    <row r="3214" spans="1:231" x14ac:dyDescent="0.25">
      <c r="A3214" s="127">
        <v>45138</v>
      </c>
      <c r="B3214" s="24" t="s">
        <v>138</v>
      </c>
      <c r="C3214" s="21">
        <f t="shared" si="54"/>
        <v>-15.88</v>
      </c>
      <c r="CM3214" s="74">
        <v>-15.88</v>
      </c>
    </row>
    <row r="3215" spans="1:231" x14ac:dyDescent="0.25">
      <c r="A3215" s="127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74">
        <v>-6.3</v>
      </c>
      <c r="BC3215" s="74">
        <v>-8.24</v>
      </c>
      <c r="BI3215" s="106">
        <v>-9.11</v>
      </c>
    </row>
    <row r="3216" spans="1:231" x14ac:dyDescent="0.25">
      <c r="A3216" s="127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106">
        <v>-8.1999999999999993</v>
      </c>
      <c r="CA3216" s="106">
        <v>-8.48</v>
      </c>
    </row>
    <row r="3217" spans="1:212" x14ac:dyDescent="0.25">
      <c r="A3217" s="127">
        <v>45139</v>
      </c>
      <c r="B3217" s="24" t="s">
        <v>79</v>
      </c>
      <c r="C3217" s="21">
        <f t="shared" si="54"/>
        <v>-42.73</v>
      </c>
      <c r="BS3217" s="42">
        <v>-8.5299999999999994</v>
      </c>
      <c r="BU3217" s="106">
        <v>-8.2100000000000009</v>
      </c>
      <c r="CA3217" s="106">
        <v>-8.49</v>
      </c>
      <c r="CG3217" s="106">
        <v>-9.01</v>
      </c>
      <c r="DE3217" s="74">
        <v>-8.49</v>
      </c>
    </row>
    <row r="3218" spans="1:212" x14ac:dyDescent="0.25">
      <c r="A3218" s="127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27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27">
        <v>45139</v>
      </c>
      <c r="B3220" s="24" t="s">
        <v>113</v>
      </c>
      <c r="C3220" s="21">
        <f t="shared" si="54"/>
        <v>587.45000000000005</v>
      </c>
      <c r="AR3220" s="74">
        <v>254.23</v>
      </c>
      <c r="CM3220" s="74">
        <v>182.41</v>
      </c>
      <c r="GQ3220" s="92">
        <v>150.81</v>
      </c>
    </row>
    <row r="3221" spans="1:212" x14ac:dyDescent="0.25">
      <c r="A3221" s="127">
        <v>45140</v>
      </c>
      <c r="B3221" s="24" t="s">
        <v>176</v>
      </c>
      <c r="C3221" s="21">
        <f t="shared" si="54"/>
        <v>-8.2799999999999994</v>
      </c>
      <c r="D3221" s="145">
        <v>-8.2799999999999994</v>
      </c>
    </row>
    <row r="3222" spans="1:212" x14ac:dyDescent="0.25">
      <c r="A3222" s="127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27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27">
        <v>45141</v>
      </c>
      <c r="B3224" s="24" t="s">
        <v>84</v>
      </c>
      <c r="C3224" s="21">
        <f t="shared" si="54"/>
        <v>-17.2</v>
      </c>
      <c r="AG3224" s="106">
        <v>-8.81</v>
      </c>
      <c r="AW3224" s="74">
        <v>-8.39</v>
      </c>
    </row>
    <row r="3225" spans="1:212" x14ac:dyDescent="0.25">
      <c r="A3225" s="127">
        <v>45141</v>
      </c>
      <c r="B3225" s="24" t="s">
        <v>149</v>
      </c>
      <c r="C3225" s="21">
        <f t="shared" si="54"/>
        <v>-8.2899999999999991</v>
      </c>
      <c r="BK3225" s="126">
        <v>-8.2899999999999991</v>
      </c>
    </row>
    <row r="3226" spans="1:212" x14ac:dyDescent="0.25">
      <c r="A3226" s="127">
        <v>45141</v>
      </c>
      <c r="B3226" s="24" t="s">
        <v>156</v>
      </c>
      <c r="C3226" s="21">
        <f t="shared" si="54"/>
        <v>-17.489999999999998</v>
      </c>
      <c r="F3226" s="145">
        <v>-17.489999999999998</v>
      </c>
    </row>
    <row r="3227" spans="1:212" x14ac:dyDescent="0.25">
      <c r="A3227" s="127">
        <v>45141</v>
      </c>
      <c r="B3227" s="24" t="s">
        <v>25</v>
      </c>
      <c r="C3227" s="21">
        <f t="shared" si="54"/>
        <v>-41.21</v>
      </c>
      <c r="BK3227" s="126">
        <v>-16.809999999999999</v>
      </c>
      <c r="CA3227" s="106">
        <v>-16.98</v>
      </c>
      <c r="CG3227" s="106">
        <v>-7.42</v>
      </c>
    </row>
    <row r="3228" spans="1:212" x14ac:dyDescent="0.25">
      <c r="A3228" s="127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27">
        <v>45141</v>
      </c>
      <c r="B3229" s="24" t="s">
        <v>133</v>
      </c>
      <c r="C3229" s="21">
        <f t="shared" si="54"/>
        <v>-132.97</v>
      </c>
      <c r="AW3229" s="74">
        <v>-65.099999999999994</v>
      </c>
      <c r="CA3229" s="106">
        <v>-67.87</v>
      </c>
    </row>
    <row r="3230" spans="1:212" x14ac:dyDescent="0.25">
      <c r="A3230" s="127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27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27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27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27">
        <v>45142</v>
      </c>
      <c r="B3234" s="24" t="s">
        <v>19</v>
      </c>
      <c r="C3234" s="21">
        <f t="shared" si="54"/>
        <v>-178.93</v>
      </c>
      <c r="AR3234" s="74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27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27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27">
        <v>45142</v>
      </c>
      <c r="B3237" s="24" t="s">
        <v>19</v>
      </c>
      <c r="C3237" s="21">
        <f t="shared" si="54"/>
        <v>0</v>
      </c>
    </row>
    <row r="3238" spans="1:230" x14ac:dyDescent="0.25">
      <c r="A3238" s="127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27">
        <v>45142</v>
      </c>
      <c r="B3239" s="24" t="s">
        <v>68</v>
      </c>
      <c r="C3239" s="21">
        <f t="shared" si="54"/>
        <v>-65.3</v>
      </c>
      <c r="CA3239" s="106">
        <v>-34.01</v>
      </c>
      <c r="CG3239" s="106">
        <v>-31.29</v>
      </c>
    </row>
    <row r="3240" spans="1:230" x14ac:dyDescent="0.25">
      <c r="A3240" s="127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27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27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27">
        <v>45146</v>
      </c>
      <c r="B3243" s="24" t="s">
        <v>113</v>
      </c>
      <c r="C3243" s="21">
        <f t="shared" si="54"/>
        <v>956.02499999999998</v>
      </c>
      <c r="BI3243" s="106">
        <v>100.85</v>
      </c>
      <c r="BO3243" s="74">
        <v>163.76</v>
      </c>
      <c r="CA3243" s="106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27">
        <v>45146</v>
      </c>
      <c r="B3244" s="24" t="s">
        <v>147</v>
      </c>
      <c r="C3244" s="21">
        <f t="shared" si="54"/>
        <v>-33.49</v>
      </c>
      <c r="BI3244" s="106">
        <v>-8.27</v>
      </c>
      <c r="BO3244" s="74">
        <v>-8.2899999999999991</v>
      </c>
      <c r="CA3244" s="106">
        <v>-8.5</v>
      </c>
      <c r="CM3244" s="74">
        <v>-8.43</v>
      </c>
    </row>
    <row r="3245" spans="1:230" x14ac:dyDescent="0.25">
      <c r="A3245" s="127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27">
        <v>45146</v>
      </c>
      <c r="B3246" s="24" t="s">
        <v>149</v>
      </c>
      <c r="C3246" s="21">
        <f t="shared" si="54"/>
        <v>-7.55</v>
      </c>
      <c r="AR3246" s="74">
        <v>-7.55</v>
      </c>
    </row>
    <row r="3247" spans="1:230" x14ac:dyDescent="0.25">
      <c r="A3247" s="127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27">
        <v>45146</v>
      </c>
      <c r="B3248" s="24" t="s">
        <v>152</v>
      </c>
      <c r="C3248" s="21">
        <f t="shared" si="54"/>
        <v>-267.10500000000002</v>
      </c>
      <c r="AR3248" s="74">
        <v>-32.5</v>
      </c>
      <c r="CG3248" s="106">
        <v>-62.23</v>
      </c>
      <c r="CM3248" s="74">
        <v>-89.02</v>
      </c>
      <c r="CY3248" s="74">
        <v>-65.364999999999995</v>
      </c>
      <c r="EE3248" s="42">
        <v>-17.989999999999998</v>
      </c>
    </row>
    <row r="3249" spans="1:227" x14ac:dyDescent="0.25">
      <c r="A3249" s="127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74">
        <v>-8.31</v>
      </c>
      <c r="BC3249" s="74">
        <v>-8.26</v>
      </c>
      <c r="BI3249" s="106">
        <v>-8.41</v>
      </c>
      <c r="BO3249" s="74">
        <v>-8.3000000000000007</v>
      </c>
    </row>
    <row r="3250" spans="1:227" x14ac:dyDescent="0.25">
      <c r="A3250" s="127">
        <v>45146</v>
      </c>
      <c r="B3250" s="24" t="s">
        <v>127</v>
      </c>
      <c r="C3250" s="21">
        <f t="shared" si="55"/>
        <v>-17.329999999999998</v>
      </c>
      <c r="BI3250" s="106">
        <v>-8.42</v>
      </c>
      <c r="BM3250" s="88">
        <v>-8.91</v>
      </c>
    </row>
    <row r="3251" spans="1:227" x14ac:dyDescent="0.25">
      <c r="A3251" s="127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27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27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27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106">
        <v>-66.22</v>
      </c>
    </row>
    <row r="3255" spans="1:227" x14ac:dyDescent="0.25">
      <c r="A3255" s="127">
        <v>45147</v>
      </c>
      <c r="B3255" s="24" t="s">
        <v>180</v>
      </c>
      <c r="C3255" s="21">
        <f t="shared" si="55"/>
        <v>-49.36</v>
      </c>
      <c r="GO3255" s="110">
        <v>-49.36</v>
      </c>
    </row>
    <row r="3256" spans="1:227" x14ac:dyDescent="0.25">
      <c r="A3256" s="127">
        <v>45147</v>
      </c>
      <c r="B3256" s="24" t="s">
        <v>17</v>
      </c>
      <c r="C3256" s="21">
        <f t="shared" si="55"/>
        <v>-22.98</v>
      </c>
      <c r="BI3256" s="106">
        <v>-8.43</v>
      </c>
      <c r="BO3256" s="74">
        <v>-8.32</v>
      </c>
      <c r="CM3256" s="74">
        <v>-6.23</v>
      </c>
    </row>
    <row r="3257" spans="1:227" x14ac:dyDescent="0.25">
      <c r="A3257" s="127">
        <v>45147</v>
      </c>
      <c r="B3257" s="24" t="s">
        <v>167</v>
      </c>
      <c r="C3257" s="21">
        <f t="shared" si="55"/>
        <v>-26.9</v>
      </c>
      <c r="D3257" s="145">
        <v>-12.27</v>
      </c>
      <c r="E3257" s="145">
        <v>-14.63</v>
      </c>
    </row>
    <row r="3258" spans="1:227" x14ac:dyDescent="0.25">
      <c r="A3258" s="127">
        <v>45148</v>
      </c>
      <c r="B3258" s="24" t="s">
        <v>53</v>
      </c>
      <c r="C3258" s="21">
        <f t="shared" si="55"/>
        <v>-589.37</v>
      </c>
      <c r="AW3258" s="74">
        <v>-23.6</v>
      </c>
      <c r="BI3258" s="106">
        <v>-33.67</v>
      </c>
      <c r="BO3258" s="74">
        <v>-33.020000000000003</v>
      </c>
      <c r="CA3258" s="106">
        <v>-30.99</v>
      </c>
      <c r="CG3258" s="106">
        <v>-64.83</v>
      </c>
      <c r="CM3258" s="74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27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27">
        <v>45148</v>
      </c>
      <c r="B3260" s="24" t="s">
        <v>68</v>
      </c>
      <c r="C3260" s="21">
        <f t="shared" si="55"/>
        <v>-42.49</v>
      </c>
      <c r="BO3260" s="74">
        <v>-33.14</v>
      </c>
      <c r="CS3260" s="74">
        <v>-9.35</v>
      </c>
    </row>
    <row r="3261" spans="1:227" x14ac:dyDescent="0.25">
      <c r="A3261" s="127">
        <v>45149</v>
      </c>
      <c r="B3261" s="24" t="s">
        <v>113</v>
      </c>
      <c r="C3261" s="21">
        <f t="shared" si="55"/>
        <v>0</v>
      </c>
    </row>
    <row r="3262" spans="1:227" x14ac:dyDescent="0.25">
      <c r="A3262" s="127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27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74">
        <v>-32.090000000000003</v>
      </c>
      <c r="BI3263" s="106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27">
        <v>45149</v>
      </c>
      <c r="B3264" s="24" t="s">
        <v>59</v>
      </c>
      <c r="C3264" s="21">
        <f t="shared" si="55"/>
        <v>-7.3</v>
      </c>
      <c r="CG3264" s="106">
        <v>-3.24</v>
      </c>
      <c r="CS3264" s="74">
        <v>-1.92</v>
      </c>
      <c r="CY3264" s="74">
        <v>-2.14</v>
      </c>
    </row>
    <row r="3265" spans="1:226" x14ac:dyDescent="0.25">
      <c r="A3265" s="127">
        <v>45149</v>
      </c>
      <c r="B3265" s="24" t="s">
        <v>37</v>
      </c>
      <c r="C3265" s="21">
        <f t="shared" si="55"/>
        <v>-390.72500000000002</v>
      </c>
      <c r="GN3265" s="110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27">
        <v>45149</v>
      </c>
      <c r="B3266" s="24" t="s">
        <v>113</v>
      </c>
      <c r="C3266" s="21">
        <f t="shared" si="55"/>
        <v>886.97</v>
      </c>
      <c r="AL3266" s="42">
        <v>104.5</v>
      </c>
      <c r="BI3266" s="106">
        <v>101.08</v>
      </c>
      <c r="CA3266" s="106">
        <v>101.8</v>
      </c>
      <c r="CY3266" s="74">
        <v>101.25</v>
      </c>
      <c r="EA3266" s="74">
        <v>174.96</v>
      </c>
      <c r="GN3266" s="110">
        <v>97.97</v>
      </c>
      <c r="HJ3266" s="79">
        <v>107.56</v>
      </c>
      <c r="HM3266" s="106">
        <v>97.85</v>
      </c>
    </row>
    <row r="3267" spans="1:226" x14ac:dyDescent="0.25">
      <c r="A3267" s="127">
        <v>45149</v>
      </c>
      <c r="B3267" s="24" t="s">
        <v>17</v>
      </c>
      <c r="C3267" s="21">
        <f t="shared" si="55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27">
        <v>45149</v>
      </c>
      <c r="B3268" s="24" t="s">
        <v>68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27">
        <v>45149</v>
      </c>
      <c r="B3269" s="24" t="s">
        <v>65</v>
      </c>
      <c r="C3269" s="21">
        <f t="shared" si="55"/>
        <v>0</v>
      </c>
    </row>
    <row r="3270" spans="1:226" x14ac:dyDescent="0.25">
      <c r="A3270" s="127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27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27">
        <v>45153</v>
      </c>
      <c r="B3272" s="24" t="s">
        <v>27</v>
      </c>
      <c r="C3272" s="21">
        <f t="shared" si="55"/>
        <v>-16.440000000000001</v>
      </c>
      <c r="BO3272" s="74">
        <v>-16.440000000000001</v>
      </c>
    </row>
    <row r="3273" spans="1:226" x14ac:dyDescent="0.25">
      <c r="A3273" s="127">
        <v>45153</v>
      </c>
      <c r="B3273" s="24" t="s">
        <v>75</v>
      </c>
      <c r="C3273" s="21">
        <f t="shared" si="55"/>
        <v>-39.99</v>
      </c>
      <c r="Z3273" s="79">
        <v>-8.07</v>
      </c>
      <c r="AR3273" s="74">
        <v>-16.63</v>
      </c>
      <c r="BO3273" s="74">
        <v>-15.29</v>
      </c>
    </row>
    <row r="3274" spans="1:226" x14ac:dyDescent="0.25">
      <c r="A3274" s="127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27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27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27">
        <v>45153</v>
      </c>
      <c r="B3277" s="24" t="s">
        <v>25</v>
      </c>
      <c r="C3277" s="21">
        <f t="shared" si="55"/>
        <v>-158.21</v>
      </c>
      <c r="AG3277" s="106">
        <v>-8.85</v>
      </c>
      <c r="AR3277" s="74">
        <v>-16.55</v>
      </c>
      <c r="BI3277" s="106">
        <v>-33.65</v>
      </c>
      <c r="BO3277" s="74">
        <v>-32.700000000000003</v>
      </c>
      <c r="CA3277" s="106">
        <v>-34.28</v>
      </c>
      <c r="CM3277" s="74">
        <v>-32.18</v>
      </c>
    </row>
    <row r="3278" spans="1:226" x14ac:dyDescent="0.25">
      <c r="A3278" s="127">
        <v>45153</v>
      </c>
      <c r="B3278" s="24" t="s">
        <v>139</v>
      </c>
      <c r="C3278" s="21">
        <f t="shared" si="55"/>
        <v>-46.46</v>
      </c>
      <c r="AG3278" s="106">
        <v>-8.81</v>
      </c>
      <c r="BO3278" s="74">
        <v>-8.26</v>
      </c>
      <c r="CA3278" s="106">
        <v>-8.27</v>
      </c>
      <c r="CG3278" s="106">
        <v>-4</v>
      </c>
      <c r="CY3278" s="74">
        <v>-8.18</v>
      </c>
      <c r="DE3278" s="74">
        <v>-8.94</v>
      </c>
    </row>
    <row r="3279" spans="1:226" x14ac:dyDescent="0.25">
      <c r="A3279" s="127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27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27">
        <v>45154</v>
      </c>
      <c r="B3281" s="24" t="s">
        <v>113</v>
      </c>
      <c r="C3281" s="21">
        <f t="shared" si="55"/>
        <v>1164.96</v>
      </c>
      <c r="BC3281" s="74">
        <v>203.48</v>
      </c>
      <c r="BI3281" s="106">
        <v>203.24</v>
      </c>
      <c r="BO3281" s="74">
        <v>148.88</v>
      </c>
      <c r="BU3281" s="106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27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27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27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0">
        <v>-41.44</v>
      </c>
    </row>
    <row r="3285" spans="1:237" x14ac:dyDescent="0.25">
      <c r="A3285" s="127">
        <v>45154</v>
      </c>
      <c r="B3285" s="24" t="s">
        <v>127</v>
      </c>
      <c r="C3285" s="21">
        <f t="shared" si="55"/>
        <v>-24.605</v>
      </c>
      <c r="DE3285" s="74">
        <v>-9.1549999999999994</v>
      </c>
      <c r="DK3285" s="74">
        <v>-15.45</v>
      </c>
    </row>
    <row r="3286" spans="1:237" x14ac:dyDescent="0.25">
      <c r="A3286" s="127">
        <v>45154</v>
      </c>
      <c r="B3286" s="24" t="s">
        <v>20</v>
      </c>
      <c r="C3286" s="21">
        <f t="shared" si="55"/>
        <v>-15.59</v>
      </c>
      <c r="AW3286" s="74">
        <v>-8.42</v>
      </c>
      <c r="BU3286" s="106">
        <v>-7.17</v>
      </c>
    </row>
    <row r="3287" spans="1:237" x14ac:dyDescent="0.25">
      <c r="A3287" s="127">
        <v>45154</v>
      </c>
      <c r="B3287" s="24" t="s">
        <v>152</v>
      </c>
      <c r="C3287" s="21">
        <f t="shared" si="55"/>
        <v>-1062.5</v>
      </c>
      <c r="AL3287" s="42">
        <v>-69.83</v>
      </c>
      <c r="AW3287" s="74">
        <v>-22.4</v>
      </c>
      <c r="BC3287" s="74">
        <v>-94.08</v>
      </c>
      <c r="BI3287" s="106">
        <v>-101.81</v>
      </c>
      <c r="BO3287" s="74">
        <v>-65.849999999999994</v>
      </c>
      <c r="BU3287" s="106">
        <v>-191.6</v>
      </c>
      <c r="CA3287" s="106">
        <v>-67.08</v>
      </c>
      <c r="CG3287" s="106">
        <v>-129.87</v>
      </c>
      <c r="CM3287" s="74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27">
        <v>45154</v>
      </c>
      <c r="B3288" s="24" t="s">
        <v>169</v>
      </c>
      <c r="C3288" s="21">
        <f t="shared" si="55"/>
        <v>-45.25</v>
      </c>
      <c r="F3288" s="145">
        <v>-45.25</v>
      </c>
    </row>
    <row r="3289" spans="1:237" x14ac:dyDescent="0.25">
      <c r="A3289" s="127">
        <v>45155</v>
      </c>
      <c r="B3289" s="24" t="s">
        <v>115</v>
      </c>
      <c r="C3289" s="21">
        <f t="shared" si="55"/>
        <v>0</v>
      </c>
    </row>
    <row r="3290" spans="1:237" x14ac:dyDescent="0.25">
      <c r="A3290" s="127">
        <v>45155</v>
      </c>
      <c r="B3290" s="24" t="s">
        <v>48</v>
      </c>
      <c r="C3290" s="21">
        <f t="shared" si="55"/>
        <v>-42.39</v>
      </c>
      <c r="BI3290" s="106">
        <v>-8.4</v>
      </c>
      <c r="BO3290" s="74">
        <v>-16.62</v>
      </c>
      <c r="BU3290" s="106">
        <v>-8.0299999999999994</v>
      </c>
      <c r="CM3290" s="74">
        <v>-9.34</v>
      </c>
    </row>
    <row r="3291" spans="1:237" x14ac:dyDescent="0.25">
      <c r="A3291" s="127">
        <v>45155</v>
      </c>
      <c r="B3291" s="24" t="s">
        <v>78</v>
      </c>
      <c r="C3291" s="21">
        <f t="shared" si="55"/>
        <v>-32.1</v>
      </c>
      <c r="BO3291" s="74">
        <v>-8.2799999999999994</v>
      </c>
      <c r="BU3291" s="106">
        <v>-8.06</v>
      </c>
      <c r="CA3291" s="106">
        <v>-8.32</v>
      </c>
      <c r="CG3291" s="106">
        <v>-7.44</v>
      </c>
    </row>
    <row r="3292" spans="1:237" x14ac:dyDescent="0.25">
      <c r="A3292" s="127">
        <v>45155</v>
      </c>
      <c r="B3292" s="24" t="s">
        <v>17</v>
      </c>
      <c r="C3292" s="21">
        <f t="shared" si="55"/>
        <v>-66.41</v>
      </c>
      <c r="BC3292" s="74">
        <v>-7.8</v>
      </c>
      <c r="BI3292" s="106">
        <v>-8.42</v>
      </c>
      <c r="BO3292" s="74">
        <v>-8.2899999999999991</v>
      </c>
      <c r="BU3292" s="106">
        <v>-8.07</v>
      </c>
      <c r="CA3292" s="106">
        <v>-9.5299999999999994</v>
      </c>
      <c r="CG3292" s="106">
        <v>-15.16</v>
      </c>
      <c r="CM3292" s="74">
        <v>-9.14</v>
      </c>
    </row>
    <row r="3293" spans="1:237" x14ac:dyDescent="0.25">
      <c r="A3293" s="127">
        <v>45155</v>
      </c>
      <c r="B3293" s="24" t="s">
        <v>68</v>
      </c>
      <c r="C3293" s="21">
        <f t="shared" si="55"/>
        <v>-63.67</v>
      </c>
      <c r="AR3293" s="74">
        <v>-31.51</v>
      </c>
      <c r="BU3293" s="106">
        <v>-32.159999999999997</v>
      </c>
    </row>
    <row r="3294" spans="1:237" x14ac:dyDescent="0.25">
      <c r="A3294" s="127">
        <v>45155</v>
      </c>
      <c r="B3294" s="24" t="s">
        <v>19</v>
      </c>
      <c r="C3294" s="21">
        <f t="shared" si="55"/>
        <v>0</v>
      </c>
    </row>
    <row r="3295" spans="1:237" x14ac:dyDescent="0.25">
      <c r="A3295" s="127">
        <v>45156</v>
      </c>
      <c r="B3295" s="24" t="s">
        <v>39</v>
      </c>
      <c r="C3295" s="21">
        <f t="shared" si="55"/>
        <v>-33.01</v>
      </c>
      <c r="BI3295" s="106">
        <v>-8.43</v>
      </c>
      <c r="BO3295" s="74">
        <v>-8.25</v>
      </c>
      <c r="BU3295" s="106">
        <v>-8.06</v>
      </c>
      <c r="CA3295" s="106">
        <v>-8.27</v>
      </c>
    </row>
    <row r="3296" spans="1:237" x14ac:dyDescent="0.25">
      <c r="A3296" s="127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27">
        <v>45156</v>
      </c>
      <c r="B3297" s="24" t="s">
        <v>78</v>
      </c>
      <c r="C3297" s="21">
        <f t="shared" si="55"/>
        <v>-33.299999999999997</v>
      </c>
      <c r="BO3297" s="74">
        <v>-33.299999999999997</v>
      </c>
    </row>
    <row r="3298" spans="1:224" x14ac:dyDescent="0.25">
      <c r="A3298" s="127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27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27">
        <v>45156</v>
      </c>
      <c r="B3300" s="24" t="s">
        <v>78</v>
      </c>
      <c r="C3300" s="21">
        <f t="shared" si="55"/>
        <v>-17.07</v>
      </c>
      <c r="AG3300" s="106">
        <v>-8.77</v>
      </c>
      <c r="AR3300" s="74">
        <v>-8.3000000000000007</v>
      </c>
    </row>
    <row r="3301" spans="1:224" x14ac:dyDescent="0.25">
      <c r="A3301" s="127">
        <v>45157</v>
      </c>
      <c r="B3301" s="24" t="s">
        <v>25</v>
      </c>
      <c r="C3301" s="21">
        <f t="shared" si="55"/>
        <v>-95.47</v>
      </c>
      <c r="BC3301" s="74">
        <v>-31.17</v>
      </c>
      <c r="BU3301" s="106">
        <v>-31.97</v>
      </c>
      <c r="CG3301" s="106">
        <v>-32.33</v>
      </c>
    </row>
    <row r="3302" spans="1:224" x14ac:dyDescent="0.25">
      <c r="A3302" s="127">
        <v>45157</v>
      </c>
      <c r="B3302" s="24" t="s">
        <v>17</v>
      </c>
      <c r="C3302" s="21">
        <f t="shared" si="55"/>
        <v>-49.46</v>
      </c>
      <c r="BC3302" s="74">
        <v>-15.73</v>
      </c>
      <c r="BI3302" s="106">
        <v>-17.13</v>
      </c>
      <c r="BO3302" s="74">
        <v>-8.2899999999999991</v>
      </c>
      <c r="CA3302" s="106">
        <v>-8.31</v>
      </c>
    </row>
    <row r="3303" spans="1:224" x14ac:dyDescent="0.25">
      <c r="A3303" s="127">
        <v>45159</v>
      </c>
      <c r="B3303" s="24" t="s">
        <v>57</v>
      </c>
      <c r="C3303" s="21">
        <f t="shared" si="55"/>
        <v>-24.73</v>
      </c>
      <c r="CA3303" s="106">
        <v>-8.31</v>
      </c>
      <c r="CG3303" s="106">
        <v>-8.34</v>
      </c>
      <c r="CM3303" s="74">
        <v>-8.08</v>
      </c>
    </row>
    <row r="3304" spans="1:224" x14ac:dyDescent="0.25">
      <c r="A3304" s="127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27">
        <v>45160</v>
      </c>
      <c r="B3305" s="24" t="s">
        <v>113</v>
      </c>
      <c r="C3305" s="21">
        <f t="shared" si="55"/>
        <v>1655.51</v>
      </c>
      <c r="AN3305" s="74">
        <v>103.47</v>
      </c>
      <c r="AW3305" s="74">
        <v>94.08</v>
      </c>
      <c r="BC3305" s="74">
        <v>122.93</v>
      </c>
      <c r="BU3305" s="106">
        <v>127.96</v>
      </c>
      <c r="CA3305" s="106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27">
        <v>45160</v>
      </c>
      <c r="B3306" s="24" t="s">
        <v>75</v>
      </c>
      <c r="C3306" s="21">
        <f t="shared" si="55"/>
        <v>-26.07</v>
      </c>
      <c r="BM3306" s="88">
        <v>-17.25</v>
      </c>
      <c r="CM3306" s="74">
        <v>-8.82</v>
      </c>
    </row>
    <row r="3307" spans="1:224" x14ac:dyDescent="0.25">
      <c r="A3307" s="127">
        <v>45160</v>
      </c>
      <c r="B3307" s="24" t="s">
        <v>139</v>
      </c>
      <c r="C3307" s="21">
        <f t="shared" si="55"/>
        <v>-25.45</v>
      </c>
      <c r="BU3307" s="106">
        <v>-8.0299999999999994</v>
      </c>
      <c r="CG3307" s="106">
        <v>-8.43</v>
      </c>
      <c r="CM3307" s="74">
        <v>-8.99</v>
      </c>
    </row>
    <row r="3308" spans="1:224" x14ac:dyDescent="0.25">
      <c r="A3308" s="127">
        <v>45160</v>
      </c>
      <c r="B3308" s="24" t="s">
        <v>20</v>
      </c>
      <c r="C3308" s="21">
        <f t="shared" si="55"/>
        <v>-89.15</v>
      </c>
      <c r="BI3308" s="106">
        <v>-8.43</v>
      </c>
      <c r="BM3308" s="88">
        <v>-8.85</v>
      </c>
      <c r="BU3308" s="106">
        <v>-8.07</v>
      </c>
      <c r="GZ3308" s="106">
        <v>-63.8</v>
      </c>
    </row>
    <row r="3309" spans="1:224" x14ac:dyDescent="0.25">
      <c r="A3309" s="127">
        <v>45160</v>
      </c>
      <c r="B3309" s="24" t="s">
        <v>27</v>
      </c>
      <c r="C3309" s="21">
        <f t="shared" si="55"/>
        <v>-25.11</v>
      </c>
      <c r="CG3309" s="106">
        <v>-25.11</v>
      </c>
    </row>
    <row r="3310" spans="1:224" x14ac:dyDescent="0.25">
      <c r="A3310" s="127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27">
        <v>45160</v>
      </c>
      <c r="B3311" s="24" t="s">
        <v>17</v>
      </c>
      <c r="C3311" s="21">
        <f t="shared" si="55"/>
        <v>-105.55</v>
      </c>
      <c r="BI3311" s="106">
        <v>-8.4</v>
      </c>
      <c r="BU3311" s="106">
        <v>-32.200000000000003</v>
      </c>
      <c r="CA3311" s="106">
        <v>-16.61</v>
      </c>
      <c r="CG3311" s="106">
        <v>-16.16</v>
      </c>
      <c r="CM3311" s="74">
        <v>-16.18</v>
      </c>
      <c r="DE3311" s="74">
        <v>-16</v>
      </c>
    </row>
    <row r="3312" spans="1:224" x14ac:dyDescent="0.25">
      <c r="A3312" s="127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27">
        <v>45160</v>
      </c>
      <c r="B3313" s="24" t="s">
        <v>152</v>
      </c>
      <c r="C3313" s="21">
        <f t="shared" ref="C3313:C3376" si="56">SUM(D3313:JT3313)</f>
        <v>-581.33500000000004</v>
      </c>
      <c r="Z3313" s="79">
        <v>-32.255000000000003</v>
      </c>
      <c r="AW3313" s="74">
        <v>-30.43</v>
      </c>
      <c r="BC3313" s="74">
        <v>-93.36</v>
      </c>
      <c r="BU3313" s="106">
        <v>-31.9</v>
      </c>
      <c r="CA3313" s="106">
        <v>-66.55</v>
      </c>
      <c r="CG3313" s="106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27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27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27">
        <v>45161</v>
      </c>
      <c r="B3316" s="24" t="s">
        <v>178</v>
      </c>
      <c r="C3316" s="21">
        <f t="shared" si="56"/>
        <v>-47.78</v>
      </c>
      <c r="BU3316" s="106">
        <v>-47.78</v>
      </c>
    </row>
    <row r="3317" spans="1:224" x14ac:dyDescent="0.25">
      <c r="A3317" s="127">
        <v>45161</v>
      </c>
      <c r="B3317" s="24" t="s">
        <v>183</v>
      </c>
      <c r="C3317" s="21">
        <f t="shared" si="56"/>
        <v>-25.34</v>
      </c>
      <c r="CY3317" s="74">
        <v>-25.34</v>
      </c>
    </row>
    <row r="3318" spans="1:224" x14ac:dyDescent="0.25">
      <c r="A3318" s="127">
        <v>45161</v>
      </c>
      <c r="B3318" s="24" t="s">
        <v>17</v>
      </c>
      <c r="C3318" s="21">
        <f t="shared" si="56"/>
        <v>-8.15</v>
      </c>
      <c r="AR3318" s="74">
        <v>-8.15</v>
      </c>
    </row>
    <row r="3319" spans="1:224" x14ac:dyDescent="0.25">
      <c r="A3319" s="127">
        <v>45161</v>
      </c>
      <c r="B3319" s="24" t="s">
        <v>32</v>
      </c>
      <c r="C3319" s="21">
        <f t="shared" si="56"/>
        <v>-94.55</v>
      </c>
      <c r="AR3319" s="74">
        <v>-15.54</v>
      </c>
      <c r="AW3319" s="74">
        <v>-31.78</v>
      </c>
      <c r="BC3319" s="74">
        <v>-30.29</v>
      </c>
      <c r="BI3319" s="106">
        <v>-16.940000000000001</v>
      </c>
    </row>
    <row r="3320" spans="1:224" x14ac:dyDescent="0.25">
      <c r="A3320" s="127">
        <v>45161</v>
      </c>
      <c r="B3320" s="24" t="s">
        <v>139</v>
      </c>
      <c r="C3320" s="21">
        <f t="shared" si="56"/>
        <v>-24.61</v>
      </c>
      <c r="CG3320" s="106">
        <v>-7.83</v>
      </c>
      <c r="CS3320" s="74">
        <v>-16.78</v>
      </c>
    </row>
    <row r="3321" spans="1:224" x14ac:dyDescent="0.25">
      <c r="A3321" s="127">
        <v>45162</v>
      </c>
      <c r="B3321" s="24" t="s">
        <v>48</v>
      </c>
      <c r="C3321" s="21">
        <f t="shared" si="56"/>
        <v>-66.709999999999994</v>
      </c>
      <c r="AN3321" s="74">
        <v>-34.42</v>
      </c>
      <c r="CS3321" s="74">
        <v>-32.29</v>
      </c>
    </row>
    <row r="3322" spans="1:224" x14ac:dyDescent="0.25">
      <c r="A3322" s="127">
        <v>45162</v>
      </c>
      <c r="B3322" s="24" t="s">
        <v>113</v>
      </c>
      <c r="C3322" s="21">
        <f t="shared" si="56"/>
        <v>1011.99</v>
      </c>
      <c r="BC3322" s="74">
        <v>94.99</v>
      </c>
      <c r="BO3322" s="74">
        <v>165.94</v>
      </c>
      <c r="CA3322" s="106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27">
        <v>45162</v>
      </c>
      <c r="B3323" s="24" t="s">
        <v>183</v>
      </c>
      <c r="C3323" s="21">
        <f t="shared" si="56"/>
        <v>-8.59</v>
      </c>
      <c r="CY3323" s="74">
        <v>-8.59</v>
      </c>
    </row>
    <row r="3324" spans="1:224" x14ac:dyDescent="0.25">
      <c r="A3324" s="127">
        <v>45162</v>
      </c>
      <c r="B3324" s="24" t="s">
        <v>115</v>
      </c>
      <c r="C3324" s="21">
        <f t="shared" si="56"/>
        <v>354.05</v>
      </c>
      <c r="D3324" s="145">
        <v>86.084999999999994</v>
      </c>
      <c r="E3324" s="145">
        <v>103.535</v>
      </c>
      <c r="F3324" s="145">
        <v>105.455</v>
      </c>
      <c r="AD3324" s="115">
        <v>58.975000000000001</v>
      </c>
    </row>
    <row r="3325" spans="1:224" x14ac:dyDescent="0.25">
      <c r="A3325" s="127">
        <v>45162</v>
      </c>
      <c r="B3325" s="24" t="s">
        <v>133</v>
      </c>
      <c r="C3325" s="21">
        <f t="shared" si="56"/>
        <v>-132.88999999999999</v>
      </c>
      <c r="BO3325" s="74">
        <v>-66.260000000000005</v>
      </c>
      <c r="CA3325" s="106">
        <v>-31.54</v>
      </c>
      <c r="CY3325" s="74">
        <v>-35.090000000000003</v>
      </c>
    </row>
    <row r="3326" spans="1:224" x14ac:dyDescent="0.25">
      <c r="A3326" s="127">
        <v>45163</v>
      </c>
      <c r="B3326" s="24" t="s">
        <v>57</v>
      </c>
      <c r="C3326" s="21">
        <f t="shared" si="56"/>
        <v>-14.994999999999999</v>
      </c>
      <c r="AD3326" s="115">
        <v>-14.994999999999999</v>
      </c>
    </row>
    <row r="3327" spans="1:224" x14ac:dyDescent="0.25">
      <c r="A3327" s="127">
        <v>45164</v>
      </c>
      <c r="B3327" s="24" t="s">
        <v>32</v>
      </c>
      <c r="C3327" s="21">
        <f t="shared" si="56"/>
        <v>-33.69</v>
      </c>
      <c r="BO3327" s="74">
        <v>-33.69</v>
      </c>
    </row>
    <row r="3328" spans="1:224" x14ac:dyDescent="0.25">
      <c r="A3328" s="127">
        <v>45164</v>
      </c>
      <c r="B3328" s="24" t="s">
        <v>48</v>
      </c>
      <c r="C3328" s="21">
        <f t="shared" si="56"/>
        <v>-7.5</v>
      </c>
      <c r="AD3328" s="115">
        <v>-7.5</v>
      </c>
    </row>
    <row r="3329" spans="1:221" x14ac:dyDescent="0.25">
      <c r="A3329" s="127">
        <v>45166</v>
      </c>
      <c r="B3329" s="24" t="s">
        <v>178</v>
      </c>
      <c r="C3329" s="21">
        <f t="shared" si="56"/>
        <v>-47.85</v>
      </c>
      <c r="BC3329" s="74">
        <v>-47.85</v>
      </c>
    </row>
    <row r="3330" spans="1:221" x14ac:dyDescent="0.25">
      <c r="A3330" s="127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27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27">
        <v>45167</v>
      </c>
      <c r="B3332" s="24" t="s">
        <v>20</v>
      </c>
      <c r="C3332" s="21">
        <f t="shared" si="56"/>
        <v>-33.130000000000003</v>
      </c>
      <c r="BC3332" s="74">
        <v>-7.97</v>
      </c>
      <c r="BI3332" s="106">
        <v>-8.44</v>
      </c>
      <c r="BO3332" s="74">
        <v>-8.41</v>
      </c>
      <c r="CA3332" s="106">
        <v>-8.31</v>
      </c>
    </row>
    <row r="3333" spans="1:221" x14ac:dyDescent="0.25">
      <c r="A3333" s="127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27">
        <v>45167</v>
      </c>
      <c r="B3334" s="24" t="s">
        <v>79</v>
      </c>
      <c r="C3334" s="21">
        <f t="shared" si="56"/>
        <v>-7.5049999999999999</v>
      </c>
      <c r="AD3334" s="115">
        <v>-7.5049999999999999</v>
      </c>
    </row>
    <row r="3335" spans="1:221" x14ac:dyDescent="0.25">
      <c r="A3335" s="127">
        <v>45167</v>
      </c>
      <c r="B3335" s="24" t="s">
        <v>27</v>
      </c>
      <c r="C3335" s="21">
        <f t="shared" si="56"/>
        <v>-16.79</v>
      </c>
      <c r="BO3335" s="74">
        <v>-16.79</v>
      </c>
    </row>
    <row r="3336" spans="1:221" x14ac:dyDescent="0.25">
      <c r="A3336" s="127">
        <v>45167</v>
      </c>
      <c r="B3336" s="24" t="s">
        <v>75</v>
      </c>
      <c r="C3336" s="21">
        <f t="shared" si="56"/>
        <v>-25.26</v>
      </c>
      <c r="BI3336" s="106">
        <v>-16.84</v>
      </c>
      <c r="BO3336" s="74">
        <v>-8.42</v>
      </c>
    </row>
    <row r="3337" spans="1:221" x14ac:dyDescent="0.25">
      <c r="A3337" s="127">
        <v>45167</v>
      </c>
      <c r="B3337" s="24" t="s">
        <v>139</v>
      </c>
      <c r="C3337" s="21">
        <f t="shared" si="56"/>
        <v>-32.82</v>
      </c>
      <c r="BU3337" s="106">
        <v>-8.0500000000000007</v>
      </c>
      <c r="CA3337" s="106">
        <v>-8.3000000000000007</v>
      </c>
      <c r="CG3337" s="106">
        <v>-8.34</v>
      </c>
      <c r="CM3337" s="74">
        <v>-8.1300000000000008</v>
      </c>
    </row>
    <row r="3338" spans="1:221" x14ac:dyDescent="0.25">
      <c r="A3338" s="127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27">
        <v>45167</v>
      </c>
      <c r="B3339" s="24" t="s">
        <v>43</v>
      </c>
      <c r="C3339" s="21">
        <f t="shared" si="56"/>
        <v>-221.74</v>
      </c>
      <c r="CA3339" s="106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27">
        <v>45167</v>
      </c>
      <c r="B3340" s="24" t="s">
        <v>113</v>
      </c>
      <c r="C3340" s="21">
        <f t="shared" si="56"/>
        <v>1103.31</v>
      </c>
      <c r="AN3340" s="74">
        <v>103.41</v>
      </c>
      <c r="BO3340" s="74">
        <v>168.46</v>
      </c>
      <c r="CA3340" s="106">
        <v>235.59</v>
      </c>
      <c r="CS3340" s="74">
        <v>101.63</v>
      </c>
      <c r="DE3340" s="74">
        <v>168.67</v>
      </c>
      <c r="DU3340" s="106">
        <v>318.48</v>
      </c>
      <c r="GN3340" s="164">
        <v>7.07</v>
      </c>
    </row>
    <row r="3341" spans="1:221" x14ac:dyDescent="0.25">
      <c r="A3341" s="127">
        <v>45167</v>
      </c>
      <c r="B3341" s="24" t="s">
        <v>152</v>
      </c>
      <c r="C3341" s="21">
        <f t="shared" si="56"/>
        <v>-968.2</v>
      </c>
      <c r="AR3341" s="74">
        <v>-27.49</v>
      </c>
      <c r="BC3341" s="74">
        <v>-62.62</v>
      </c>
      <c r="BO3341" s="74">
        <v>-134.75</v>
      </c>
      <c r="CA3341" s="106">
        <v>-188.49</v>
      </c>
      <c r="CG3341" s="106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27">
        <v>45167</v>
      </c>
      <c r="B3342" s="24" t="s">
        <v>133</v>
      </c>
      <c r="C3342" s="21">
        <f t="shared" si="56"/>
        <v>-98.58</v>
      </c>
      <c r="BO3342" s="74">
        <v>-32.369999999999997</v>
      </c>
      <c r="CK3342" s="42">
        <v>-33.880000000000003</v>
      </c>
      <c r="DU3342" s="106">
        <v>-32.33</v>
      </c>
    </row>
    <row r="3343" spans="1:221" x14ac:dyDescent="0.25">
      <c r="A3343" s="127">
        <v>45167</v>
      </c>
      <c r="B3343" s="24" t="s">
        <v>33</v>
      </c>
      <c r="C3343" s="21">
        <f t="shared" si="56"/>
        <v>-16.39</v>
      </c>
      <c r="AW3343" s="74">
        <v>-7.96</v>
      </c>
      <c r="BO3343" s="74">
        <v>-8.43</v>
      </c>
    </row>
    <row r="3344" spans="1:221" x14ac:dyDescent="0.25">
      <c r="A3344" s="127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27">
        <v>45168</v>
      </c>
      <c r="B3345" s="24" t="s">
        <v>29</v>
      </c>
      <c r="C3345" s="21">
        <f t="shared" si="56"/>
        <v>-8.42</v>
      </c>
      <c r="BO3345" s="74">
        <v>-8.42</v>
      </c>
    </row>
    <row r="3346" spans="1:224" x14ac:dyDescent="0.25">
      <c r="A3346" s="127">
        <v>45169</v>
      </c>
      <c r="B3346" s="24" t="s">
        <v>183</v>
      </c>
      <c r="C3346" s="21">
        <f t="shared" si="56"/>
        <v>-43.33</v>
      </c>
      <c r="CY3346" s="74">
        <v>-43.33</v>
      </c>
    </row>
    <row r="3347" spans="1:224" x14ac:dyDescent="0.25">
      <c r="A3347" s="127">
        <v>45169</v>
      </c>
      <c r="B3347" s="24" t="s">
        <v>84</v>
      </c>
      <c r="C3347" s="21">
        <f t="shared" si="56"/>
        <v>-56.67</v>
      </c>
      <c r="Z3347" s="79">
        <v>-8.6</v>
      </c>
      <c r="AR3347" s="74">
        <v>-14.93</v>
      </c>
      <c r="BO3347" s="74">
        <v>-16.86</v>
      </c>
      <c r="CA3347" s="106">
        <v>-16.28</v>
      </c>
    </row>
    <row r="3348" spans="1:224" x14ac:dyDescent="0.25">
      <c r="A3348" s="127">
        <v>45169</v>
      </c>
      <c r="B3348" s="24" t="s">
        <v>65</v>
      </c>
      <c r="C3348" s="21">
        <f t="shared" si="56"/>
        <v>0</v>
      </c>
    </row>
    <row r="3349" spans="1:224" x14ac:dyDescent="0.25">
      <c r="A3349" s="127">
        <v>45169</v>
      </c>
      <c r="B3349" s="24" t="s">
        <v>53</v>
      </c>
      <c r="C3349" s="21">
        <f t="shared" si="56"/>
        <v>-81.245000000000005</v>
      </c>
      <c r="AD3349" s="115">
        <v>-28.975000000000001</v>
      </c>
      <c r="AG3349" s="106">
        <v>-17.66</v>
      </c>
      <c r="CY3349" s="74">
        <v>-34.61</v>
      </c>
    </row>
    <row r="3350" spans="1:224" x14ac:dyDescent="0.25">
      <c r="A3350" s="127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74">
        <v>-14.95</v>
      </c>
      <c r="AW3350" s="74">
        <f>-15.95-7.96</f>
        <v>-23.91</v>
      </c>
      <c r="CA3350" s="106">
        <v>-16.05</v>
      </c>
      <c r="CS3350" s="74">
        <v>-33.409999999999997</v>
      </c>
    </row>
    <row r="3351" spans="1:224" x14ac:dyDescent="0.25">
      <c r="A3351" s="127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27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27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27">
        <v>45173</v>
      </c>
      <c r="B3354" s="24" t="s">
        <v>167</v>
      </c>
      <c r="C3354" s="21">
        <f t="shared" si="56"/>
        <v>-29.504999999999999</v>
      </c>
      <c r="D3354" s="145">
        <v>-7.54</v>
      </c>
      <c r="E3354" s="145">
        <v>-21.965</v>
      </c>
    </row>
    <row r="3355" spans="1:224" x14ac:dyDescent="0.25">
      <c r="A3355" s="127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27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27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27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74">
        <v>473.05</v>
      </c>
      <c r="BO3358" s="74">
        <v>328.9</v>
      </c>
      <c r="DU3358" s="106">
        <v>223.75</v>
      </c>
    </row>
    <row r="3359" spans="1:224" x14ac:dyDescent="0.25">
      <c r="A3359" s="127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27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27">
        <v>45174</v>
      </c>
      <c r="B3361" s="24" t="s">
        <v>113</v>
      </c>
      <c r="C3361" s="21">
        <f t="shared" si="56"/>
        <v>1049.76</v>
      </c>
      <c r="AN3361" s="74">
        <v>58.64</v>
      </c>
      <c r="AR3361" s="74">
        <v>137.44</v>
      </c>
      <c r="AW3361" s="74">
        <v>300.79000000000002</v>
      </c>
      <c r="BC3361" s="74">
        <v>552.89</v>
      </c>
    </row>
    <row r="3362" spans="1:242" x14ac:dyDescent="0.25">
      <c r="A3362" s="127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27">
        <v>45174</v>
      </c>
      <c r="B3363" s="24" t="s">
        <v>152</v>
      </c>
      <c r="C3363" s="21">
        <f t="shared" si="56"/>
        <v>-510.16</v>
      </c>
      <c r="AG3363" s="106">
        <v>-34.28</v>
      </c>
      <c r="AW3363" s="74">
        <v>-70.930000000000007</v>
      </c>
      <c r="BC3363" s="74">
        <v>-34.76</v>
      </c>
      <c r="BO3363" s="74">
        <v>-98.46</v>
      </c>
      <c r="CA3363" s="106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27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27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27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27">
        <v>45175</v>
      </c>
      <c r="B3367" s="24" t="s">
        <v>127</v>
      </c>
      <c r="C3367" s="21">
        <f t="shared" si="56"/>
        <v>-8.51</v>
      </c>
      <c r="BC3367" s="74">
        <v>-8.51</v>
      </c>
    </row>
    <row r="3368" spans="1:242" x14ac:dyDescent="0.25">
      <c r="A3368" s="127">
        <v>45175</v>
      </c>
      <c r="B3368" s="24" t="s">
        <v>44</v>
      </c>
      <c r="C3368" s="21">
        <f t="shared" si="56"/>
        <v>-97.52</v>
      </c>
      <c r="GQ3368" s="92">
        <v>-65.73</v>
      </c>
      <c r="HF3368" s="79">
        <v>-31.79</v>
      </c>
    </row>
    <row r="3369" spans="1:242" x14ac:dyDescent="0.25">
      <c r="A3369" s="127">
        <v>45175</v>
      </c>
      <c r="B3369" s="24" t="s">
        <v>20</v>
      </c>
      <c r="C3369" s="21">
        <f t="shared" si="56"/>
        <v>-8.81</v>
      </c>
      <c r="CI3369" s="126">
        <v>-8.81</v>
      </c>
    </row>
    <row r="3370" spans="1:242" x14ac:dyDescent="0.25">
      <c r="A3370" s="127">
        <v>45175</v>
      </c>
      <c r="B3370" s="24" t="s">
        <v>84</v>
      </c>
      <c r="C3370" s="21">
        <f t="shared" si="56"/>
        <v>-16.149999999999999</v>
      </c>
      <c r="BC3370" s="74">
        <v>-16.149999999999999</v>
      </c>
    </row>
    <row r="3371" spans="1:242" x14ac:dyDescent="0.25">
      <c r="A3371" s="127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27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27">
        <v>45175</v>
      </c>
      <c r="B3373" s="24" t="s">
        <v>75</v>
      </c>
      <c r="C3373" s="21">
        <f t="shared" si="56"/>
        <v>-15.755000000000001</v>
      </c>
      <c r="BO3373" s="74">
        <v>-7.8250000000000002</v>
      </c>
      <c r="DU3373" s="106">
        <v>-7.93</v>
      </c>
    </row>
    <row r="3374" spans="1:242" x14ac:dyDescent="0.25">
      <c r="A3374" s="127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27">
        <v>45175</v>
      </c>
      <c r="B3375" s="24" t="s">
        <v>162</v>
      </c>
      <c r="C3375" s="21">
        <f t="shared" si="56"/>
        <v>-10.54</v>
      </c>
      <c r="CA3375" s="106">
        <v>-6.1</v>
      </c>
      <c r="CG3375" s="106">
        <v>-4.4400000000000004</v>
      </c>
    </row>
    <row r="3376" spans="1:242" x14ac:dyDescent="0.25">
      <c r="A3376" s="127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27">
        <v>45176</v>
      </c>
      <c r="B3377" s="24" t="s">
        <v>133</v>
      </c>
      <c r="C3377" s="21">
        <f t="shared" ref="C3377:C3440" si="57">SUM(D3377:JT3377)</f>
        <v>-93.004999999999995</v>
      </c>
      <c r="BO3377" s="74">
        <v>-60.085000000000001</v>
      </c>
      <c r="CS3377" s="74">
        <v>-32.92</v>
      </c>
    </row>
    <row r="3378" spans="1:224" x14ac:dyDescent="0.25">
      <c r="A3378" s="127">
        <v>45176</v>
      </c>
      <c r="B3378" s="24" t="s">
        <v>17</v>
      </c>
      <c r="C3378" s="21">
        <f t="shared" si="57"/>
        <v>-58.4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27">
        <v>45176</v>
      </c>
      <c r="B3379" s="24" t="s">
        <v>32</v>
      </c>
      <c r="C3379" s="21">
        <f t="shared" si="57"/>
        <v>-178</v>
      </c>
      <c r="AG3379" s="106">
        <v>-17.13</v>
      </c>
      <c r="AW3379" s="74">
        <v>-45.28</v>
      </c>
      <c r="BC3379" s="74">
        <v>-49.41</v>
      </c>
      <c r="BO3379" s="74">
        <v>-32.68</v>
      </c>
      <c r="DK3379" s="74">
        <v>-33.5</v>
      </c>
    </row>
    <row r="3380" spans="1:224" x14ac:dyDescent="0.25">
      <c r="A3380" s="127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27">
        <v>45177</v>
      </c>
      <c r="B3381" s="24" t="s">
        <v>19</v>
      </c>
      <c r="C3381" s="21">
        <f t="shared" si="57"/>
        <v>-150.59</v>
      </c>
      <c r="AW3381" s="74">
        <v>-87.04</v>
      </c>
      <c r="BC3381" s="74">
        <v>-63.55</v>
      </c>
    </row>
    <row r="3382" spans="1:224" x14ac:dyDescent="0.25">
      <c r="A3382" s="127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27">
        <v>45177</v>
      </c>
      <c r="B3383" s="24" t="s">
        <v>48</v>
      </c>
      <c r="C3383" s="21">
        <f t="shared" si="57"/>
        <v>-23.38</v>
      </c>
      <c r="BS3383" s="42">
        <v>8.33</v>
      </c>
      <c r="CS3383" s="74">
        <v>-31.71</v>
      </c>
    </row>
    <row r="3384" spans="1:224" x14ac:dyDescent="0.25">
      <c r="A3384" s="127">
        <v>45177</v>
      </c>
      <c r="B3384" s="24" t="s">
        <v>68</v>
      </c>
      <c r="C3384" s="21">
        <f t="shared" si="57"/>
        <v>-119.51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27">
        <v>45177</v>
      </c>
      <c r="B3385" s="24" t="s">
        <v>152</v>
      </c>
      <c r="C3385" s="21">
        <f t="shared" si="57"/>
        <v>-596.66999999999996</v>
      </c>
      <c r="AG3385" s="106">
        <v>-68.77</v>
      </c>
      <c r="AR3385" s="74">
        <v>-31.16</v>
      </c>
      <c r="AW3385" s="74">
        <v>-27.55</v>
      </c>
      <c r="BO3385" s="74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27">
        <v>45178</v>
      </c>
      <c r="B3386" s="24" t="s">
        <v>17</v>
      </c>
      <c r="C3386" s="21">
        <f t="shared" si="57"/>
        <v>-32.83</v>
      </c>
      <c r="AR3386" s="74">
        <v>-7.78</v>
      </c>
      <c r="AW3386" s="74">
        <v>-7.93</v>
      </c>
      <c r="BC3386" s="74">
        <v>-8.48</v>
      </c>
      <c r="BO3386" s="74">
        <v>-8.64</v>
      </c>
    </row>
    <row r="3387" spans="1:224" x14ac:dyDescent="0.25">
      <c r="A3387" s="127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27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27">
        <v>45180</v>
      </c>
      <c r="B3389" s="24" t="s">
        <v>65</v>
      </c>
      <c r="C3389" s="21">
        <f t="shared" si="57"/>
        <v>0</v>
      </c>
    </row>
    <row r="3390" spans="1:224" x14ac:dyDescent="0.25">
      <c r="A3390" s="127">
        <v>45181</v>
      </c>
      <c r="B3390" s="24" t="s">
        <v>17</v>
      </c>
      <c r="C3390" s="21">
        <f t="shared" si="57"/>
        <v>-33.590000000000003</v>
      </c>
      <c r="BO3390" s="74">
        <v>-16.43</v>
      </c>
      <c r="CE3390" s="42">
        <v>-17.16</v>
      </c>
    </row>
    <row r="3391" spans="1:224" x14ac:dyDescent="0.25">
      <c r="A3391" s="127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27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27">
        <v>45181</v>
      </c>
      <c r="B3393" s="24" t="s">
        <v>29</v>
      </c>
      <c r="C3393" s="21">
        <f t="shared" si="57"/>
        <v>-31.395</v>
      </c>
      <c r="AN3393" s="74">
        <v>-7.24</v>
      </c>
      <c r="AW3393" s="74">
        <v>-7.97</v>
      </c>
      <c r="BC3393" s="74">
        <v>-8.11</v>
      </c>
      <c r="BO3393" s="74">
        <v>-8.0749999999999993</v>
      </c>
    </row>
    <row r="3394" spans="1:235" x14ac:dyDescent="0.25">
      <c r="A3394" s="127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27">
        <v>45181</v>
      </c>
      <c r="B3395" s="24" t="s">
        <v>20</v>
      </c>
      <c r="C3395" s="21">
        <f t="shared" si="57"/>
        <v>-32.92</v>
      </c>
      <c r="AW3395" s="74">
        <v>-7.95</v>
      </c>
      <c r="BC3395" s="74">
        <v>-8.3699999999999992</v>
      </c>
      <c r="BO3395" s="74">
        <v>-7.66</v>
      </c>
      <c r="CE3395" s="42">
        <v>-8.94</v>
      </c>
    </row>
    <row r="3396" spans="1:235" x14ac:dyDescent="0.25">
      <c r="A3396" s="127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27">
        <v>45181</v>
      </c>
      <c r="B3397" s="24" t="s">
        <v>75</v>
      </c>
      <c r="C3397" s="21">
        <f t="shared" si="57"/>
        <v>-21.97</v>
      </c>
      <c r="AW3397" s="74">
        <v>-7.98</v>
      </c>
      <c r="BC3397" s="74">
        <v>-9.85</v>
      </c>
      <c r="CM3397" s="74">
        <v>-4.1399999999999997</v>
      </c>
    </row>
    <row r="3398" spans="1:235" x14ac:dyDescent="0.25">
      <c r="A3398" s="127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27">
        <v>45181</v>
      </c>
      <c r="B3399" s="24" t="s">
        <v>65</v>
      </c>
      <c r="C3399" s="21">
        <f t="shared" si="57"/>
        <v>0</v>
      </c>
    </row>
    <row r="3400" spans="1:235" x14ac:dyDescent="0.25">
      <c r="A3400" s="127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27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27">
        <v>45183</v>
      </c>
      <c r="B3402" s="24" t="s">
        <v>113</v>
      </c>
      <c r="C3402" s="21">
        <f t="shared" si="57"/>
        <v>554.72500000000002</v>
      </c>
      <c r="BI3402" s="106">
        <v>65.584999999999994</v>
      </c>
      <c r="CA3402" s="106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27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27">
        <v>45183</v>
      </c>
      <c r="B3404" s="24" t="s">
        <v>44</v>
      </c>
      <c r="C3404" s="21">
        <f t="shared" si="57"/>
        <v>-195.14</v>
      </c>
      <c r="GQ3404" s="92">
        <v>-163.55000000000001</v>
      </c>
      <c r="HP3404" s="79">
        <v>-31.59</v>
      </c>
    </row>
    <row r="3405" spans="1:235" x14ac:dyDescent="0.25">
      <c r="A3405" s="127">
        <v>45183</v>
      </c>
      <c r="B3405" s="24" t="s">
        <v>152</v>
      </c>
      <c r="C3405" s="21">
        <f t="shared" si="57"/>
        <v>-550.36</v>
      </c>
      <c r="BC3405" s="74">
        <v>-100.66</v>
      </c>
      <c r="BI3405" s="106">
        <v>-33.29</v>
      </c>
      <c r="CA3405" s="106">
        <v>-69.989999999999995</v>
      </c>
      <c r="CG3405" s="106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27">
        <v>45183</v>
      </c>
      <c r="B3406" s="24" t="s">
        <v>59</v>
      </c>
      <c r="C3406" s="21">
        <f t="shared" si="57"/>
        <v>-9.9700000000000006</v>
      </c>
      <c r="AW3406" s="74">
        <v>-2.97</v>
      </c>
      <c r="CO3406" s="126">
        <v>-3.45</v>
      </c>
      <c r="DE3406" s="74">
        <v>-3.55</v>
      </c>
    </row>
    <row r="3407" spans="1:235" x14ac:dyDescent="0.25">
      <c r="A3407" s="127">
        <v>45183</v>
      </c>
      <c r="B3407" s="24" t="s">
        <v>176</v>
      </c>
      <c r="C3407" s="21">
        <f t="shared" si="57"/>
        <v>-14.195</v>
      </c>
      <c r="D3407" s="145">
        <v>-14.195</v>
      </c>
    </row>
    <row r="3408" spans="1:235" x14ac:dyDescent="0.25">
      <c r="A3408" s="127">
        <v>45184</v>
      </c>
      <c r="B3408" s="24" t="s">
        <v>20</v>
      </c>
      <c r="C3408" s="21">
        <f t="shared" si="57"/>
        <v>-16.905000000000001</v>
      </c>
      <c r="AR3408" s="74">
        <v>-8.31</v>
      </c>
      <c r="BI3408" s="106">
        <v>-8.5950000000000006</v>
      </c>
    </row>
    <row r="3409" spans="1:208" x14ac:dyDescent="0.25">
      <c r="A3409" s="127">
        <v>45184</v>
      </c>
      <c r="B3409" s="24" t="s">
        <v>68</v>
      </c>
      <c r="C3409" s="21">
        <f t="shared" si="57"/>
        <v>-90.77</v>
      </c>
      <c r="AN3409" s="74">
        <v>-14.73</v>
      </c>
      <c r="AR3409" s="74">
        <v>-15.96</v>
      </c>
      <c r="AW3409" s="74">
        <v>-31.87</v>
      </c>
      <c r="CO3409" s="126">
        <v>-28.21</v>
      </c>
    </row>
    <row r="3410" spans="1:208" x14ac:dyDescent="0.25">
      <c r="A3410" s="127">
        <v>45184</v>
      </c>
      <c r="B3410" s="24" t="s">
        <v>163</v>
      </c>
      <c r="C3410" s="21">
        <f t="shared" si="57"/>
        <v>204.85</v>
      </c>
      <c r="CA3410" s="106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27">
        <v>45185</v>
      </c>
      <c r="B3411" s="24" t="s">
        <v>32</v>
      </c>
      <c r="C3411" s="21">
        <f t="shared" si="57"/>
        <v>-66.19</v>
      </c>
      <c r="AR3411" s="74">
        <v>-14.94</v>
      </c>
      <c r="BC3411" s="74">
        <v>-17.05</v>
      </c>
      <c r="CG3411" s="106">
        <v>-17.53</v>
      </c>
      <c r="CS3411" s="74">
        <v>-16.670000000000002</v>
      </c>
    </row>
    <row r="3412" spans="1:208" x14ac:dyDescent="0.25">
      <c r="A3412" s="127">
        <v>45188</v>
      </c>
      <c r="B3412" s="24" t="s">
        <v>75</v>
      </c>
      <c r="C3412" s="21">
        <f t="shared" si="57"/>
        <v>-18.850000000000001</v>
      </c>
      <c r="BI3412" s="106">
        <v>-8.36</v>
      </c>
      <c r="CA3412" s="106">
        <v>-10.49</v>
      </c>
    </row>
    <row r="3413" spans="1:208" x14ac:dyDescent="0.25">
      <c r="A3413" s="127">
        <v>45188</v>
      </c>
      <c r="B3413" s="24" t="s">
        <v>27</v>
      </c>
      <c r="C3413" s="21">
        <f t="shared" si="57"/>
        <v>-15.59</v>
      </c>
      <c r="AR3413" s="74">
        <v>-15.59</v>
      </c>
    </row>
    <row r="3414" spans="1:208" x14ac:dyDescent="0.25">
      <c r="A3414" s="127">
        <v>45188</v>
      </c>
      <c r="B3414" s="24" t="s">
        <v>20</v>
      </c>
      <c r="C3414" s="21">
        <f t="shared" si="57"/>
        <v>-9.6199999999999992</v>
      </c>
      <c r="CA3414" s="106">
        <v>-9.6199999999999992</v>
      </c>
    </row>
    <row r="3415" spans="1:208" x14ac:dyDescent="0.25">
      <c r="A3415" s="127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74">
        <v>-7.94</v>
      </c>
      <c r="BO3415" s="74">
        <v>-8.8149999999999995</v>
      </c>
      <c r="CA3415" s="106">
        <v>-9.14</v>
      </c>
      <c r="CG3415" s="106">
        <v>-17.32</v>
      </c>
    </row>
    <row r="3416" spans="1:208" x14ac:dyDescent="0.25">
      <c r="A3416" s="127">
        <v>45188</v>
      </c>
      <c r="B3416" s="24" t="s">
        <v>79</v>
      </c>
      <c r="C3416" s="21">
        <f t="shared" si="57"/>
        <v>-16.649999999999999</v>
      </c>
      <c r="AW3416" s="74">
        <v>-7.95</v>
      </c>
      <c r="CG3416" s="106">
        <v>-8.6999999999999993</v>
      </c>
    </row>
    <row r="3417" spans="1:208" x14ac:dyDescent="0.25">
      <c r="A3417" s="127">
        <v>45188</v>
      </c>
      <c r="B3417" s="24" t="s">
        <v>84</v>
      </c>
      <c r="C3417" s="21">
        <f t="shared" si="57"/>
        <v>-58.74</v>
      </c>
      <c r="BI3417" s="106">
        <v>-15.34</v>
      </c>
      <c r="BO3417" s="74">
        <v>-17.72</v>
      </c>
      <c r="CA3417" s="106">
        <v>-8.49</v>
      </c>
      <c r="CG3417" s="106">
        <v>-17.190000000000001</v>
      </c>
    </row>
    <row r="3418" spans="1:208" x14ac:dyDescent="0.25">
      <c r="A3418" s="127">
        <v>45188</v>
      </c>
      <c r="B3418" s="24" t="s">
        <v>133</v>
      </c>
      <c r="C3418" s="21">
        <f t="shared" si="57"/>
        <v>-146.56</v>
      </c>
      <c r="AW3418" s="74">
        <v>-31.18</v>
      </c>
      <c r="BC3418" s="74">
        <v>-30.97</v>
      </c>
      <c r="CE3418" s="42">
        <v>-9.5</v>
      </c>
      <c r="CG3418" s="106">
        <f>-8.7-8.7-7.2</f>
        <v>-24.6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27">
        <v>45189</v>
      </c>
      <c r="B3419" s="24" t="s">
        <v>113</v>
      </c>
      <c r="C3419" s="21">
        <f t="shared" si="57"/>
        <v>1205.595</v>
      </c>
      <c r="BI3419" s="106">
        <v>165.39500000000001</v>
      </c>
      <c r="BO3419" s="74">
        <v>134.6</v>
      </c>
      <c r="BU3419" s="106">
        <v>158.39500000000001</v>
      </c>
      <c r="CA3419" s="106">
        <v>102.485</v>
      </c>
      <c r="CG3419" s="106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27">
        <v>45189</v>
      </c>
      <c r="B3420" s="24" t="s">
        <v>17</v>
      </c>
      <c r="C3420" s="21">
        <f t="shared" si="57"/>
        <v>-58.17</v>
      </c>
      <c r="BI3420" s="106">
        <v>-8.3249999999999993</v>
      </c>
      <c r="BO3420" s="74">
        <v>-8.17</v>
      </c>
      <c r="BU3420" s="106">
        <v>-15.945</v>
      </c>
      <c r="CA3420" s="106">
        <v>-17.63</v>
      </c>
      <c r="CG3420" s="106">
        <v>-8.1</v>
      </c>
    </row>
    <row r="3421" spans="1:208" x14ac:dyDescent="0.25">
      <c r="A3421" s="127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74">
        <v>-23.26</v>
      </c>
      <c r="AW3421" s="74">
        <v>-28.61</v>
      </c>
      <c r="BC3421" s="74">
        <v>-48.57</v>
      </c>
      <c r="BI3421" s="106">
        <v>-66.094999999999999</v>
      </c>
      <c r="BO3421" s="74">
        <v>-67.239999999999995</v>
      </c>
      <c r="BU3421" s="106">
        <v>-62.2</v>
      </c>
      <c r="CA3421" s="106">
        <v>-42.44</v>
      </c>
      <c r="CG3421" s="106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27">
        <v>45189</v>
      </c>
      <c r="B3422" s="24" t="s">
        <v>133</v>
      </c>
      <c r="C3422" s="21">
        <f t="shared" si="57"/>
        <v>-106.035</v>
      </c>
      <c r="BO3422" s="74">
        <v>-25.55</v>
      </c>
      <c r="BU3422" s="106">
        <v>-24.465</v>
      </c>
      <c r="CA3422" s="106">
        <v>-25.36</v>
      </c>
      <c r="CG3422" s="106">
        <v>-30.66</v>
      </c>
    </row>
    <row r="3423" spans="1:208" x14ac:dyDescent="0.25">
      <c r="A3423" s="127">
        <v>45189</v>
      </c>
      <c r="B3423" s="24" t="s">
        <v>178</v>
      </c>
      <c r="C3423" s="21">
        <f t="shared" si="57"/>
        <v>-31.94</v>
      </c>
      <c r="BU3423" s="106">
        <v>-31.94</v>
      </c>
    </row>
    <row r="3424" spans="1:208" x14ac:dyDescent="0.25">
      <c r="A3424" s="127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27">
        <v>45189</v>
      </c>
      <c r="B3425" s="24" t="s">
        <v>127</v>
      </c>
      <c r="C3425" s="21">
        <f t="shared" si="57"/>
        <v>-31.44</v>
      </c>
      <c r="V3425" s="74">
        <v>-6.92</v>
      </c>
      <c r="AR3425" s="74">
        <v>-7.89</v>
      </c>
      <c r="AW3425" s="74">
        <v>-8.3800000000000008</v>
      </c>
      <c r="BI3425" s="106">
        <v>-8.25</v>
      </c>
    </row>
    <row r="3426" spans="1:224" x14ac:dyDescent="0.25">
      <c r="A3426" s="127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74">
        <v>419.43599999999998</v>
      </c>
      <c r="BI3426" s="106">
        <v>297.54500000000002</v>
      </c>
      <c r="BO3426" s="74">
        <v>272.8</v>
      </c>
      <c r="BU3426" s="106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27">
        <v>45190</v>
      </c>
      <c r="B3427" s="24" t="s">
        <v>113</v>
      </c>
      <c r="C3427" s="21">
        <f t="shared" si="57"/>
        <v>1450.875</v>
      </c>
      <c r="BI3427" s="106">
        <v>303.98</v>
      </c>
      <c r="BO3427" s="74">
        <v>289.64999999999998</v>
      </c>
      <c r="CG3427" s="106">
        <v>290.07499999999999</v>
      </c>
      <c r="CY3427" s="74">
        <v>305.64999999999998</v>
      </c>
      <c r="EA3427" s="74">
        <v>261.52</v>
      </c>
    </row>
    <row r="3428" spans="1:224" x14ac:dyDescent="0.25">
      <c r="A3428" s="127">
        <v>45190</v>
      </c>
      <c r="B3428" s="24" t="s">
        <v>48</v>
      </c>
      <c r="C3428" s="21">
        <f t="shared" si="57"/>
        <v>-107.05</v>
      </c>
      <c r="T3428" s="42">
        <v>33.58</v>
      </c>
      <c r="AA3428" s="42">
        <v>33.630000000000003</v>
      </c>
      <c r="AN3428" s="74">
        <v>-15.99</v>
      </c>
      <c r="BI3428" s="106">
        <v>-31.79</v>
      </c>
      <c r="BO3428" s="74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27">
        <v>45190</v>
      </c>
      <c r="B3429" s="24" t="s">
        <v>43</v>
      </c>
      <c r="C3429" s="21">
        <f t="shared" si="57"/>
        <v>-206.16</v>
      </c>
      <c r="BO3429" s="74">
        <v>-79.489999999999995</v>
      </c>
      <c r="BU3429" s="106">
        <v>-62.384999999999998</v>
      </c>
      <c r="CG3429" s="106">
        <v>-32.164999999999999</v>
      </c>
      <c r="CY3429" s="74">
        <v>-32.119999999999997</v>
      </c>
    </row>
    <row r="3430" spans="1:224" x14ac:dyDescent="0.25">
      <c r="A3430" s="127">
        <v>45190</v>
      </c>
      <c r="B3430" s="24" t="s">
        <v>18</v>
      </c>
      <c r="C3430" s="21">
        <f t="shared" si="57"/>
        <v>-517.15499999999997</v>
      </c>
      <c r="AN3430" s="74">
        <v>-34.380000000000003</v>
      </c>
      <c r="AW3430" s="74">
        <v>-65.569999999999993</v>
      </c>
      <c r="BC3430" s="74">
        <v>-28.9</v>
      </c>
      <c r="BI3430" s="106">
        <v>-66.224999999999994</v>
      </c>
      <c r="BO3430" s="74">
        <v>-66.53</v>
      </c>
      <c r="BU3430" s="106">
        <v>-65.33</v>
      </c>
      <c r="CG3430" s="106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27">
        <v>45190</v>
      </c>
      <c r="B3431" s="24" t="s">
        <v>127</v>
      </c>
      <c r="C3431" s="21">
        <f t="shared" si="57"/>
        <v>-31.44</v>
      </c>
      <c r="V3431" s="74">
        <v>-6.92</v>
      </c>
      <c r="AR3431" s="74">
        <v>-7.89</v>
      </c>
      <c r="AU3431" s="42">
        <v>-8.3800000000000008</v>
      </c>
      <c r="BI3431" s="106">
        <v>-8.25</v>
      </c>
    </row>
    <row r="3432" spans="1:224" x14ac:dyDescent="0.25">
      <c r="A3432" s="127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27">
        <v>45191</v>
      </c>
      <c r="B3433" s="24" t="s">
        <v>84</v>
      </c>
      <c r="C3433" s="21">
        <f t="shared" si="57"/>
        <v>-42.814999999999998</v>
      </c>
      <c r="BU3433" s="106">
        <v>-17.004999999999999</v>
      </c>
      <c r="CA3433" s="106">
        <v>-8.3699999999999992</v>
      </c>
      <c r="CK3433" s="42">
        <v>-17.440000000000001</v>
      </c>
    </row>
    <row r="3434" spans="1:224" x14ac:dyDescent="0.25">
      <c r="A3434" s="127">
        <v>45191</v>
      </c>
      <c r="B3434" s="24" t="s">
        <v>25</v>
      </c>
      <c r="C3434" s="21">
        <f t="shared" si="57"/>
        <v>-50.77</v>
      </c>
      <c r="BI3434" s="106">
        <v>-16.565000000000001</v>
      </c>
      <c r="BU3434" s="106">
        <v>-17.024999999999999</v>
      </c>
      <c r="BY3434" s="42">
        <v>-17.18</v>
      </c>
    </row>
    <row r="3435" spans="1:224" x14ac:dyDescent="0.25">
      <c r="A3435" s="127">
        <v>45191</v>
      </c>
      <c r="B3435" s="24" t="s">
        <v>139</v>
      </c>
      <c r="C3435" s="21">
        <f t="shared" si="57"/>
        <v>-49.755000000000003</v>
      </c>
      <c r="AW3435" s="74">
        <v>-8.42</v>
      </c>
      <c r="BC3435" s="74">
        <v>-8.4</v>
      </c>
      <c r="BI3435" s="106">
        <v>-7.57</v>
      </c>
      <c r="BO3435" s="74">
        <v>-8.7149999999999999</v>
      </c>
      <c r="BY3435" s="42">
        <v>-8.5500000000000007</v>
      </c>
      <c r="CG3435" s="106">
        <v>-8.1</v>
      </c>
    </row>
    <row r="3436" spans="1:224" x14ac:dyDescent="0.25">
      <c r="A3436" s="127">
        <v>45191</v>
      </c>
      <c r="B3436" s="24" t="s">
        <v>79</v>
      </c>
      <c r="C3436" s="21">
        <f t="shared" si="57"/>
        <v>-33.244999999999997</v>
      </c>
      <c r="BO3436" s="74">
        <v>-8.4600000000000009</v>
      </c>
      <c r="CA3436" s="106">
        <v>-8.6850000000000005</v>
      </c>
      <c r="CS3436" s="74">
        <v>-16.100000000000001</v>
      </c>
    </row>
    <row r="3437" spans="1:224" x14ac:dyDescent="0.25">
      <c r="A3437" s="127">
        <v>45191</v>
      </c>
      <c r="B3437" s="24" t="s">
        <v>20</v>
      </c>
      <c r="C3437" s="21">
        <f t="shared" si="57"/>
        <v>-91.57</v>
      </c>
      <c r="BU3437" s="106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27">
        <v>45191</v>
      </c>
      <c r="B3438" s="24" t="s">
        <v>27</v>
      </c>
      <c r="C3438" s="21">
        <f t="shared" si="57"/>
        <v>-64.704999999999998</v>
      </c>
      <c r="BI3438" s="106">
        <v>-8.59</v>
      </c>
      <c r="BU3438" s="106">
        <v>-15.904999999999999</v>
      </c>
      <c r="CY3438" s="74">
        <v>-40.21</v>
      </c>
    </row>
    <row r="3439" spans="1:224" x14ac:dyDescent="0.25">
      <c r="A3439" s="127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27">
        <v>45191</v>
      </c>
      <c r="B3440" s="24" t="s">
        <v>75</v>
      </c>
      <c r="C3440" s="21">
        <f t="shared" si="57"/>
        <v>-16.59</v>
      </c>
      <c r="BU3440" s="106">
        <v>-7.94</v>
      </c>
      <c r="CK3440" s="42">
        <v>-8.65</v>
      </c>
    </row>
    <row r="3441" spans="1:150" x14ac:dyDescent="0.25">
      <c r="A3441" s="127">
        <v>45191</v>
      </c>
      <c r="B3441" s="24" t="s">
        <v>17</v>
      </c>
      <c r="C3441" s="21">
        <f t="shared" ref="C3441:C3504" si="58">SUM(D3441:JT3441)</f>
        <v>-31.3</v>
      </c>
      <c r="AN3441" s="74">
        <v>-6.43</v>
      </c>
      <c r="AR3441" s="74">
        <v>-7.77</v>
      </c>
      <c r="BC3441" s="74">
        <v>-8.4700000000000006</v>
      </c>
      <c r="BY3441" s="42">
        <v>-8.6300000000000008</v>
      </c>
    </row>
    <row r="3442" spans="1:150" x14ac:dyDescent="0.25">
      <c r="A3442" s="127">
        <v>45191</v>
      </c>
      <c r="B3442" s="24" t="s">
        <v>113</v>
      </c>
      <c r="C3442" s="21">
        <f t="shared" si="58"/>
        <v>953.86400000000003</v>
      </c>
      <c r="BU3442" s="106">
        <v>311.10399999999998</v>
      </c>
      <c r="CA3442" s="106">
        <v>97.18</v>
      </c>
      <c r="CM3442" s="74">
        <v>352.12</v>
      </c>
      <c r="DU3442" s="106">
        <v>193.46</v>
      </c>
    </row>
    <row r="3443" spans="1:150" x14ac:dyDescent="0.25">
      <c r="A3443" s="127">
        <v>45191</v>
      </c>
      <c r="B3443" s="24" t="s">
        <v>18</v>
      </c>
      <c r="C3443" s="21">
        <f t="shared" si="58"/>
        <v>-178.48</v>
      </c>
      <c r="BU3443" s="106">
        <v>-30.64</v>
      </c>
      <c r="CA3443" s="106">
        <v>-32.840000000000003</v>
      </c>
      <c r="CM3443" s="74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27">
        <v>45191</v>
      </c>
      <c r="B3444" s="24" t="s">
        <v>17</v>
      </c>
      <c r="C3444" s="21">
        <f t="shared" si="58"/>
        <v>-38.725000000000001</v>
      </c>
      <c r="BI3444" s="106">
        <f>-8.09-8.08</f>
        <v>-16.170000000000002</v>
      </c>
      <c r="BO3444" s="74">
        <v>-8.23</v>
      </c>
      <c r="BU3444" s="106">
        <v>-7.5750000000000002</v>
      </c>
      <c r="CA3444" s="106">
        <v>-6.75</v>
      </c>
    </row>
    <row r="3445" spans="1:150" x14ac:dyDescent="0.25">
      <c r="A3445" s="127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74">
        <v>-7.72</v>
      </c>
      <c r="BC3445" s="74">
        <v>-31.28</v>
      </c>
      <c r="BI3445" s="106">
        <v>-31.98</v>
      </c>
      <c r="BO3445" s="74">
        <v>-64.3</v>
      </c>
      <c r="BU3445" s="106">
        <v>-49.494999999999997</v>
      </c>
      <c r="CA3445" s="106">
        <v>-33.31</v>
      </c>
      <c r="CG3445" s="106">
        <v>-16.13</v>
      </c>
      <c r="CM3445" s="74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27">
        <v>45192</v>
      </c>
      <c r="B3446" s="24" t="s">
        <v>133</v>
      </c>
      <c r="C3446" s="21">
        <f t="shared" si="58"/>
        <v>-131.40299999999999</v>
      </c>
      <c r="BI3446" s="106">
        <v>-29.38</v>
      </c>
      <c r="BO3446" s="74">
        <v>-34</v>
      </c>
      <c r="BU3446" s="106">
        <v>-34.173000000000002</v>
      </c>
      <c r="DE3446" s="74">
        <v>-33.85</v>
      </c>
    </row>
    <row r="3447" spans="1:150" x14ac:dyDescent="0.25">
      <c r="A3447" s="127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27">
        <v>45194</v>
      </c>
      <c r="B3448" s="29" t="s">
        <v>17</v>
      </c>
      <c r="C3448" s="21">
        <f t="shared" si="58"/>
        <v>-41.8</v>
      </c>
      <c r="BC3448" s="74">
        <v>-8.65</v>
      </c>
      <c r="BI3448" s="106">
        <v>-16.809999999999999</v>
      </c>
      <c r="BO3448" s="74">
        <v>-7.8150000000000004</v>
      </c>
      <c r="BU3448" s="106">
        <v>-8.5250000000000004</v>
      </c>
    </row>
    <row r="3449" spans="1:150" x14ac:dyDescent="0.25">
      <c r="A3449" s="127">
        <v>45194</v>
      </c>
      <c r="B3449" s="29" t="s">
        <v>32</v>
      </c>
      <c r="C3449" s="21">
        <f t="shared" si="58"/>
        <v>-48.68</v>
      </c>
      <c r="AA3449" s="42">
        <v>-16.52</v>
      </c>
      <c r="CM3449" s="74">
        <v>-32.159999999999997</v>
      </c>
    </row>
    <row r="3450" spans="1:150" x14ac:dyDescent="0.25">
      <c r="A3450" s="127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27">
        <v>45195</v>
      </c>
      <c r="B3451" s="24" t="s">
        <v>147</v>
      </c>
      <c r="C3451" s="21">
        <f t="shared" si="58"/>
        <v>-47.634999999999998</v>
      </c>
      <c r="AW3451" s="74">
        <v>-6.94</v>
      </c>
      <c r="BI3451" s="106">
        <v>-8.15</v>
      </c>
      <c r="BO3451" s="74">
        <v>-8.02</v>
      </c>
      <c r="BU3451" s="106">
        <v>-8.0500000000000007</v>
      </c>
      <c r="CA3451" s="106">
        <v>-8.1999999999999993</v>
      </c>
      <c r="CG3451" s="106">
        <v>-8.2750000000000004</v>
      </c>
    </row>
    <row r="3452" spans="1:150" x14ac:dyDescent="0.25">
      <c r="A3452" s="127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27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74">
        <v>-7.84</v>
      </c>
      <c r="AW3453" s="74">
        <v>-15.86</v>
      </c>
      <c r="BC3453" s="74">
        <v>-22.38</v>
      </c>
      <c r="BI3453" s="106">
        <v>-16.27</v>
      </c>
      <c r="BO3453" s="74">
        <v>-15.95</v>
      </c>
      <c r="BU3453" s="106">
        <v>-15.555</v>
      </c>
      <c r="CA3453" s="106">
        <v>-16.079999999999998</v>
      </c>
      <c r="CG3453" s="106">
        <v>-16.850000000000001</v>
      </c>
    </row>
    <row r="3454" spans="1:150" x14ac:dyDescent="0.25">
      <c r="A3454" s="127">
        <v>45195</v>
      </c>
      <c r="B3454" s="24" t="s">
        <v>20</v>
      </c>
      <c r="C3454" s="21">
        <f t="shared" si="58"/>
        <v>-32.15</v>
      </c>
      <c r="BC3454" s="74">
        <v>-7.75</v>
      </c>
      <c r="BI3454" s="106">
        <v>-8.14</v>
      </c>
      <c r="BO3454" s="74">
        <v>-8.02</v>
      </c>
      <c r="BU3454" s="106">
        <v>-8.24</v>
      </c>
    </row>
    <row r="3455" spans="1:150" x14ac:dyDescent="0.25">
      <c r="A3455" s="127">
        <v>45195</v>
      </c>
      <c r="B3455" s="24" t="s">
        <v>113</v>
      </c>
      <c r="C3455" s="21">
        <f t="shared" si="58"/>
        <v>1176.79</v>
      </c>
      <c r="CA3455" s="106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27">
        <v>45195</v>
      </c>
      <c r="B3456" s="24" t="s">
        <v>17</v>
      </c>
      <c r="C3456" s="21">
        <f t="shared" si="58"/>
        <v>-100.64</v>
      </c>
      <c r="BC3456" s="74">
        <v>-16.5</v>
      </c>
      <c r="BI3456" s="106">
        <v>-17.105</v>
      </c>
      <c r="BO3456" s="74">
        <v>-17.13</v>
      </c>
      <c r="CA3456" s="106">
        <v>-16.22</v>
      </c>
      <c r="CG3456" s="106">
        <v>-16.22</v>
      </c>
      <c r="CS3456" s="74">
        <v>-17.465</v>
      </c>
    </row>
    <row r="3457" spans="1:221" x14ac:dyDescent="0.25">
      <c r="A3457" s="127">
        <v>45195</v>
      </c>
      <c r="B3457" s="24" t="s">
        <v>184</v>
      </c>
      <c r="C3457" s="21">
        <f t="shared" si="58"/>
        <v>-17.73</v>
      </c>
      <c r="CA3457" s="106">
        <v>-17.73</v>
      </c>
    </row>
    <row r="3458" spans="1:221" x14ac:dyDescent="0.25">
      <c r="A3458" s="127">
        <v>45196</v>
      </c>
      <c r="B3458" s="24" t="s">
        <v>57</v>
      </c>
      <c r="C3458" s="21">
        <f t="shared" si="58"/>
        <v>-16.84</v>
      </c>
      <c r="BC3458" s="74">
        <v>-8.2100000000000009</v>
      </c>
      <c r="BI3458" s="106">
        <v>-8.6300000000000008</v>
      </c>
    </row>
    <row r="3459" spans="1:221" x14ac:dyDescent="0.25">
      <c r="A3459" s="127">
        <v>45196</v>
      </c>
      <c r="B3459" s="24" t="s">
        <v>184</v>
      </c>
      <c r="C3459" s="21">
        <f t="shared" si="58"/>
        <v>-41.435000000000002</v>
      </c>
      <c r="CM3459" s="74">
        <v>-16.63</v>
      </c>
      <c r="CS3459" s="74">
        <v>-16.765000000000001</v>
      </c>
      <c r="CY3459" s="74">
        <v>-8.0399999999999991</v>
      </c>
    </row>
    <row r="3460" spans="1:221" x14ac:dyDescent="0.25">
      <c r="A3460" s="127">
        <v>45196</v>
      </c>
      <c r="B3460" s="24" t="s">
        <v>152</v>
      </c>
      <c r="C3460" s="21">
        <f t="shared" si="58"/>
        <v>-1170.375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74">
        <v>-67.805000000000007</v>
      </c>
      <c r="BU3460" s="106">
        <v>-68.245000000000005</v>
      </c>
      <c r="CA3460" s="106">
        <v>-170.655</v>
      </c>
      <c r="CG3460" s="106">
        <v>-64.224999999999994</v>
      </c>
      <c r="CM3460" s="74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27">
        <v>45196</v>
      </c>
      <c r="B3461" s="24" t="s">
        <v>113</v>
      </c>
      <c r="C3461" s="21">
        <f t="shared" si="58"/>
        <v>1157.8599999999999</v>
      </c>
      <c r="CM3461" s="74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27">
        <v>45197</v>
      </c>
      <c r="B3462" s="24" t="s">
        <v>169</v>
      </c>
      <c r="C3462" s="21">
        <f t="shared" si="58"/>
        <v>-140.38</v>
      </c>
      <c r="E3462" s="145">
        <v>-69.465000000000003</v>
      </c>
      <c r="F3462" s="145">
        <v>-70.915000000000006</v>
      </c>
    </row>
    <row r="3463" spans="1:221" x14ac:dyDescent="0.25">
      <c r="A3463" s="127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106">
        <v>-16.864999999999998</v>
      </c>
      <c r="BO3463" s="74">
        <v>-17.065000000000001</v>
      </c>
    </row>
    <row r="3464" spans="1:221" x14ac:dyDescent="0.25">
      <c r="A3464" s="127">
        <v>45197</v>
      </c>
      <c r="B3464" s="24" t="s">
        <v>29</v>
      </c>
      <c r="C3464" s="21">
        <f t="shared" si="58"/>
        <v>-14.345000000000001</v>
      </c>
      <c r="BI3464" s="106">
        <v>-7.5149999999999997</v>
      </c>
      <c r="BU3464" s="106">
        <v>-6.83</v>
      </c>
    </row>
    <row r="3465" spans="1:221" x14ac:dyDescent="0.25">
      <c r="A3465" s="127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27">
        <v>45197</v>
      </c>
      <c r="B3466" s="24" t="s">
        <v>48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27">
        <v>45197</v>
      </c>
      <c r="B3467" s="24" t="s">
        <v>78</v>
      </c>
      <c r="C3467" s="21">
        <f t="shared" si="58"/>
        <v>-68.34</v>
      </c>
      <c r="BO3467" s="74">
        <v>-68.34</v>
      </c>
    </row>
    <row r="3468" spans="1:221" x14ac:dyDescent="0.25">
      <c r="A3468" s="127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27">
        <v>45198</v>
      </c>
      <c r="B3469" s="24" t="s">
        <v>113</v>
      </c>
      <c r="C3469" s="21">
        <f t="shared" si="58"/>
        <v>1082.3800000000001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27">
        <v>45198</v>
      </c>
      <c r="B3470" s="24" t="s">
        <v>178</v>
      </c>
      <c r="C3470" s="21">
        <f t="shared" si="58"/>
        <v>-49.256</v>
      </c>
      <c r="BC3470" s="74">
        <v>-33.340000000000003</v>
      </c>
      <c r="BU3470" s="106">
        <f>-8.01-7.906</f>
        <v>-15.916</v>
      </c>
    </row>
    <row r="3471" spans="1:221" x14ac:dyDescent="0.25">
      <c r="A3471" s="127">
        <v>45198</v>
      </c>
      <c r="B3471" s="24" t="s">
        <v>113</v>
      </c>
      <c r="C3471" s="21">
        <f t="shared" si="58"/>
        <v>134.51</v>
      </c>
      <c r="AR3471" s="74">
        <v>134.51</v>
      </c>
    </row>
    <row r="3472" spans="1:221" x14ac:dyDescent="0.25">
      <c r="A3472" s="127">
        <v>45198</v>
      </c>
      <c r="B3472" s="24" t="s">
        <v>139</v>
      </c>
      <c r="C3472" s="21">
        <f t="shared" si="58"/>
        <v>-7.18</v>
      </c>
      <c r="CY3472" s="74">
        <v>-7.18</v>
      </c>
    </row>
    <row r="3473" spans="1:224" x14ac:dyDescent="0.25">
      <c r="A3473" s="127">
        <v>45198</v>
      </c>
      <c r="B3473" s="24" t="s">
        <v>33</v>
      </c>
      <c r="C3473" s="21">
        <f t="shared" si="58"/>
        <v>-41.99</v>
      </c>
      <c r="AW3473" s="74">
        <v>-7.94</v>
      </c>
      <c r="BC3473" s="74">
        <v>-8.36</v>
      </c>
      <c r="BI3473" s="106">
        <v>-8.9350000000000005</v>
      </c>
      <c r="BO3473" s="74">
        <v>-8.6449999999999996</v>
      </c>
      <c r="BU3473" s="106">
        <v>-8.11</v>
      </c>
    </row>
    <row r="3474" spans="1:224" x14ac:dyDescent="0.25">
      <c r="A3474" s="127">
        <v>45198</v>
      </c>
      <c r="B3474" s="24" t="s">
        <v>25</v>
      </c>
      <c r="C3474" s="21">
        <f t="shared" si="58"/>
        <v>-25.28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27">
        <v>45198</v>
      </c>
      <c r="B3475" s="24" t="s">
        <v>84</v>
      </c>
      <c r="C3475" s="21">
        <f t="shared" si="58"/>
        <v>-31.92</v>
      </c>
      <c r="AW3475" s="74">
        <v>-7.97</v>
      </c>
      <c r="BC3475" s="74">
        <v>-8.24</v>
      </c>
      <c r="BI3475" s="106">
        <v>-7.9649999999999999</v>
      </c>
      <c r="BU3475" s="106">
        <v>-7.7450000000000001</v>
      </c>
    </row>
    <row r="3476" spans="1:224" x14ac:dyDescent="0.25">
      <c r="A3476" s="127">
        <v>45198</v>
      </c>
      <c r="B3476" s="24" t="s">
        <v>20</v>
      </c>
      <c r="C3476" s="21">
        <f t="shared" si="58"/>
        <v>-15.15</v>
      </c>
      <c r="Z3476" s="79">
        <v>-6.67</v>
      </c>
      <c r="CA3476" s="106">
        <v>-8.48</v>
      </c>
    </row>
    <row r="3477" spans="1:224" x14ac:dyDescent="0.25">
      <c r="A3477" s="127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106">
        <v>-8.23</v>
      </c>
      <c r="BU3477" s="106">
        <v>-8.5500000000000007</v>
      </c>
      <c r="CA3477" s="106">
        <v>-8.4250000000000007</v>
      </c>
      <c r="CG3477" s="106">
        <v>-8.2050000000000001</v>
      </c>
      <c r="CM3477" s="74">
        <v>-16.66</v>
      </c>
      <c r="CS3477" s="74">
        <v>-16.18</v>
      </c>
      <c r="DE3477" s="74">
        <v>-16.420000000000002</v>
      </c>
    </row>
    <row r="3478" spans="1:224" x14ac:dyDescent="0.25">
      <c r="A3478" s="127">
        <v>45199</v>
      </c>
      <c r="B3478" s="24" t="s">
        <v>32</v>
      </c>
      <c r="C3478" s="21">
        <f t="shared" si="58"/>
        <v>-288.16500000000002</v>
      </c>
      <c r="AR3478" s="74">
        <v>-16.504999999999999</v>
      </c>
      <c r="AW3478" s="74">
        <v>-36.26</v>
      </c>
      <c r="BC3478" s="74">
        <v>-33.549999999999997</v>
      </c>
      <c r="BI3478" s="106">
        <v>-34.484999999999999</v>
      </c>
      <c r="BM3478" s="88">
        <v>-15.82</v>
      </c>
      <c r="BU3478" s="106">
        <v>-32.9</v>
      </c>
      <c r="CA3478" s="106">
        <v>-68.489999999999995</v>
      </c>
      <c r="CG3478" s="106">
        <v>-33.585000000000001</v>
      </c>
      <c r="CM3478" s="74">
        <v>-16.57</v>
      </c>
    </row>
    <row r="3479" spans="1:224" x14ac:dyDescent="0.25">
      <c r="A3479" s="127">
        <v>45199</v>
      </c>
      <c r="B3479" s="24" t="s">
        <v>133</v>
      </c>
      <c r="C3479" s="21">
        <f t="shared" si="58"/>
        <v>-180.07499999999999</v>
      </c>
      <c r="AR3479" s="74">
        <v>-33.119999999999997</v>
      </c>
      <c r="BC3479" s="74">
        <v>-33.61</v>
      </c>
      <c r="BI3479" s="106">
        <v>-29.9</v>
      </c>
      <c r="BO3479" s="74">
        <v>-16.344999999999999</v>
      </c>
      <c r="CA3479" s="106">
        <v>-34.35</v>
      </c>
      <c r="CS3479" s="74">
        <v>-32.75</v>
      </c>
    </row>
    <row r="3480" spans="1:224" x14ac:dyDescent="0.25">
      <c r="A3480" s="127">
        <v>45199</v>
      </c>
      <c r="B3480" s="24" t="s">
        <v>133</v>
      </c>
      <c r="C3480" s="21">
        <f t="shared" si="58"/>
        <v>-136.12</v>
      </c>
      <c r="CM3480" s="74">
        <v>-33.9</v>
      </c>
      <c r="DU3480" s="106">
        <v>-102.22</v>
      </c>
    </row>
    <row r="3481" spans="1:224" x14ac:dyDescent="0.25">
      <c r="A3481" s="127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27">
        <v>45201</v>
      </c>
      <c r="B3482" s="24" t="s">
        <v>65</v>
      </c>
      <c r="C3482" s="21">
        <f t="shared" si="58"/>
        <v>-16.96</v>
      </c>
      <c r="BU3482" s="106">
        <v>-16.96</v>
      </c>
    </row>
    <row r="3483" spans="1:224" x14ac:dyDescent="0.25">
      <c r="A3483" s="127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27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27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27">
        <v>45201</v>
      </c>
      <c r="B3486" s="24" t="s">
        <v>127</v>
      </c>
      <c r="C3486" s="21">
        <f t="shared" si="58"/>
        <v>-42.09</v>
      </c>
      <c r="BI3486" s="106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27">
        <v>45202</v>
      </c>
      <c r="B3487" s="24" t="s">
        <v>127</v>
      </c>
      <c r="C3487" s="21">
        <f t="shared" si="58"/>
        <v>-16.756</v>
      </c>
      <c r="BC3487" s="74">
        <v>-16.756</v>
      </c>
    </row>
    <row r="3488" spans="1:224" x14ac:dyDescent="0.25">
      <c r="A3488" s="127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27">
        <v>45202</v>
      </c>
      <c r="B3489" s="24" t="s">
        <v>20</v>
      </c>
      <c r="C3489" s="21">
        <f t="shared" si="58"/>
        <v>-25</v>
      </c>
      <c r="CG3489" s="106">
        <v>-8.2050000000000001</v>
      </c>
      <c r="CM3489" s="74">
        <v>-8.3800000000000008</v>
      </c>
      <c r="CS3489" s="74">
        <v>-8.4149999999999991</v>
      </c>
    </row>
    <row r="3490" spans="1:137" x14ac:dyDescent="0.25">
      <c r="A3490" s="127">
        <v>45202</v>
      </c>
      <c r="B3490" s="24" t="s">
        <v>184</v>
      </c>
      <c r="C3490" s="21">
        <f t="shared" si="58"/>
        <v>-100.86499999999999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74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27">
        <v>45202</v>
      </c>
      <c r="B3491" s="24" t="s">
        <v>75</v>
      </c>
      <c r="C3491" s="21">
        <f t="shared" si="58"/>
        <v>-24.99</v>
      </c>
      <c r="BM3491" s="88">
        <v>-7.86</v>
      </c>
      <c r="BY3491" s="42">
        <v>-8.7799999999999994</v>
      </c>
      <c r="CM3491" s="74">
        <v>-8.35</v>
      </c>
    </row>
    <row r="3492" spans="1:137" x14ac:dyDescent="0.25">
      <c r="A3492" s="127">
        <v>45202</v>
      </c>
      <c r="B3492" s="24" t="s">
        <v>139</v>
      </c>
      <c r="C3492" s="21">
        <f t="shared" si="58"/>
        <v>-48.354999999999997</v>
      </c>
      <c r="BU3492" s="106">
        <v>-7.79</v>
      </c>
      <c r="CA3492" s="106">
        <v>-8.4049999999999994</v>
      </c>
      <c r="CG3492" s="106">
        <v>-8.0399999999999991</v>
      </c>
      <c r="CS3492" s="74">
        <v>-8.02</v>
      </c>
      <c r="CY3492" s="74">
        <v>-16.100000000000001</v>
      </c>
    </row>
    <row r="3493" spans="1:137" x14ac:dyDescent="0.25">
      <c r="A3493" s="127">
        <v>45202</v>
      </c>
      <c r="B3493" s="24" t="s">
        <v>48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27">
        <v>45202</v>
      </c>
      <c r="B3494" s="24" t="s">
        <v>167</v>
      </c>
      <c r="C3494" s="21">
        <f t="shared" si="58"/>
        <v>-25.58</v>
      </c>
      <c r="E3494" s="145">
        <v>-25.58</v>
      </c>
    </row>
    <row r="3495" spans="1:137" x14ac:dyDescent="0.25">
      <c r="A3495" s="127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27">
        <v>45203</v>
      </c>
      <c r="B3496" s="24" t="s">
        <v>184</v>
      </c>
      <c r="C3496" s="21">
        <f t="shared" si="58"/>
        <v>-24.58</v>
      </c>
      <c r="Z3496" s="79">
        <v>-7.48</v>
      </c>
      <c r="BS3496" s="42">
        <v>-17.100000000000001</v>
      </c>
    </row>
    <row r="3497" spans="1:137" x14ac:dyDescent="0.25">
      <c r="A3497" s="127">
        <v>45203</v>
      </c>
      <c r="B3497" s="24" t="s">
        <v>17</v>
      </c>
      <c r="C3497" s="21">
        <f t="shared" si="58"/>
        <v>-16.645</v>
      </c>
      <c r="CG3497" s="106">
        <v>-8.2650000000000006</v>
      </c>
      <c r="CM3497" s="74">
        <v>-8.3800000000000008</v>
      </c>
    </row>
    <row r="3498" spans="1:137" x14ac:dyDescent="0.25">
      <c r="A3498" s="127">
        <v>45204</v>
      </c>
      <c r="B3498" s="24" t="s">
        <v>184</v>
      </c>
      <c r="C3498" s="21">
        <f t="shared" si="58"/>
        <v>-156.85499999999999</v>
      </c>
      <c r="AR3498" s="74">
        <v>-24.02</v>
      </c>
      <c r="AW3498" s="74">
        <v>-8.1</v>
      </c>
      <c r="BC3498" s="74">
        <v>-16.809999999999999</v>
      </c>
      <c r="BI3498" s="106">
        <v>-8.5250000000000004</v>
      </c>
      <c r="DU3498" s="106">
        <v>-99.4</v>
      </c>
    </row>
    <row r="3499" spans="1:137" x14ac:dyDescent="0.25">
      <c r="A3499" s="127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74">
        <v>-75.5</v>
      </c>
      <c r="BI3499" s="106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27">
        <v>45204</v>
      </c>
      <c r="B3500" s="24" t="s">
        <v>17</v>
      </c>
      <c r="C3500" s="21">
        <f t="shared" si="58"/>
        <v>-67.069999999999993</v>
      </c>
      <c r="AW3500" s="74">
        <f>-9-8.01</f>
        <v>-17.010000000000002</v>
      </c>
      <c r="BC3500" s="74">
        <f>-8.42-8.37</f>
        <v>-16.79</v>
      </c>
      <c r="BI3500" s="106">
        <f>-8.56-8.53</f>
        <v>-17.09</v>
      </c>
      <c r="BM3500" s="88">
        <f>-8.58-7.6</f>
        <v>-16.18</v>
      </c>
    </row>
    <row r="3501" spans="1:137" x14ac:dyDescent="0.25">
      <c r="A3501" s="127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106">
        <v>-3.5</v>
      </c>
      <c r="CG3501" s="106">
        <v>-7.98</v>
      </c>
    </row>
    <row r="3502" spans="1:137" x14ac:dyDescent="0.25">
      <c r="A3502" s="127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27">
        <v>45205</v>
      </c>
      <c r="B3503" s="24" t="s">
        <v>113</v>
      </c>
      <c r="C3503" s="21">
        <f t="shared" si="58"/>
        <v>936.44500000000005</v>
      </c>
      <c r="BO3503" s="74">
        <v>149.93</v>
      </c>
      <c r="BU3503" s="106">
        <v>150.9</v>
      </c>
      <c r="CA3503" s="106">
        <v>161.30500000000001</v>
      </c>
      <c r="CG3503" s="106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27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27">
        <v>45205</v>
      </c>
      <c r="B3505" s="24" t="s">
        <v>75</v>
      </c>
      <c r="C3505" s="21">
        <f t="shared" ref="C3505:C3568" si="59">SUM(D3505:JT3505)</f>
        <v>-7.835</v>
      </c>
      <c r="BI3505" s="106">
        <v>-7.835</v>
      </c>
    </row>
    <row r="3506" spans="1:235" x14ac:dyDescent="0.25">
      <c r="A3506" s="127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27">
        <v>45205</v>
      </c>
      <c r="B3507" s="24" t="s">
        <v>133</v>
      </c>
      <c r="C3507" s="21">
        <f t="shared" si="59"/>
        <v>-168.34</v>
      </c>
      <c r="AW3507" s="74">
        <v>-36.14</v>
      </c>
      <c r="BC3507" s="74">
        <v>-16.91</v>
      </c>
      <c r="BI3507" s="106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27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27">
        <v>45208</v>
      </c>
      <c r="B3509" s="24" t="s">
        <v>65</v>
      </c>
      <c r="C3509" s="21">
        <f t="shared" si="59"/>
        <v>-103.55</v>
      </c>
      <c r="AN3509" s="74">
        <v>-68.98</v>
      </c>
      <c r="AW3509" s="74">
        <v>-34.57</v>
      </c>
    </row>
    <row r="3510" spans="1:235" x14ac:dyDescent="0.25">
      <c r="A3510" s="127">
        <v>45208</v>
      </c>
      <c r="B3510" s="24" t="s">
        <v>17</v>
      </c>
      <c r="C3510" s="21">
        <f t="shared" si="59"/>
        <v>-43.2</v>
      </c>
      <c r="AN3510" s="74">
        <v>-8.64</v>
      </c>
      <c r="AW3510" s="74">
        <v>-9.1</v>
      </c>
      <c r="BI3510" s="106">
        <v>-8.4700000000000006</v>
      </c>
      <c r="BO3510" s="74">
        <v>-8.65</v>
      </c>
      <c r="BU3510" s="106">
        <v>-8.34</v>
      </c>
    </row>
    <row r="3511" spans="1:235" x14ac:dyDescent="0.25">
      <c r="A3511" s="127">
        <v>45209</v>
      </c>
      <c r="B3511" s="24" t="s">
        <v>20</v>
      </c>
      <c r="C3511" s="21">
        <f t="shared" si="59"/>
        <v>-32.32</v>
      </c>
      <c r="P3511" s="106">
        <v>-7.26</v>
      </c>
      <c r="AW3511" s="74">
        <v>-9.02</v>
      </c>
      <c r="BC3511" s="74">
        <v>-8.48</v>
      </c>
      <c r="BI3511" s="106">
        <v>-7.56</v>
      </c>
    </row>
    <row r="3512" spans="1:235" x14ac:dyDescent="0.25">
      <c r="A3512" s="127">
        <v>45209</v>
      </c>
      <c r="B3512" s="24" t="s">
        <v>133</v>
      </c>
      <c r="C3512" s="21">
        <f t="shared" si="59"/>
        <v>-152.03</v>
      </c>
      <c r="AG3512" s="106">
        <v>-34.4</v>
      </c>
      <c r="BC3512" s="74">
        <v>-33.72</v>
      </c>
      <c r="BO3512" s="74">
        <v>-35.380000000000003</v>
      </c>
      <c r="BU3512" s="106">
        <v>-16.72</v>
      </c>
      <c r="CA3512" s="106">
        <v>-31.81</v>
      </c>
    </row>
    <row r="3513" spans="1:235" x14ac:dyDescent="0.25">
      <c r="A3513" s="127">
        <v>45209</v>
      </c>
      <c r="B3513" s="24" t="s">
        <v>75</v>
      </c>
      <c r="C3513" s="21">
        <f t="shared" si="59"/>
        <v>-17.63</v>
      </c>
      <c r="BA3513" s="42">
        <v>-9.32</v>
      </c>
      <c r="BO3513" s="74">
        <v>-8.31</v>
      </c>
    </row>
    <row r="3514" spans="1:235" x14ac:dyDescent="0.25">
      <c r="A3514" s="127">
        <v>45209</v>
      </c>
      <c r="B3514" s="24" t="s">
        <v>29</v>
      </c>
      <c r="C3514" s="21">
        <f t="shared" si="59"/>
        <v>-16.36</v>
      </c>
      <c r="BO3514" s="74">
        <v>-8.01</v>
      </c>
      <c r="BU3514" s="106">
        <v>-8.35</v>
      </c>
    </row>
    <row r="3515" spans="1:235" x14ac:dyDescent="0.25">
      <c r="A3515" s="127">
        <v>45209</v>
      </c>
      <c r="B3515" s="24" t="s">
        <v>152</v>
      </c>
      <c r="C3515" s="21">
        <f t="shared" si="59"/>
        <v>-100.81</v>
      </c>
      <c r="BU3515" s="106">
        <v>-100.81</v>
      </c>
    </row>
    <row r="3516" spans="1:235" x14ac:dyDescent="0.25">
      <c r="A3516" s="127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106">
        <f>-32.715-33.535</f>
        <v>-66.25</v>
      </c>
      <c r="BO3516" s="74">
        <f>-39.975-32.935</f>
        <v>-72.91</v>
      </c>
      <c r="BU3516" s="106">
        <v>-16.68</v>
      </c>
      <c r="CA3516" s="106">
        <v>-15.79</v>
      </c>
      <c r="CG3516" s="106">
        <v>-16.600000000000001</v>
      </c>
      <c r="CM3516" s="74">
        <v>-16.75</v>
      </c>
    </row>
    <row r="3517" spans="1:235" x14ac:dyDescent="0.25">
      <c r="A3517" s="127">
        <v>45209</v>
      </c>
      <c r="B3517" s="24" t="s">
        <v>48</v>
      </c>
      <c r="C3517" s="21">
        <f t="shared" si="59"/>
        <v>61.95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27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27">
        <v>45210</v>
      </c>
      <c r="B3519" s="24" t="s">
        <v>17</v>
      </c>
      <c r="C3519" s="21">
        <f t="shared" si="59"/>
        <v>-8.11</v>
      </c>
      <c r="AR3519" s="74">
        <v>-8.11</v>
      </c>
    </row>
    <row r="3520" spans="1:235" x14ac:dyDescent="0.25">
      <c r="A3520" s="127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27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106">
        <v>-15.975</v>
      </c>
    </row>
    <row r="3522" spans="1:216" x14ac:dyDescent="0.25">
      <c r="A3522" s="127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27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27">
        <v>45211</v>
      </c>
      <c r="B3524" s="24" t="s">
        <v>17</v>
      </c>
      <c r="C3524" s="21">
        <f t="shared" si="59"/>
        <v>-64.11</v>
      </c>
      <c r="BA3524" s="42">
        <v>-9.19</v>
      </c>
      <c r="BI3524" s="106">
        <v>-13.8</v>
      </c>
      <c r="BO3524" s="74">
        <v>-8.0500000000000007</v>
      </c>
      <c r="CG3524" s="106">
        <v>-16.32</v>
      </c>
      <c r="CM3524" s="74">
        <v>-16.75</v>
      </c>
    </row>
    <row r="3525" spans="1:216" x14ac:dyDescent="0.25">
      <c r="A3525" s="127">
        <v>45211</v>
      </c>
      <c r="B3525" s="24" t="s">
        <v>48</v>
      </c>
      <c r="C3525" s="21">
        <f t="shared" si="59"/>
        <v>-33.21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27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106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27">
        <v>45211</v>
      </c>
      <c r="B3527" s="29" t="s">
        <v>184</v>
      </c>
      <c r="C3527" s="21">
        <f t="shared" si="59"/>
        <v>-239.745</v>
      </c>
      <c r="AW3527" s="74">
        <v>-72.19</v>
      </c>
      <c r="BM3527" s="88">
        <v>-34.89</v>
      </c>
      <c r="CG3527" s="106">
        <v>-66.349999999999994</v>
      </c>
      <c r="CS3527" s="74">
        <v>-33.145000000000003</v>
      </c>
      <c r="CY3527" s="74">
        <v>-33.17</v>
      </c>
    </row>
    <row r="3528" spans="1:216" x14ac:dyDescent="0.25">
      <c r="A3528" s="127">
        <v>45211</v>
      </c>
      <c r="B3528" s="29" t="s">
        <v>115</v>
      </c>
      <c r="C3528" s="21">
        <f t="shared" si="59"/>
        <v>44.69</v>
      </c>
      <c r="G3528" s="145">
        <v>44.69</v>
      </c>
    </row>
    <row r="3529" spans="1:216" x14ac:dyDescent="0.25">
      <c r="A3529" s="127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27">
        <v>45211</v>
      </c>
      <c r="B3530" s="29" t="s">
        <v>17</v>
      </c>
      <c r="C3530" s="21">
        <f t="shared" si="59"/>
        <v>0</v>
      </c>
    </row>
    <row r="3531" spans="1:216" x14ac:dyDescent="0.25">
      <c r="A3531" s="127">
        <v>45211</v>
      </c>
      <c r="B3531" s="29" t="s">
        <v>185</v>
      </c>
      <c r="C3531" s="21">
        <f t="shared" si="59"/>
        <v>-25.49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27">
        <v>45211</v>
      </c>
      <c r="B3532" s="29" t="s">
        <v>185</v>
      </c>
      <c r="C3532" s="21">
        <f t="shared" si="59"/>
        <v>-36.06</v>
      </c>
      <c r="AW3532" s="74">
        <v>-36.06</v>
      </c>
    </row>
    <row r="3533" spans="1:216" x14ac:dyDescent="0.25">
      <c r="A3533" s="127">
        <v>45212</v>
      </c>
      <c r="B3533" s="24" t="s">
        <v>169</v>
      </c>
      <c r="C3533" s="21">
        <f t="shared" si="59"/>
        <v>-25.1</v>
      </c>
      <c r="G3533" s="145">
        <v>-25.1</v>
      </c>
    </row>
    <row r="3534" spans="1:216" x14ac:dyDescent="0.25">
      <c r="A3534" s="127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106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27">
        <v>45212</v>
      </c>
      <c r="B3535" s="29" t="s">
        <v>138</v>
      </c>
      <c r="C3535" s="21">
        <f t="shared" si="59"/>
        <v>-35.97</v>
      </c>
      <c r="BA3535" s="42">
        <v>-18.7</v>
      </c>
      <c r="BO3535" s="74">
        <v>-17.27</v>
      </c>
    </row>
    <row r="3536" spans="1:216" x14ac:dyDescent="0.25">
      <c r="A3536" s="127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27">
        <v>45212</v>
      </c>
      <c r="B3537" s="29" t="s">
        <v>222</v>
      </c>
      <c r="C3537" s="21">
        <f t="shared" si="59"/>
        <v>-49.61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106">
        <v>-8.2799999999999994</v>
      </c>
    </row>
    <row r="3538" spans="1:221" x14ac:dyDescent="0.25">
      <c r="A3538" s="127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74">
        <v>-8.3699999999999992</v>
      </c>
      <c r="CS3538" s="74">
        <v>-8.18</v>
      </c>
    </row>
    <row r="3539" spans="1:221" x14ac:dyDescent="0.25">
      <c r="A3539" s="127">
        <v>45212</v>
      </c>
      <c r="B3539" s="29" t="s">
        <v>133</v>
      </c>
      <c r="C3539" s="21">
        <f t="shared" si="59"/>
        <v>-124.645</v>
      </c>
      <c r="Z3539" s="79">
        <v>-28.84</v>
      </c>
      <c r="BI3539" s="106">
        <v>-28.76</v>
      </c>
      <c r="DK3539" s="74">
        <v>-32.674999999999997</v>
      </c>
      <c r="DP3539" s="74">
        <v>-34.369999999999997</v>
      </c>
    </row>
    <row r="3540" spans="1:221" x14ac:dyDescent="0.25">
      <c r="A3540" s="127">
        <v>45212</v>
      </c>
      <c r="B3540" s="24" t="s">
        <v>17</v>
      </c>
      <c r="C3540" s="21">
        <f t="shared" si="59"/>
        <v>-16.93</v>
      </c>
      <c r="AW3540" s="74">
        <v>-8.69</v>
      </c>
      <c r="CY3540" s="74">
        <v>-8.24</v>
      </c>
    </row>
    <row r="3541" spans="1:221" x14ac:dyDescent="0.25">
      <c r="A3541" s="127">
        <v>45213</v>
      </c>
      <c r="B3541" s="24" t="s">
        <v>113</v>
      </c>
      <c r="C3541" s="21">
        <f t="shared" si="59"/>
        <v>1008.77</v>
      </c>
      <c r="BO3541" s="74">
        <v>167.69</v>
      </c>
      <c r="BU3541" s="106">
        <v>161.785</v>
      </c>
      <c r="CA3541" s="106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27">
        <v>45215</v>
      </c>
      <c r="B3542" s="24" t="s">
        <v>184</v>
      </c>
      <c r="C3542" s="21">
        <f t="shared" si="59"/>
        <v>-233.565</v>
      </c>
      <c r="AC3542" s="74">
        <v>-24.46</v>
      </c>
      <c r="AW3542" s="74">
        <v>-13.85</v>
      </c>
      <c r="BI3542" s="106">
        <v>-15.88</v>
      </c>
      <c r="BO3542" s="74">
        <v>-23.94</v>
      </c>
      <c r="BU3542" s="106">
        <v>-64.430000000000007</v>
      </c>
      <c r="CA3542" s="106">
        <v>-32.984999999999999</v>
      </c>
      <c r="CG3542" s="106">
        <v>-16.66</v>
      </c>
      <c r="CM3542" s="74">
        <v>-17.32</v>
      </c>
      <c r="DE3542" s="74">
        <v>-24.04</v>
      </c>
    </row>
    <row r="3543" spans="1:221" x14ac:dyDescent="0.25">
      <c r="A3543" s="127">
        <v>45215</v>
      </c>
      <c r="B3543" s="24" t="s">
        <v>133</v>
      </c>
      <c r="C3543" s="21">
        <f t="shared" si="59"/>
        <v>-100.155</v>
      </c>
      <c r="AR3543" s="74">
        <v>-33.99</v>
      </c>
      <c r="BO3543" s="74">
        <v>-33.9</v>
      </c>
      <c r="BU3543" s="106">
        <v>-32.265000000000001</v>
      </c>
    </row>
    <row r="3544" spans="1:221" x14ac:dyDescent="0.25">
      <c r="A3544" s="127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27">
        <v>45215</v>
      </c>
      <c r="B3545" s="24" t="s">
        <v>178</v>
      </c>
      <c r="C3545" s="21">
        <f t="shared" si="59"/>
        <v>-31.12</v>
      </c>
      <c r="BU3545" s="106">
        <v>-31.12</v>
      </c>
    </row>
    <row r="3546" spans="1:221" x14ac:dyDescent="0.25">
      <c r="A3546" s="127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27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27">
        <v>45216</v>
      </c>
      <c r="B3548" s="24" t="s">
        <v>138</v>
      </c>
      <c r="C3548" s="21">
        <f t="shared" si="59"/>
        <v>-46.524999999999999</v>
      </c>
      <c r="BI3548" s="106">
        <v>-14.835000000000001</v>
      </c>
      <c r="CA3548" s="106">
        <v>-15.37</v>
      </c>
      <c r="CS3548" s="74">
        <v>-16.32</v>
      </c>
    </row>
    <row r="3549" spans="1:221" x14ac:dyDescent="0.25">
      <c r="A3549" s="127">
        <v>45216</v>
      </c>
      <c r="B3549" s="24" t="s">
        <v>84</v>
      </c>
      <c r="C3549" s="21">
        <f t="shared" si="59"/>
        <v>-15.92</v>
      </c>
      <c r="BO3549" s="74">
        <v>-15.92</v>
      </c>
    </row>
    <row r="3550" spans="1:221" x14ac:dyDescent="0.25">
      <c r="A3550" s="127">
        <v>45216</v>
      </c>
      <c r="B3550" s="24" t="s">
        <v>20</v>
      </c>
      <c r="C3550" s="21">
        <f t="shared" si="59"/>
        <v>-60.35</v>
      </c>
      <c r="CA3550" s="106">
        <v>-8.3849999999999998</v>
      </c>
      <c r="CG3550" s="106">
        <v>-8.5</v>
      </c>
      <c r="DE3550" s="74">
        <v>-43.465000000000003</v>
      </c>
    </row>
    <row r="3551" spans="1:221" x14ac:dyDescent="0.25">
      <c r="A3551" s="127">
        <v>45216</v>
      </c>
      <c r="B3551" s="24" t="s">
        <v>185</v>
      </c>
      <c r="C3551" s="21">
        <f t="shared" si="59"/>
        <v>31.27</v>
      </c>
      <c r="DG3551" s="126">
        <v>15.97</v>
      </c>
      <c r="DM3551" s="150">
        <v>15.3</v>
      </c>
    </row>
    <row r="3552" spans="1:221" x14ac:dyDescent="0.25">
      <c r="A3552" s="127">
        <v>45216</v>
      </c>
      <c r="B3552" s="24" t="s">
        <v>25</v>
      </c>
      <c r="C3552" s="21">
        <f t="shared" si="59"/>
        <v>-24.37</v>
      </c>
      <c r="DE3552" s="74">
        <v>-5.3</v>
      </c>
      <c r="DG3552" s="126">
        <v>-7.68</v>
      </c>
      <c r="DK3552" s="74">
        <v>-3.82</v>
      </c>
      <c r="DM3552" s="150">
        <v>-7.57</v>
      </c>
    </row>
    <row r="3553" spans="1:226" x14ac:dyDescent="0.25">
      <c r="A3553" s="127">
        <v>45217</v>
      </c>
      <c r="B3553" s="24" t="s">
        <v>113</v>
      </c>
      <c r="C3553" s="21">
        <f t="shared" si="59"/>
        <v>978.44500000000005</v>
      </c>
      <c r="BC3553" s="74">
        <v>429.04</v>
      </c>
      <c r="BI3553" s="106">
        <v>204.81</v>
      </c>
      <c r="BU3553" s="106">
        <v>62.23</v>
      </c>
      <c r="HR3553" s="92">
        <v>282.36500000000001</v>
      </c>
    </row>
    <row r="3554" spans="1:226" x14ac:dyDescent="0.25">
      <c r="A3554" s="127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27">
        <v>45217</v>
      </c>
      <c r="B3555" s="24" t="s">
        <v>59</v>
      </c>
      <c r="C3555" s="21">
        <f t="shared" si="59"/>
        <v>-1.37</v>
      </c>
      <c r="BU3555" s="106">
        <v>-1.37</v>
      </c>
    </row>
    <row r="3556" spans="1:226" x14ac:dyDescent="0.25">
      <c r="A3556" s="127">
        <v>45217</v>
      </c>
      <c r="B3556" s="24" t="s">
        <v>48</v>
      </c>
      <c r="C3556" s="21">
        <f t="shared" si="59"/>
        <v>-8.64</v>
      </c>
      <c r="BO3556" s="74">
        <v>-8.64</v>
      </c>
    </row>
    <row r="3557" spans="1:226" x14ac:dyDescent="0.25">
      <c r="A3557" s="127">
        <v>45218</v>
      </c>
      <c r="B3557" s="24" t="s">
        <v>161</v>
      </c>
      <c r="C3557" s="21">
        <f t="shared" si="59"/>
        <v>-31.43</v>
      </c>
      <c r="AG3557" s="106">
        <v>-17.22</v>
      </c>
      <c r="BC3557" s="74">
        <v>-14.21</v>
      </c>
    </row>
    <row r="3558" spans="1:226" x14ac:dyDescent="0.25">
      <c r="A3558" s="127">
        <v>45218</v>
      </c>
      <c r="B3558" s="24" t="s">
        <v>184</v>
      </c>
      <c r="C3558" s="21">
        <f t="shared" si="59"/>
        <v>-437.26</v>
      </c>
      <c r="BC3558" s="74">
        <f>-28.58-28.69-28.68</f>
        <v>-85.95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27">
        <v>45218</v>
      </c>
      <c r="B3559" s="24" t="s">
        <v>17</v>
      </c>
      <c r="C3559" s="21">
        <f t="shared" si="59"/>
        <v>-65.765000000000001</v>
      </c>
      <c r="AN3559" s="74">
        <v>-8.68</v>
      </c>
      <c r="AR3559" s="74">
        <v>-8.83</v>
      </c>
      <c r="AW3559" s="74">
        <v>-6.9249999999999998</v>
      </c>
      <c r="BC3559" s="74">
        <v>-6.99</v>
      </c>
      <c r="BI3559" s="106">
        <v>-9.08</v>
      </c>
      <c r="BO3559" s="74">
        <v>-8.6199999999999992</v>
      </c>
      <c r="BU3559" s="106">
        <v>-8.35</v>
      </c>
      <c r="CA3559" s="106">
        <v>-8.2899999999999991</v>
      </c>
    </row>
    <row r="3560" spans="1:226" x14ac:dyDescent="0.25">
      <c r="A3560" s="127">
        <v>45218</v>
      </c>
      <c r="B3560" s="24" t="s">
        <v>152</v>
      </c>
      <c r="C3560" s="21">
        <f t="shared" si="59"/>
        <v>-1184.9449999999999</v>
      </c>
      <c r="BC3560" s="74">
        <v>-85.27</v>
      </c>
      <c r="BI3560" s="106">
        <v>-137.15</v>
      </c>
      <c r="BO3560" s="74">
        <v>-35.090000000000003</v>
      </c>
      <c r="BU3560" s="106">
        <v>-31.795000000000002</v>
      </c>
      <c r="CA3560" s="106">
        <v>-132.63499999999999</v>
      </c>
      <c r="CG3560" s="106">
        <v>-134.85</v>
      </c>
      <c r="CM3560" s="74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27">
        <v>45219</v>
      </c>
      <c r="B3561" s="24" t="s">
        <v>17</v>
      </c>
      <c r="C3561" s="21">
        <f t="shared" si="59"/>
        <v>-33.200000000000003</v>
      </c>
      <c r="BU3561" s="106">
        <v>-8.32</v>
      </c>
      <c r="CG3561" s="106">
        <v>-8.48</v>
      </c>
      <c r="CM3561" s="74">
        <v>-8.2899999999999991</v>
      </c>
      <c r="CS3561" s="74">
        <v>-8.11</v>
      </c>
    </row>
    <row r="3562" spans="1:226" x14ac:dyDescent="0.25">
      <c r="A3562" s="127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27">
        <v>45219</v>
      </c>
      <c r="B3563" s="24" t="s">
        <v>138</v>
      </c>
      <c r="C3563" s="21">
        <f t="shared" si="59"/>
        <v>-8.27</v>
      </c>
      <c r="CY3563" s="74">
        <v>-8.27</v>
      </c>
    </row>
    <row r="3564" spans="1:226" x14ac:dyDescent="0.25">
      <c r="A3564" s="127">
        <v>45219</v>
      </c>
      <c r="B3564" s="24" t="s">
        <v>20</v>
      </c>
      <c r="C3564" s="21">
        <f t="shared" si="59"/>
        <v>-6.6349999999999998</v>
      </c>
      <c r="BI3564" s="106">
        <v>-6.6349999999999998</v>
      </c>
    </row>
    <row r="3565" spans="1:226" x14ac:dyDescent="0.25">
      <c r="A3565" s="127">
        <v>45219</v>
      </c>
      <c r="B3565" s="24" t="s">
        <v>48</v>
      </c>
      <c r="C3565" s="21">
        <f t="shared" si="59"/>
        <v>-15.2</v>
      </c>
      <c r="BC3565" s="74">
        <v>-6.97</v>
      </c>
      <c r="BI3565" s="106">
        <v>-8.23</v>
      </c>
    </row>
    <row r="3566" spans="1:226" x14ac:dyDescent="0.25">
      <c r="A3566" s="127">
        <v>45219</v>
      </c>
      <c r="B3566" s="24" t="s">
        <v>17</v>
      </c>
      <c r="C3566" s="21">
        <f t="shared" si="59"/>
        <v>-33.200000000000003</v>
      </c>
      <c r="BU3566" s="106">
        <v>-8.32</v>
      </c>
      <c r="CG3566" s="106">
        <v>-8.48</v>
      </c>
      <c r="CM3566" s="74">
        <v>-8.2899999999999991</v>
      </c>
      <c r="CS3566" s="74">
        <v>-8.11</v>
      </c>
    </row>
    <row r="3567" spans="1:226" x14ac:dyDescent="0.25">
      <c r="A3567" s="127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27">
        <v>45220</v>
      </c>
      <c r="B3568" s="24" t="s">
        <v>133</v>
      </c>
      <c r="C3568" s="21">
        <f t="shared" si="59"/>
        <v>-191.66499999999999</v>
      </c>
      <c r="BC3568" s="74">
        <v>-29.07</v>
      </c>
      <c r="BI3568" s="106">
        <v>-63.3</v>
      </c>
      <c r="CM3568" s="74">
        <v>-33.130000000000003</v>
      </c>
      <c r="DE3568" s="74">
        <v>-32.65</v>
      </c>
      <c r="DK3568" s="74">
        <v>-33.515000000000001</v>
      </c>
    </row>
    <row r="3569" spans="1:221" x14ac:dyDescent="0.25">
      <c r="A3569" s="127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74">
        <v>-25.695</v>
      </c>
      <c r="AW3569" s="74">
        <v>-29.15</v>
      </c>
      <c r="BC3569" s="74">
        <v>-28.48</v>
      </c>
      <c r="BO3569" s="74">
        <v>-25.85</v>
      </c>
      <c r="CG3569" s="106">
        <v>-25.7</v>
      </c>
    </row>
    <row r="3570" spans="1:221" x14ac:dyDescent="0.25">
      <c r="A3570" s="127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27">
        <v>45222</v>
      </c>
      <c r="B3571" s="24" t="s">
        <v>113</v>
      </c>
      <c r="C3571" s="21">
        <f t="shared" si="60"/>
        <v>976.96</v>
      </c>
      <c r="BI3571" s="106">
        <v>205.56</v>
      </c>
      <c r="BU3571" s="106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27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27">
        <v>45222</v>
      </c>
      <c r="B3573" s="24" t="s">
        <v>133</v>
      </c>
      <c r="C3573" s="21">
        <f t="shared" si="60"/>
        <v>-198.535</v>
      </c>
      <c r="AC3573" s="74">
        <v>-33.340000000000003</v>
      </c>
      <c r="BU3573" s="106">
        <v>-33.725000000000001</v>
      </c>
      <c r="BY3573" s="42">
        <v>-8.4700000000000006</v>
      </c>
      <c r="CA3573" s="106">
        <f>-8.21-8.31-6.92</f>
        <v>-23.44</v>
      </c>
      <c r="CG3573" s="106">
        <v>-32.28</v>
      </c>
      <c r="CM3573" s="74">
        <v>-32.08</v>
      </c>
      <c r="CS3573" s="74">
        <v>-35.200000000000003</v>
      </c>
    </row>
    <row r="3574" spans="1:221" x14ac:dyDescent="0.25">
      <c r="A3574" s="127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106">
        <v>-66.084999999999994</v>
      </c>
      <c r="CA3574" s="106">
        <v>-33.034999999999997</v>
      </c>
      <c r="CG3574" s="106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27">
        <v>45222</v>
      </c>
      <c r="B3575" s="24" t="s">
        <v>65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27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74">
        <v>-8.27</v>
      </c>
      <c r="AW3576" s="74">
        <v>-6.82</v>
      </c>
      <c r="BU3576" s="106">
        <v>-9</v>
      </c>
      <c r="BY3576" s="42">
        <v>-8.75</v>
      </c>
    </row>
    <row r="3577" spans="1:221" x14ac:dyDescent="0.25">
      <c r="A3577" s="127">
        <v>45223</v>
      </c>
      <c r="B3577" s="24" t="s">
        <v>43</v>
      </c>
      <c r="C3577" s="21">
        <f t="shared" si="60"/>
        <v>-197.58500000000001</v>
      </c>
      <c r="BU3577" s="106">
        <v>-68.234999999999999</v>
      </c>
      <c r="CY3577" s="74">
        <v>-129.35</v>
      </c>
    </row>
    <row r="3578" spans="1:221" x14ac:dyDescent="0.25">
      <c r="A3578" s="127">
        <v>45223</v>
      </c>
      <c r="B3578" s="24" t="s">
        <v>139</v>
      </c>
      <c r="C3578" s="21">
        <f t="shared" si="60"/>
        <v>-15.68</v>
      </c>
      <c r="BI3578" s="106">
        <v>-7.91</v>
      </c>
      <c r="BO3578" s="74">
        <v>-7.77</v>
      </c>
    </row>
    <row r="3579" spans="1:221" x14ac:dyDescent="0.25">
      <c r="A3579" s="127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27">
        <v>45223</v>
      </c>
      <c r="B3580" s="24" t="s">
        <v>65</v>
      </c>
      <c r="C3580" s="21">
        <f t="shared" si="60"/>
        <v>-61.72</v>
      </c>
      <c r="AR3580" s="74">
        <v>-61.72</v>
      </c>
    </row>
    <row r="3581" spans="1:221" x14ac:dyDescent="0.25">
      <c r="A3581" s="127">
        <v>45223</v>
      </c>
      <c r="B3581" s="24" t="s">
        <v>75</v>
      </c>
      <c r="C3581" s="21">
        <f t="shared" si="60"/>
        <v>-16.72</v>
      </c>
      <c r="AC3581" s="74">
        <v>-8.15</v>
      </c>
      <c r="BI3581" s="106">
        <v>-8.57</v>
      </c>
    </row>
    <row r="3582" spans="1:221" x14ac:dyDescent="0.25">
      <c r="A3582" s="127">
        <v>45223</v>
      </c>
      <c r="B3582" s="24" t="s">
        <v>162</v>
      </c>
      <c r="C3582" s="21">
        <f t="shared" si="60"/>
        <v>-8.5</v>
      </c>
      <c r="CG3582" s="106">
        <v>-8.5</v>
      </c>
    </row>
    <row r="3583" spans="1:221" x14ac:dyDescent="0.25">
      <c r="A3583" s="127">
        <v>45223</v>
      </c>
      <c r="B3583" s="24" t="s">
        <v>20</v>
      </c>
      <c r="C3583" s="21">
        <f t="shared" si="60"/>
        <v>-28.06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27">
        <v>45223</v>
      </c>
      <c r="B3584" s="24" t="s">
        <v>113</v>
      </c>
      <c r="C3584" s="21">
        <f t="shared" si="60"/>
        <v>842.04</v>
      </c>
      <c r="BO3584" s="74">
        <v>283.61500000000001</v>
      </c>
      <c r="CA3584" s="106">
        <v>292.565</v>
      </c>
      <c r="DP3584" s="74">
        <v>172.2</v>
      </c>
      <c r="DU3584" s="106">
        <v>93.66</v>
      </c>
    </row>
    <row r="3585" spans="1:208" x14ac:dyDescent="0.25">
      <c r="A3585" s="127">
        <v>45223</v>
      </c>
      <c r="B3585" s="24" t="s">
        <v>65</v>
      </c>
      <c r="C3585" s="21">
        <f t="shared" si="60"/>
        <v>-3.72</v>
      </c>
      <c r="AR3585" s="74">
        <v>-3.72</v>
      </c>
    </row>
    <row r="3586" spans="1:208" x14ac:dyDescent="0.25">
      <c r="A3586" s="127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74">
        <v>-21.16</v>
      </c>
      <c r="BI3586" s="106">
        <v>-42.85</v>
      </c>
      <c r="BU3586" s="106">
        <v>-8.2899999999999991</v>
      </c>
      <c r="CA3586" s="106">
        <v>-8.09</v>
      </c>
      <c r="CG3586" s="106">
        <v>-8.5500000000000007</v>
      </c>
      <c r="FK3586" s="106">
        <v>-21.824999999999999</v>
      </c>
    </row>
    <row r="3587" spans="1:208" x14ac:dyDescent="0.25">
      <c r="A3587" s="127">
        <v>45224</v>
      </c>
      <c r="B3587" s="24" t="s">
        <v>133</v>
      </c>
      <c r="C3587" s="21">
        <f t="shared" si="60"/>
        <v>-258.33999999999997</v>
      </c>
      <c r="AW3587" s="74">
        <v>-27.42</v>
      </c>
      <c r="BC3587" s="74">
        <v>-29.31</v>
      </c>
      <c r="BI3587" s="106">
        <v>-34.22</v>
      </c>
      <c r="BO3587" s="74">
        <v>-33.125</v>
      </c>
      <c r="BU3587" s="106">
        <v>-33.880000000000003</v>
      </c>
      <c r="CA3587" s="106">
        <v>-32.424999999999997</v>
      </c>
      <c r="CM3587" s="74">
        <v>-33.21</v>
      </c>
      <c r="CS3587" s="74">
        <v>-34.75</v>
      </c>
    </row>
    <row r="3588" spans="1:208" x14ac:dyDescent="0.25">
      <c r="A3588" s="127">
        <v>45224</v>
      </c>
      <c r="B3588" s="24" t="s">
        <v>65</v>
      </c>
      <c r="C3588" s="21">
        <f t="shared" si="60"/>
        <v>0</v>
      </c>
    </row>
    <row r="3589" spans="1:208" x14ac:dyDescent="0.25">
      <c r="A3589" s="127">
        <v>45224</v>
      </c>
      <c r="B3589" s="24" t="s">
        <v>43</v>
      </c>
      <c r="C3589" s="21">
        <f t="shared" si="60"/>
        <v>-99.094999999999999</v>
      </c>
      <c r="BO3589" s="74">
        <v>-99.094999999999999</v>
      </c>
    </row>
    <row r="3590" spans="1:208" x14ac:dyDescent="0.25">
      <c r="A3590" s="127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27">
        <v>45224</v>
      </c>
      <c r="B3591" s="24" t="s">
        <v>32</v>
      </c>
      <c r="C3591" s="21">
        <f t="shared" si="60"/>
        <v>-73.635000000000005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-17.239999999999998</v>
      </c>
    </row>
    <row r="3592" spans="1:208" x14ac:dyDescent="0.25">
      <c r="A3592" s="127">
        <v>45224</v>
      </c>
      <c r="B3592" s="24" t="s">
        <v>184</v>
      </c>
      <c r="C3592" s="21">
        <f t="shared" si="60"/>
        <v>-681.69</v>
      </c>
      <c r="AR3592" s="74">
        <v>-31.55</v>
      </c>
      <c r="AW3592" s="74">
        <v>-64.064999999999998</v>
      </c>
      <c r="BC3592" s="74">
        <v>-57.06</v>
      </c>
      <c r="BI3592" s="106">
        <v>-68.45</v>
      </c>
      <c r="BO3592" s="74">
        <v>-67.87</v>
      </c>
      <c r="BU3592" s="106">
        <v>-64.754999999999995</v>
      </c>
      <c r="CA3592" s="106">
        <v>-65.44</v>
      </c>
      <c r="CM3592" s="74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27">
        <v>45224</v>
      </c>
      <c r="B3593" s="24" t="s">
        <v>48</v>
      </c>
      <c r="C3593" s="21">
        <f t="shared" si="60"/>
        <v>164.99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27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27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27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106">
        <f>-8.29-8.275</f>
        <v>-16.565000000000001</v>
      </c>
    </row>
    <row r="3597" spans="1:208" x14ac:dyDescent="0.25">
      <c r="A3597" s="127">
        <v>45226</v>
      </c>
      <c r="B3597" s="24" t="s">
        <v>78</v>
      </c>
      <c r="C3597" s="21">
        <f t="shared" si="60"/>
        <v>-61.23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27">
        <v>45226</v>
      </c>
      <c r="B3598" s="24" t="s">
        <v>79</v>
      </c>
      <c r="C3598" s="21">
        <f t="shared" si="60"/>
        <v>-33.265000000000001</v>
      </c>
      <c r="BI3598" s="106">
        <v>-8.5299999999999994</v>
      </c>
      <c r="BO3598" s="74">
        <v>-8.61</v>
      </c>
      <c r="CA3598" s="106">
        <v>-16.125</v>
      </c>
    </row>
    <row r="3599" spans="1:208" x14ac:dyDescent="0.25">
      <c r="A3599" s="127">
        <v>45226</v>
      </c>
      <c r="B3599" s="24" t="s">
        <v>20</v>
      </c>
      <c r="C3599" s="21">
        <f t="shared" si="60"/>
        <v>-130.4</v>
      </c>
      <c r="AW3599" s="74">
        <v>-6.77</v>
      </c>
      <c r="BI3599" s="106">
        <v>-8.61</v>
      </c>
      <c r="BO3599" s="74">
        <v>-7.96</v>
      </c>
      <c r="BU3599" s="106">
        <v>-7.68</v>
      </c>
      <c r="CA3599" s="106">
        <v>-8.1199999999999992</v>
      </c>
      <c r="CG3599" s="106">
        <v>-8.48</v>
      </c>
      <c r="CM3599" s="74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27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27">
        <v>45226</v>
      </c>
      <c r="B3601" s="24" t="s">
        <v>83</v>
      </c>
      <c r="C3601" s="21">
        <f t="shared" si="60"/>
        <v>0</v>
      </c>
    </row>
    <row r="3602" spans="1:218" x14ac:dyDescent="0.25">
      <c r="A3602" s="127">
        <v>45226</v>
      </c>
      <c r="B3602" s="24" t="s">
        <v>59</v>
      </c>
      <c r="C3602" s="21">
        <f t="shared" si="60"/>
        <v>-7.8</v>
      </c>
      <c r="BU3602" s="106">
        <v>-3.48</v>
      </c>
      <c r="CY3602" s="74">
        <v>-4.32</v>
      </c>
    </row>
    <row r="3603" spans="1:218" x14ac:dyDescent="0.25">
      <c r="A3603" s="127">
        <v>45227</v>
      </c>
      <c r="B3603" s="24" t="s">
        <v>184</v>
      </c>
      <c r="C3603" s="21">
        <f t="shared" si="60"/>
        <v>-59.34</v>
      </c>
      <c r="BO3603" s="74">
        <v>-16.824999999999999</v>
      </c>
      <c r="CA3603" s="106">
        <v>-16.164999999999999</v>
      </c>
      <c r="CE3603" s="42">
        <v>-8.89</v>
      </c>
      <c r="FS3603" s="106">
        <v>-17.46</v>
      </c>
    </row>
    <row r="3604" spans="1:218" x14ac:dyDescent="0.25">
      <c r="A3604" s="127">
        <v>45227</v>
      </c>
      <c r="B3604" s="24" t="s">
        <v>17</v>
      </c>
      <c r="C3604" s="21">
        <f t="shared" si="60"/>
        <v>-8.09</v>
      </c>
      <c r="CA3604" s="106">
        <v>-8.09</v>
      </c>
    </row>
    <row r="3605" spans="1:218" x14ac:dyDescent="0.25">
      <c r="A3605" s="127">
        <v>45227</v>
      </c>
      <c r="B3605" s="24" t="s">
        <v>113</v>
      </c>
      <c r="C3605" s="21">
        <f t="shared" si="60"/>
        <v>1006.253</v>
      </c>
      <c r="AR3605" s="74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27">
        <v>45227</v>
      </c>
      <c r="B3606" s="24" t="s">
        <v>133</v>
      </c>
      <c r="C3606" s="21">
        <f t="shared" si="60"/>
        <v>-166.81</v>
      </c>
      <c r="AR3606" s="74">
        <v>-34.22</v>
      </c>
      <c r="BI3606" s="106">
        <v>-34.159999999999997</v>
      </c>
      <c r="BO3606" s="74">
        <v>-33.674999999999997</v>
      </c>
      <c r="CA3606" s="106">
        <v>-32.26</v>
      </c>
      <c r="CS3606" s="74">
        <v>-32.494999999999997</v>
      </c>
    </row>
    <row r="3607" spans="1:218" x14ac:dyDescent="0.25">
      <c r="A3607" s="127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106">
        <v>-33.734999999999999</v>
      </c>
      <c r="BO3607" s="74">
        <v>-16.425000000000001</v>
      </c>
      <c r="CA3607" s="106">
        <v>-32.424999999999997</v>
      </c>
      <c r="CY3607" s="74">
        <v>-34.57</v>
      </c>
    </row>
    <row r="3608" spans="1:218" x14ac:dyDescent="0.25">
      <c r="A3608" s="127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27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27">
        <v>45230</v>
      </c>
      <c r="B3610" s="24" t="s">
        <v>139</v>
      </c>
      <c r="C3610" s="21">
        <f t="shared" si="60"/>
        <v>-28.315000000000001</v>
      </c>
      <c r="CA3610" s="106">
        <v>-8.1150000000000002</v>
      </c>
      <c r="CG3610" s="106">
        <v>-4.12</v>
      </c>
      <c r="CM3610" s="74">
        <v>-8</v>
      </c>
      <c r="CS3610" s="74">
        <v>-8.08</v>
      </c>
    </row>
    <row r="3611" spans="1:218" x14ac:dyDescent="0.25">
      <c r="A3611" s="127">
        <v>45230</v>
      </c>
      <c r="B3611" s="24" t="s">
        <v>75</v>
      </c>
      <c r="C3611" s="21">
        <f t="shared" si="60"/>
        <v>-48.1</v>
      </c>
      <c r="AR3611" s="74">
        <v>-8.57</v>
      </c>
      <c r="BI3611" s="106">
        <v>-8.5299999999999994</v>
      </c>
      <c r="DE3611" s="74">
        <v>-16.579999999999998</v>
      </c>
      <c r="DK3611" s="74">
        <v>-14.42</v>
      </c>
    </row>
    <row r="3612" spans="1:218" x14ac:dyDescent="0.25">
      <c r="A3612" s="127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27">
        <v>45230</v>
      </c>
      <c r="B3613" s="24" t="s">
        <v>169</v>
      </c>
      <c r="C3613" s="21">
        <f t="shared" si="60"/>
        <v>-34.54</v>
      </c>
      <c r="F3613" s="145">
        <v>-34.54</v>
      </c>
    </row>
    <row r="3614" spans="1:218" x14ac:dyDescent="0.25">
      <c r="A3614" s="127">
        <v>45230</v>
      </c>
      <c r="B3614" s="24" t="s">
        <v>33</v>
      </c>
      <c r="C3614" s="21">
        <f t="shared" si="60"/>
        <v>-17.414999999999999</v>
      </c>
      <c r="BI3614" s="106">
        <v>-8.6999999999999993</v>
      </c>
      <c r="CA3614" s="106">
        <v>-8.7149999999999999</v>
      </c>
    </row>
    <row r="3615" spans="1:218" x14ac:dyDescent="0.25">
      <c r="A3615" s="127">
        <v>45230</v>
      </c>
      <c r="B3615" s="24" t="s">
        <v>184</v>
      </c>
      <c r="C3615" s="21">
        <f t="shared" si="60"/>
        <v>-63.655000000000001</v>
      </c>
      <c r="BI3615" s="106">
        <v>-31.274999999999999</v>
      </c>
      <c r="CA3615" s="106">
        <v>-32.380000000000003</v>
      </c>
    </row>
    <row r="3616" spans="1:218" x14ac:dyDescent="0.25">
      <c r="A3616" s="127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27">
        <v>45231</v>
      </c>
      <c r="B3617" s="24" t="s">
        <v>113</v>
      </c>
      <c r="C3617" s="21">
        <f t="shared" si="60"/>
        <v>1199.1199999999999</v>
      </c>
      <c r="CA3617" s="106">
        <v>64.305000000000007</v>
      </c>
      <c r="CM3617" s="74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27">
        <v>45230</v>
      </c>
      <c r="B3618" s="24" t="s">
        <v>50</v>
      </c>
      <c r="C3618" s="21">
        <f t="shared" si="60"/>
        <v>0</v>
      </c>
    </row>
    <row r="3619" spans="1:208" x14ac:dyDescent="0.25">
      <c r="A3619" s="127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27">
        <v>45231</v>
      </c>
      <c r="B3620" s="24" t="s">
        <v>12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27">
        <v>45230</v>
      </c>
      <c r="B3621" s="24" t="s">
        <v>167</v>
      </c>
      <c r="C3621" s="21">
        <f t="shared" si="60"/>
        <v>-15.63</v>
      </c>
      <c r="D3621" s="145">
        <v>-7.14</v>
      </c>
      <c r="E3621" s="145">
        <v>-8.49</v>
      </c>
    </row>
    <row r="3622" spans="1:208" x14ac:dyDescent="0.25">
      <c r="A3622" s="127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27">
        <v>45233</v>
      </c>
      <c r="B3623" s="24" t="s">
        <v>149</v>
      </c>
      <c r="C3623" s="21">
        <f t="shared" si="60"/>
        <v>-8.0749999999999993</v>
      </c>
      <c r="CA3623" s="106">
        <v>-8.0749999999999993</v>
      </c>
    </row>
    <row r="3624" spans="1:208" x14ac:dyDescent="0.25">
      <c r="A3624" s="127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74">
        <v>-8.49</v>
      </c>
    </row>
    <row r="3625" spans="1:208" x14ac:dyDescent="0.25">
      <c r="A3625" s="127">
        <v>45233</v>
      </c>
      <c r="B3625" s="24" t="s">
        <v>48</v>
      </c>
      <c r="C3625" s="21">
        <f t="shared" si="60"/>
        <v>-16.28</v>
      </c>
      <c r="CM3625" s="74">
        <f>-8.14-8.14</f>
        <v>-16.28</v>
      </c>
    </row>
    <row r="3626" spans="1:208" x14ac:dyDescent="0.25">
      <c r="A3626" s="127">
        <v>45236</v>
      </c>
      <c r="B3626" s="24" t="s">
        <v>169</v>
      </c>
      <c r="C3626" s="21">
        <f t="shared" si="60"/>
        <v>-15.05</v>
      </c>
      <c r="D3626" s="145">
        <f>-8.045-7.005</f>
        <v>-15.05</v>
      </c>
    </row>
    <row r="3627" spans="1:208" x14ac:dyDescent="0.25">
      <c r="A3627" s="127">
        <v>45236</v>
      </c>
      <c r="B3627" s="24" t="s">
        <v>65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27">
        <v>45236</v>
      </c>
      <c r="B3628" s="24" t="s">
        <v>139</v>
      </c>
      <c r="C3628" s="21">
        <f t="shared" si="60"/>
        <v>-15.59</v>
      </c>
      <c r="CS3628" s="74">
        <v>-7.3</v>
      </c>
      <c r="CY3628" s="74">
        <v>-8.2899999999999991</v>
      </c>
    </row>
    <row r="3629" spans="1:208" x14ac:dyDescent="0.25">
      <c r="A3629" s="127">
        <v>45237</v>
      </c>
      <c r="B3629" s="24" t="s">
        <v>20</v>
      </c>
      <c r="C3629" s="21">
        <f t="shared" si="60"/>
        <v>-0.49</v>
      </c>
      <c r="BA3629" s="42">
        <f>-8.19-0.49</f>
        <v>-8.68</v>
      </c>
      <c r="DE3629" s="74">
        <v>8.19</v>
      </c>
    </row>
    <row r="3630" spans="1:208" x14ac:dyDescent="0.25">
      <c r="A3630" s="127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27">
        <v>45237</v>
      </c>
      <c r="B3631" s="24" t="s">
        <v>75</v>
      </c>
      <c r="C3631" s="21">
        <f t="shared" si="60"/>
        <v>-16.684999999999999</v>
      </c>
      <c r="BI3631" s="106">
        <v>-8.4949999999999992</v>
      </c>
      <c r="BO3631" s="74">
        <v>-8.19</v>
      </c>
    </row>
    <row r="3632" spans="1:208" x14ac:dyDescent="0.25">
      <c r="A3632" s="127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27">
        <v>45237</v>
      </c>
      <c r="B3633" s="24" t="s">
        <v>178</v>
      </c>
      <c r="C3633" s="21">
        <f t="shared" ref="C3633:C3696" si="61">SUM(D3633:JT3633)</f>
        <v>-17.21</v>
      </c>
      <c r="BU3633" s="106">
        <v>-17.21</v>
      </c>
    </row>
    <row r="3634" spans="1:241" x14ac:dyDescent="0.25">
      <c r="A3634" s="127">
        <v>45237</v>
      </c>
      <c r="B3634" s="24" t="s">
        <v>68</v>
      </c>
      <c r="C3634" s="21">
        <f t="shared" si="61"/>
        <v>-67.63</v>
      </c>
      <c r="BI3634" s="106">
        <v>-33.380000000000003</v>
      </c>
      <c r="BS3634" s="42">
        <v>-34.25</v>
      </c>
    </row>
    <row r="3635" spans="1:241" x14ac:dyDescent="0.25">
      <c r="A3635" s="127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27">
        <v>45237</v>
      </c>
      <c r="B3636" s="24" t="s">
        <v>133</v>
      </c>
      <c r="C3636" s="21">
        <f t="shared" si="61"/>
        <v>-164.09</v>
      </c>
      <c r="CM3636" s="74">
        <v>-31.59</v>
      </c>
      <c r="CY3636" s="74">
        <v>-65.94</v>
      </c>
      <c r="DE3636" s="74">
        <v>-66.56</v>
      </c>
    </row>
    <row r="3637" spans="1:241" x14ac:dyDescent="0.25">
      <c r="A3637" s="127">
        <v>45237</v>
      </c>
      <c r="B3637" s="24" t="s">
        <v>113</v>
      </c>
      <c r="C3637" s="21">
        <f t="shared" si="61"/>
        <v>902.15</v>
      </c>
      <c r="BI3637" s="106">
        <f>63.36+152.94</f>
        <v>216.3</v>
      </c>
      <c r="BO3637" s="74">
        <v>33.5</v>
      </c>
      <c r="BU3637" s="106">
        <v>34.445</v>
      </c>
      <c r="CA3637" s="106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27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106">
        <v>-8.125</v>
      </c>
      <c r="BU3638" s="106">
        <v>-8.61</v>
      </c>
      <c r="CQ3638" s="42">
        <v>-8.86</v>
      </c>
    </row>
    <row r="3639" spans="1:241" x14ac:dyDescent="0.25">
      <c r="A3639" s="127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74">
        <v>-17.27</v>
      </c>
      <c r="BO3639" s="74">
        <v>-33.5</v>
      </c>
      <c r="CA3639" s="106">
        <v>-33.085000000000001</v>
      </c>
    </row>
    <row r="3640" spans="1:241" x14ac:dyDescent="0.25">
      <c r="A3640" s="127">
        <v>45238</v>
      </c>
      <c r="B3640" s="24" t="s">
        <v>20</v>
      </c>
      <c r="C3640" s="21">
        <f t="shared" si="61"/>
        <v>-25.11</v>
      </c>
      <c r="P3640" s="106">
        <v>-8.16</v>
      </c>
      <c r="CM3640" s="74">
        <v>-8.09</v>
      </c>
      <c r="CQ3640" s="42">
        <v>-8.86</v>
      </c>
    </row>
    <row r="3641" spans="1:241" x14ac:dyDescent="0.25">
      <c r="A3641" s="127">
        <v>45238</v>
      </c>
      <c r="B3641" s="24" t="s">
        <v>48</v>
      </c>
      <c r="C3641" s="21">
        <f t="shared" si="61"/>
        <v>-70.790000000000006</v>
      </c>
      <c r="BI3641" s="106">
        <f>-35.24-8.89-8.87</f>
        <v>-53</v>
      </c>
      <c r="CQ3641" s="42">
        <f>-8.87-8.92</f>
        <v>-17.79</v>
      </c>
    </row>
    <row r="3642" spans="1:241" x14ac:dyDescent="0.25">
      <c r="A3642" s="127">
        <v>45238</v>
      </c>
      <c r="B3642" s="24" t="s">
        <v>57</v>
      </c>
      <c r="C3642" s="21">
        <f t="shared" si="61"/>
        <v>74.875</v>
      </c>
      <c r="Z3642" s="79">
        <v>7.04</v>
      </c>
      <c r="AD3642" s="115">
        <v>7.4950000000000001</v>
      </c>
      <c r="AN3642" s="74">
        <v>7.9</v>
      </c>
      <c r="AR3642" s="74">
        <v>8.94</v>
      </c>
      <c r="BC3642" s="74">
        <v>7.8</v>
      </c>
      <c r="BI3642" s="106">
        <v>6.46</v>
      </c>
      <c r="CG3642" s="106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27">
        <v>45238</v>
      </c>
      <c r="B3643" s="24" t="s">
        <v>167</v>
      </c>
      <c r="C3643" s="21">
        <f t="shared" si="61"/>
        <v>-6.89</v>
      </c>
      <c r="D3643" s="145">
        <v>-6.89</v>
      </c>
    </row>
    <row r="3644" spans="1:241" x14ac:dyDescent="0.25">
      <c r="A3644" s="127">
        <v>45238</v>
      </c>
      <c r="B3644" s="24" t="s">
        <v>147</v>
      </c>
      <c r="C3644" s="21">
        <f t="shared" si="61"/>
        <v>-17.350000000000001</v>
      </c>
      <c r="BI3644" s="106">
        <v>-8.7249999999999996</v>
      </c>
      <c r="BU3644" s="106">
        <v>-8.625</v>
      </c>
    </row>
    <row r="3645" spans="1:241" x14ac:dyDescent="0.25">
      <c r="A3645" s="127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27">
        <v>45239</v>
      </c>
      <c r="B3646" s="24" t="s">
        <v>50</v>
      </c>
      <c r="C3646" s="21">
        <f t="shared" si="61"/>
        <v>-668.2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27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74">
        <v>-32.869999999999997</v>
      </c>
      <c r="CA3647" s="106">
        <v>-64.314999999999998</v>
      </c>
      <c r="CM3647" s="74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27">
        <v>45239</v>
      </c>
      <c r="B3648" s="24" t="s">
        <v>133</v>
      </c>
      <c r="C3648" s="21">
        <f t="shared" si="61"/>
        <v>-133.76</v>
      </c>
      <c r="CM3648" s="74">
        <v>-32.409999999999997</v>
      </c>
      <c r="DE3648" s="74">
        <v>-67.17</v>
      </c>
      <c r="DK3648" s="74">
        <v>-34.18</v>
      </c>
    </row>
    <row r="3649" spans="1:214" x14ac:dyDescent="0.25">
      <c r="A3649" s="127">
        <v>45240</v>
      </c>
      <c r="B3649" s="24" t="s">
        <v>139</v>
      </c>
      <c r="C3649" s="21">
        <f t="shared" si="61"/>
        <v>-7.28</v>
      </c>
      <c r="CY3649" s="74">
        <v>-7.28</v>
      </c>
    </row>
    <row r="3650" spans="1:214" x14ac:dyDescent="0.25">
      <c r="A3650" s="127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27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27">
        <v>45240</v>
      </c>
      <c r="B3652" s="24" t="s">
        <v>75</v>
      </c>
      <c r="C3652" s="21">
        <f t="shared" si="61"/>
        <v>-17.145</v>
      </c>
      <c r="BI3652" s="106">
        <v>-8.3849999999999998</v>
      </c>
      <c r="BM3652" s="88">
        <v>-8.76</v>
      </c>
    </row>
    <row r="3653" spans="1:214" x14ac:dyDescent="0.25">
      <c r="A3653" s="127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27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27">
        <v>45243</v>
      </c>
      <c r="B3655" s="24" t="s">
        <v>59</v>
      </c>
      <c r="C3655" s="21">
        <f t="shared" si="61"/>
        <v>-10.06</v>
      </c>
      <c r="Z3655" s="79">
        <v>-1.52</v>
      </c>
      <c r="CA3655" s="106">
        <v>-5</v>
      </c>
      <c r="CG3655" s="106">
        <v>-3.54</v>
      </c>
    </row>
    <row r="3656" spans="1:214" x14ac:dyDescent="0.25">
      <c r="A3656" s="127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106">
        <v>-17.29</v>
      </c>
      <c r="BO3656" s="74">
        <v>-24.725000000000001</v>
      </c>
      <c r="BU3656" s="106">
        <v>-33.725000000000001</v>
      </c>
      <c r="CA3656" s="106">
        <v>-7.98</v>
      </c>
      <c r="CG3656" s="106">
        <v>-31.83</v>
      </c>
    </row>
    <row r="3657" spans="1:214" x14ac:dyDescent="0.25">
      <c r="A3657" s="127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74">
        <v>179.63</v>
      </c>
      <c r="BO3657" s="74">
        <v>158.44499999999999</v>
      </c>
      <c r="BU3657" s="106">
        <v>166.19499999999999</v>
      </c>
      <c r="CG3657" s="106">
        <v>159.46</v>
      </c>
      <c r="CY3657" s="74">
        <v>139.18</v>
      </c>
      <c r="EA3657" s="74">
        <v>133.285</v>
      </c>
    </row>
    <row r="3658" spans="1:214" x14ac:dyDescent="0.25">
      <c r="A3658" s="127">
        <v>45244</v>
      </c>
      <c r="B3658" s="24" t="s">
        <v>75</v>
      </c>
      <c r="C3658" s="21">
        <f t="shared" si="61"/>
        <v>-35.74</v>
      </c>
      <c r="AW3658" s="74">
        <v>-17.66</v>
      </c>
      <c r="BC3658" s="74">
        <v>-18.079999999999998</v>
      </c>
    </row>
    <row r="3659" spans="1:214" x14ac:dyDescent="0.25">
      <c r="A3659" s="127">
        <v>45244</v>
      </c>
      <c r="B3659" s="24" t="s">
        <v>29</v>
      </c>
      <c r="C3659" s="21">
        <f t="shared" si="61"/>
        <v>-16.239999999999998</v>
      </c>
      <c r="BO3659" s="74">
        <v>-8</v>
      </c>
      <c r="BU3659" s="106">
        <v>-8.24</v>
      </c>
    </row>
    <row r="3660" spans="1:214" x14ac:dyDescent="0.25">
      <c r="A3660" s="127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27">
        <v>45244</v>
      </c>
      <c r="B3661" s="24" t="s">
        <v>17</v>
      </c>
      <c r="C3661" s="21">
        <f t="shared" si="61"/>
        <v>-191.35</v>
      </c>
      <c r="AC3661" s="74">
        <v>-8.18</v>
      </c>
      <c r="AR3661" s="74">
        <v>-8.49</v>
      </c>
      <c r="BC3661" s="74">
        <v>-17.940000000000001</v>
      </c>
      <c r="BI3661" s="106">
        <v>-27.135000000000002</v>
      </c>
      <c r="BO3661" s="74">
        <v>-15.41</v>
      </c>
      <c r="CA3661" s="106">
        <v>-8.0649999999999995</v>
      </c>
      <c r="CG3661" s="106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27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27">
        <v>45244</v>
      </c>
      <c r="B3663" s="24" t="s">
        <v>176</v>
      </c>
      <c r="C3663" s="21">
        <f t="shared" si="61"/>
        <v>-14.164999999999999</v>
      </c>
      <c r="D3663" s="145">
        <v>-14.164999999999999</v>
      </c>
    </row>
    <row r="3664" spans="1:214" x14ac:dyDescent="0.25">
      <c r="A3664" s="127">
        <v>45245</v>
      </c>
      <c r="B3664" s="24" t="s">
        <v>44</v>
      </c>
      <c r="C3664" s="21">
        <f t="shared" si="61"/>
        <v>-333.42500000000001</v>
      </c>
      <c r="BO3664" s="74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27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74">
        <v>-32.799999999999997</v>
      </c>
      <c r="BO3665" s="74">
        <v>-29.78</v>
      </c>
    </row>
    <row r="3666" spans="1:156" x14ac:dyDescent="0.25">
      <c r="A3666" s="127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27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27">
        <v>45246</v>
      </c>
      <c r="B3668" s="24" t="s">
        <v>65</v>
      </c>
      <c r="C3668" s="21">
        <f t="shared" si="61"/>
        <v>-62.33</v>
      </c>
      <c r="AW3668" s="74">
        <v>-62.33</v>
      </c>
    </row>
    <row r="3669" spans="1:156" x14ac:dyDescent="0.25">
      <c r="A3669" s="127">
        <v>45246</v>
      </c>
      <c r="B3669" s="24" t="s">
        <v>139</v>
      </c>
      <c r="C3669" s="21">
        <f t="shared" si="61"/>
        <v>-58.515000000000001</v>
      </c>
      <c r="BU3669" s="106">
        <v>-8.57</v>
      </c>
      <c r="CG3669" s="106">
        <v>-15.86</v>
      </c>
      <c r="CM3669" s="74">
        <v>-16.68</v>
      </c>
      <c r="CY3669" s="74">
        <v>-17.405000000000001</v>
      </c>
    </row>
    <row r="3670" spans="1:156" x14ac:dyDescent="0.25">
      <c r="A3670" s="127">
        <v>45246</v>
      </c>
      <c r="B3670" s="24" t="s">
        <v>184</v>
      </c>
      <c r="C3670" s="21">
        <f t="shared" si="61"/>
        <v>-572.12800000000004</v>
      </c>
      <c r="AC3670" s="74">
        <v>-16.27</v>
      </c>
      <c r="AN3670" s="74">
        <v>-8.5500000000000007</v>
      </c>
      <c r="AR3670" s="74">
        <v>-8.5380000000000003</v>
      </c>
      <c r="BI3670" s="106">
        <v>-36.314999999999998</v>
      </c>
      <c r="BM3670" s="88">
        <f>-8.77-8.78-8.75</f>
        <v>-26.3</v>
      </c>
      <c r="BO3670" s="74">
        <v>-8.1300000000000008</v>
      </c>
      <c r="BU3670" s="106">
        <v>-66.8</v>
      </c>
      <c r="CA3670" s="106">
        <v>-64.314999999999998</v>
      </c>
      <c r="CG3670" s="106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27">
        <v>45247</v>
      </c>
      <c r="B3671" s="24" t="s">
        <v>138</v>
      </c>
      <c r="C3671" s="21">
        <f t="shared" si="61"/>
        <v>-32.104999999999997</v>
      </c>
      <c r="AC3671" s="74">
        <v>-8.3800000000000008</v>
      </c>
      <c r="AR3671" s="74">
        <v>-7.41</v>
      </c>
      <c r="CG3671" s="106">
        <v>-8.3149999999999995</v>
      </c>
      <c r="CM3671" s="74">
        <v>-8</v>
      </c>
    </row>
    <row r="3672" spans="1:156" x14ac:dyDescent="0.25">
      <c r="A3672" s="127">
        <v>45247</v>
      </c>
      <c r="B3672" s="24" t="s">
        <v>20</v>
      </c>
      <c r="C3672" s="21">
        <f t="shared" si="61"/>
        <v>-17.32</v>
      </c>
      <c r="BI3672" s="106">
        <v>-9.09</v>
      </c>
      <c r="BU3672" s="106">
        <v>-8.23</v>
      </c>
    </row>
    <row r="3673" spans="1:156" x14ac:dyDescent="0.25">
      <c r="A3673" s="127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27">
        <v>45250</v>
      </c>
      <c r="B3674" s="24" t="s">
        <v>139</v>
      </c>
      <c r="C3674" s="21">
        <f t="shared" si="61"/>
        <v>-24.31</v>
      </c>
      <c r="BU3674" s="106">
        <v>-8.2650000000000006</v>
      </c>
      <c r="CA3674" s="106">
        <v>-8.0250000000000004</v>
      </c>
      <c r="CM3674" s="74">
        <v>-8.02</v>
      </c>
    </row>
    <row r="3675" spans="1:156" x14ac:dyDescent="0.25">
      <c r="A3675" s="127">
        <v>45250</v>
      </c>
      <c r="B3675" s="24" t="s">
        <v>162</v>
      </c>
      <c r="C3675" s="21">
        <f t="shared" si="61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27">
        <v>45250</v>
      </c>
      <c r="B3676" s="24" t="s">
        <v>17</v>
      </c>
      <c r="C3676" s="21">
        <f t="shared" si="61"/>
        <v>-17.195</v>
      </c>
      <c r="BI3676" s="106">
        <v>-9.1050000000000004</v>
      </c>
      <c r="CM3676" s="74">
        <v>-8.09</v>
      </c>
    </row>
    <row r="3677" spans="1:156" x14ac:dyDescent="0.25">
      <c r="A3677" s="127">
        <v>45251</v>
      </c>
      <c r="B3677" s="24" t="s">
        <v>151</v>
      </c>
      <c r="C3677" s="21">
        <f t="shared" si="61"/>
        <v>-101.46</v>
      </c>
      <c r="DY3677" s="42">
        <v>-35.229999999999997</v>
      </c>
      <c r="EA3677" s="74">
        <v>-66.23</v>
      </c>
    </row>
    <row r="3678" spans="1:156" x14ac:dyDescent="0.25">
      <c r="A3678" s="127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27">
        <v>45251</v>
      </c>
      <c r="B3679" s="24" t="s">
        <v>78</v>
      </c>
      <c r="C3679" s="21">
        <f t="shared" si="61"/>
        <v>-25.28</v>
      </c>
      <c r="BI3679" s="106">
        <v>-9.09</v>
      </c>
      <c r="BU3679" s="106">
        <v>-8.2149999999999999</v>
      </c>
      <c r="CG3679" s="106">
        <v>-7.9749999999999996</v>
      </c>
    </row>
    <row r="3680" spans="1:156" x14ac:dyDescent="0.25">
      <c r="A3680" s="127">
        <v>45251</v>
      </c>
      <c r="B3680" s="24" t="s">
        <v>78</v>
      </c>
      <c r="C3680" s="21">
        <f t="shared" si="61"/>
        <v>-16.260000000000002</v>
      </c>
      <c r="CM3680" s="74">
        <v>-16.260000000000002</v>
      </c>
    </row>
    <row r="3681" spans="1:241" x14ac:dyDescent="0.25">
      <c r="A3681" s="127">
        <v>45251</v>
      </c>
      <c r="B3681" s="24" t="s">
        <v>133</v>
      </c>
      <c r="C3681" s="21">
        <f t="shared" si="61"/>
        <v>-137.73500000000001</v>
      </c>
      <c r="AN3681" s="74">
        <v>-34.524999999999999</v>
      </c>
      <c r="BC3681" s="74">
        <v>-35.93</v>
      </c>
      <c r="BI3681" s="106">
        <v>-18.190000000000001</v>
      </c>
      <c r="CA3681" s="106">
        <v>-33.115000000000002</v>
      </c>
      <c r="CG3681" s="106">
        <v>-15.975</v>
      </c>
    </row>
    <row r="3682" spans="1:241" x14ac:dyDescent="0.25">
      <c r="A3682" s="127">
        <v>45252</v>
      </c>
      <c r="B3682" s="24" t="s">
        <v>17</v>
      </c>
      <c r="C3682" s="21">
        <f t="shared" si="61"/>
        <v>-42.73</v>
      </c>
      <c r="AR3682" s="74">
        <v>-8.48</v>
      </c>
      <c r="BC3682" s="74">
        <v>-9.0399999999999991</v>
      </c>
      <c r="BI3682" s="106">
        <v>-9.19</v>
      </c>
      <c r="CA3682" s="106">
        <v>-16.02</v>
      </c>
    </row>
    <row r="3683" spans="1:241" x14ac:dyDescent="0.25">
      <c r="A3683" s="127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27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27">
        <v>45253</v>
      </c>
      <c r="B3685" s="24" t="s">
        <v>113</v>
      </c>
      <c r="C3685" s="21">
        <f t="shared" si="61"/>
        <v>1032.395</v>
      </c>
      <c r="AN3685" s="74">
        <v>69</v>
      </c>
      <c r="BI3685" s="106">
        <f>89.32+35.91</f>
        <v>125.23</v>
      </c>
      <c r="BO3685" s="74">
        <v>136.6</v>
      </c>
      <c r="BU3685" s="106">
        <v>114.95</v>
      </c>
      <c r="CA3685" s="106">
        <v>81.224999999999994</v>
      </c>
      <c r="CG3685" s="106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27">
        <v>45253</v>
      </c>
      <c r="B3686" s="24" t="s">
        <v>165</v>
      </c>
      <c r="C3686" s="21">
        <f t="shared" si="61"/>
        <v>-201.21</v>
      </c>
      <c r="Z3686" s="79">
        <v>-7.48</v>
      </c>
      <c r="AR3686" s="74">
        <v>-17.149999999999999</v>
      </c>
      <c r="AW3686" s="74">
        <v>-16.05</v>
      </c>
      <c r="BC3686" s="74">
        <v>-17.945</v>
      </c>
      <c r="BI3686" s="106">
        <v>-18.38</v>
      </c>
      <c r="BO3686" s="74">
        <v>-25.31</v>
      </c>
      <c r="BU3686" s="106">
        <v>-24.5</v>
      </c>
      <c r="CA3686" s="106">
        <v>-24.14</v>
      </c>
      <c r="CG3686" s="106">
        <v>-8.5350000000000001</v>
      </c>
      <c r="CM3686" s="74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27">
        <v>45254</v>
      </c>
      <c r="B3687" s="24" t="s">
        <v>130</v>
      </c>
      <c r="C3687" s="21">
        <f t="shared" si="61"/>
        <v>-5.81</v>
      </c>
      <c r="AR3687" s="74">
        <v>-5.81</v>
      </c>
    </row>
    <row r="3688" spans="1:241" x14ac:dyDescent="0.25">
      <c r="A3688" s="127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27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27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27">
        <v>45254</v>
      </c>
      <c r="B3691" s="24" t="s">
        <v>115</v>
      </c>
      <c r="C3691" s="21">
        <f t="shared" si="61"/>
        <v>0</v>
      </c>
    </row>
    <row r="3692" spans="1:241" x14ac:dyDescent="0.25">
      <c r="A3692" s="127">
        <v>45254</v>
      </c>
      <c r="B3692" s="24" t="s">
        <v>115</v>
      </c>
      <c r="C3692" s="21">
        <f t="shared" si="61"/>
        <v>101.75</v>
      </c>
      <c r="E3692" s="145">
        <v>101.75</v>
      </c>
    </row>
    <row r="3693" spans="1:241" x14ac:dyDescent="0.25">
      <c r="A3693" s="127">
        <v>45254</v>
      </c>
      <c r="B3693" s="24" t="s">
        <v>17</v>
      </c>
      <c r="C3693" s="21">
        <f t="shared" si="61"/>
        <v>-8.4700000000000006</v>
      </c>
      <c r="CA3693" s="106">
        <v>-8.4700000000000006</v>
      </c>
    </row>
    <row r="3694" spans="1:241" x14ac:dyDescent="0.25">
      <c r="A3694" s="127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27">
        <v>45254</v>
      </c>
      <c r="B3695" s="24" t="s">
        <v>133</v>
      </c>
      <c r="C3695" s="21">
        <f t="shared" si="61"/>
        <v>-171.22</v>
      </c>
      <c r="BC3695" s="74">
        <v>-35.865000000000002</v>
      </c>
      <c r="BI3695" s="106">
        <v>-35.365000000000002</v>
      </c>
      <c r="BO3695" s="74">
        <v>-34.130000000000003</v>
      </c>
      <c r="BU3695" s="106">
        <v>-32.94</v>
      </c>
      <c r="CM3695" s="74">
        <v>-32.92</v>
      </c>
    </row>
    <row r="3696" spans="1:241" x14ac:dyDescent="0.25">
      <c r="A3696" s="127">
        <v>45254</v>
      </c>
      <c r="B3696" s="24" t="s">
        <v>184</v>
      </c>
      <c r="C3696" s="21">
        <f t="shared" si="61"/>
        <v>-32.35</v>
      </c>
      <c r="CA3696" s="106">
        <v>-32.35</v>
      </c>
    </row>
    <row r="3697" spans="1:214" x14ac:dyDescent="0.25">
      <c r="A3697" s="127">
        <v>45254</v>
      </c>
      <c r="B3697" s="24" t="s">
        <v>167</v>
      </c>
      <c r="C3697" s="21">
        <f t="shared" ref="C3697:C3760" si="62">SUM(D3697:JT3697)</f>
        <v>-25.26</v>
      </c>
      <c r="E3697" s="145">
        <v>-25.26</v>
      </c>
    </row>
    <row r="3698" spans="1:214" x14ac:dyDescent="0.25">
      <c r="A3698" s="127">
        <v>45254</v>
      </c>
      <c r="B3698" s="24" t="s">
        <v>174</v>
      </c>
      <c r="C3698" s="21">
        <f t="shared" si="62"/>
        <v>-42.255000000000003</v>
      </c>
      <c r="CG3698" s="106">
        <v>-17.035</v>
      </c>
      <c r="CM3698" s="74">
        <v>-25.22</v>
      </c>
    </row>
    <row r="3699" spans="1:214" x14ac:dyDescent="0.25">
      <c r="A3699" s="127">
        <v>45257</v>
      </c>
      <c r="B3699" s="24" t="s">
        <v>149</v>
      </c>
      <c r="C3699" s="21">
        <f t="shared" si="62"/>
        <v>-8.61</v>
      </c>
      <c r="AR3699" s="74">
        <v>-8.61</v>
      </c>
    </row>
    <row r="3700" spans="1:214" x14ac:dyDescent="0.25">
      <c r="A3700" s="127">
        <v>45257</v>
      </c>
      <c r="B3700" s="24" t="s">
        <v>75</v>
      </c>
      <c r="C3700" s="21">
        <f t="shared" si="62"/>
        <v>-33.64</v>
      </c>
      <c r="AR3700" s="74">
        <v>-17.22</v>
      </c>
      <c r="BU3700" s="106">
        <v>-16.420000000000002</v>
      </c>
    </row>
    <row r="3701" spans="1:214" x14ac:dyDescent="0.25">
      <c r="A3701" s="127">
        <v>45257</v>
      </c>
      <c r="B3701" s="24" t="s">
        <v>39</v>
      </c>
      <c r="C3701" s="21">
        <f t="shared" si="62"/>
        <v>-33.965000000000003</v>
      </c>
      <c r="BC3701" s="74">
        <v>-8.9250000000000007</v>
      </c>
      <c r="BI3701" s="106">
        <v>-9.0350000000000001</v>
      </c>
      <c r="BO3701" s="74">
        <v>-8.4849999999999994</v>
      </c>
      <c r="CA3701" s="106">
        <v>-7.52</v>
      </c>
    </row>
    <row r="3702" spans="1:214" x14ac:dyDescent="0.25">
      <c r="A3702" s="127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27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74">
        <v>74.325000000000003</v>
      </c>
      <c r="AW3703" s="74">
        <v>106.1</v>
      </c>
      <c r="BC3703" s="74">
        <v>216.32</v>
      </c>
      <c r="BI3703" s="106">
        <v>213.53</v>
      </c>
      <c r="BO3703" s="74">
        <v>34.299999999999997</v>
      </c>
      <c r="BU3703" s="106">
        <v>65.834999999999994</v>
      </c>
      <c r="CA3703" s="106">
        <v>98.25</v>
      </c>
      <c r="CG3703" s="106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27">
        <v>45258</v>
      </c>
      <c r="B3704" s="24" t="s">
        <v>152</v>
      </c>
      <c r="C3704" s="21">
        <f t="shared" si="62"/>
        <v>-848.43499999999995</v>
      </c>
      <c r="V3704" s="74">
        <v>-29.41</v>
      </c>
      <c r="AC3704" s="74">
        <v>-55.97</v>
      </c>
      <c r="AD3704" s="115">
        <v>-7.4950000000000001</v>
      </c>
      <c r="AG3704" s="106">
        <v>-69.234999999999999</v>
      </c>
      <c r="AN3704" s="74">
        <v>-34.715000000000003</v>
      </c>
      <c r="AR3704" s="74">
        <v>-37.325000000000003</v>
      </c>
      <c r="BI3704" s="106">
        <v>-35.695</v>
      </c>
      <c r="BU3704" s="106">
        <v>-65.834999999999994</v>
      </c>
      <c r="CA3704" s="106">
        <v>-98.25</v>
      </c>
      <c r="CG3704" s="106">
        <v>-102.14</v>
      </c>
      <c r="CM3704" s="74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27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74">
        <v>-17.010000000000002</v>
      </c>
      <c r="BI3705" s="106">
        <v>-26.49</v>
      </c>
      <c r="BU3705" s="106">
        <v>-49.11</v>
      </c>
      <c r="CM3705" s="74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27">
        <v>45258</v>
      </c>
      <c r="B3706" s="24" t="s">
        <v>184</v>
      </c>
      <c r="C3706" s="21">
        <f t="shared" si="62"/>
        <v>-66.415000000000006</v>
      </c>
      <c r="CM3706" s="74">
        <v>-32.43</v>
      </c>
      <c r="CS3706" s="74">
        <v>-16.635000000000002</v>
      </c>
      <c r="CY3706" s="74">
        <v>-17.350000000000001</v>
      </c>
    </row>
    <row r="3707" spans="1:214" x14ac:dyDescent="0.25">
      <c r="A3707" s="127">
        <v>45258</v>
      </c>
      <c r="B3707" s="24" t="s">
        <v>184</v>
      </c>
      <c r="C3707" s="21">
        <f t="shared" si="62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27">
        <v>45258</v>
      </c>
      <c r="B3708" s="24" t="s">
        <v>89</v>
      </c>
      <c r="C3708" s="21">
        <f t="shared" si="62"/>
        <v>-514.39499999999998</v>
      </c>
      <c r="AW3708" s="74">
        <v>-70.415000000000006</v>
      </c>
      <c r="BC3708" s="74">
        <v>-72.094999999999999</v>
      </c>
      <c r="BI3708" s="106">
        <v>-71.474999999999994</v>
      </c>
      <c r="BO3708" s="74">
        <v>-34.299999999999997</v>
      </c>
      <c r="BY3708" s="42">
        <v>-33.43</v>
      </c>
      <c r="CA3708" s="106">
        <v>-32.884999999999998</v>
      </c>
      <c r="CG3708" s="106">
        <v>-65.58</v>
      </c>
      <c r="CM3708" s="74">
        <v>-65.52</v>
      </c>
      <c r="CS3708" s="74">
        <v>-68.694999999999993</v>
      </c>
    </row>
    <row r="3709" spans="1:214" x14ac:dyDescent="0.25">
      <c r="A3709" s="127">
        <v>45258</v>
      </c>
      <c r="B3709" s="24" t="s">
        <v>152</v>
      </c>
      <c r="C3709" s="21">
        <f t="shared" si="62"/>
        <v>-448.05</v>
      </c>
      <c r="AW3709" s="74">
        <v>-35.685000000000002</v>
      </c>
      <c r="BC3709" s="74">
        <v>-35.96</v>
      </c>
      <c r="BI3709" s="106">
        <v>-35.524999999999999</v>
      </c>
      <c r="BO3709" s="74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27">
        <v>45259</v>
      </c>
      <c r="B3710" s="24" t="s">
        <v>20</v>
      </c>
      <c r="C3710" s="21">
        <f t="shared" si="62"/>
        <v>-9.3350000000000009</v>
      </c>
      <c r="AR3710" s="74">
        <v>-9.3350000000000009</v>
      </c>
    </row>
    <row r="3711" spans="1:214" x14ac:dyDescent="0.25">
      <c r="A3711" s="127">
        <v>45260</v>
      </c>
      <c r="B3711" s="24" t="s">
        <v>29</v>
      </c>
      <c r="C3711" s="21">
        <f t="shared" si="62"/>
        <v>-25.465</v>
      </c>
      <c r="Z3711" s="79">
        <v>-7.51</v>
      </c>
      <c r="BC3711" s="74">
        <v>-9.0549999999999997</v>
      </c>
      <c r="BI3711" s="106">
        <v>-8.9</v>
      </c>
    </row>
    <row r="3712" spans="1:214" x14ac:dyDescent="0.25">
      <c r="A3712" s="127">
        <v>45260</v>
      </c>
      <c r="B3712" s="24" t="s">
        <v>33</v>
      </c>
      <c r="C3712" s="21">
        <f t="shared" si="62"/>
        <v>-25.67</v>
      </c>
      <c r="BI3712" s="106">
        <v>-8.875</v>
      </c>
      <c r="BO3712" s="74">
        <v>-8.5549999999999997</v>
      </c>
      <c r="BU3712" s="106">
        <v>-8.24</v>
      </c>
    </row>
    <row r="3713" spans="1:227" x14ac:dyDescent="0.25">
      <c r="A3713" s="127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74">
        <v>-8.7149999999999999</v>
      </c>
    </row>
    <row r="3714" spans="1:227" x14ac:dyDescent="0.25">
      <c r="A3714" s="127">
        <v>45260</v>
      </c>
      <c r="B3714" s="24" t="s">
        <v>133</v>
      </c>
      <c r="C3714" s="21">
        <f t="shared" si="62"/>
        <v>-136.35</v>
      </c>
      <c r="CG3714" s="106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27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27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27">
        <v>45260</v>
      </c>
      <c r="B3717" s="24" t="s">
        <v>184</v>
      </c>
      <c r="C3717" s="21">
        <f t="shared" si="62"/>
        <v>-66.655000000000001</v>
      </c>
      <c r="AR3717" s="74">
        <v>-9.2149999999999999</v>
      </c>
      <c r="AW3717" s="74">
        <v>-8.08</v>
      </c>
      <c r="BC3717" s="74">
        <v>-9.0500000000000007</v>
      </c>
      <c r="BI3717" s="106">
        <v>-8.875</v>
      </c>
      <c r="BO3717" s="74">
        <v>-16.594999999999999</v>
      </c>
      <c r="BU3717" s="106">
        <v>-8.24</v>
      </c>
      <c r="CA3717" s="106">
        <v>-6.6</v>
      </c>
    </row>
    <row r="3718" spans="1:227" x14ac:dyDescent="0.25">
      <c r="A3718" s="127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27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27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27">
        <v>45261</v>
      </c>
      <c r="B3721" s="24" t="s">
        <v>184</v>
      </c>
      <c r="C3721" s="21">
        <f t="shared" si="62"/>
        <v>0</v>
      </c>
    </row>
    <row r="3722" spans="1:227" x14ac:dyDescent="0.25">
      <c r="A3722" s="127">
        <v>45264</v>
      </c>
      <c r="B3722" s="24" t="s">
        <v>184</v>
      </c>
      <c r="C3722" s="21">
        <f t="shared" si="62"/>
        <v>-81.834999999999994</v>
      </c>
      <c r="DK3722" s="74">
        <v>-65.185000000000002</v>
      </c>
      <c r="DP3722" s="74">
        <v>-16.649999999999999</v>
      </c>
    </row>
    <row r="3723" spans="1:227" x14ac:dyDescent="0.25">
      <c r="A3723" s="127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74">
        <v>-18.45</v>
      </c>
      <c r="AW3723" s="74">
        <v>-23.19</v>
      </c>
      <c r="CG3723" s="106">
        <v>-16.635000000000002</v>
      </c>
      <c r="CM3723" s="74">
        <v>-15.99</v>
      </c>
    </row>
    <row r="3724" spans="1:227" x14ac:dyDescent="0.25">
      <c r="A3724" s="127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27">
        <v>45264</v>
      </c>
      <c r="B3725" s="24" t="s">
        <v>48</v>
      </c>
      <c r="C3725" s="21">
        <f t="shared" si="62"/>
        <v>10.08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27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27">
        <v>45265</v>
      </c>
      <c r="B3727" s="24" t="s">
        <v>25</v>
      </c>
      <c r="C3727" s="21">
        <f t="shared" si="62"/>
        <v>-60.33</v>
      </c>
      <c r="BI3727" s="106">
        <v>-60.33</v>
      </c>
    </row>
    <row r="3728" spans="1:227" x14ac:dyDescent="0.25">
      <c r="A3728" s="127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27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27">
        <v>45265</v>
      </c>
      <c r="B3730" s="24" t="s">
        <v>139</v>
      </c>
      <c r="C3730" s="21">
        <f t="shared" si="62"/>
        <v>-49.924999999999997</v>
      </c>
      <c r="AW3730" s="74">
        <v>-8.2200000000000006</v>
      </c>
      <c r="CG3730" s="106">
        <v>-8.5150000000000006</v>
      </c>
      <c r="CM3730" s="74">
        <v>-16</v>
      </c>
      <c r="CS3730" s="74">
        <v>-17.190000000000001</v>
      </c>
    </row>
    <row r="3731" spans="1:233" x14ac:dyDescent="0.25">
      <c r="A3731" s="127">
        <v>45265</v>
      </c>
      <c r="B3731" s="24" t="s">
        <v>75</v>
      </c>
      <c r="C3731" s="21">
        <f t="shared" si="62"/>
        <v>-8.34</v>
      </c>
      <c r="CG3731" s="106">
        <v>-8.34</v>
      </c>
    </row>
    <row r="3732" spans="1:233" x14ac:dyDescent="0.25">
      <c r="A3732" s="127">
        <v>45265</v>
      </c>
      <c r="B3732" s="24" t="s">
        <v>138</v>
      </c>
      <c r="C3732" s="21">
        <f t="shared" si="62"/>
        <v>-8.5050000000000008</v>
      </c>
      <c r="BO3732" s="74">
        <v>-8.5050000000000008</v>
      </c>
    </row>
    <row r="3733" spans="1:233" x14ac:dyDescent="0.25">
      <c r="A3733" s="127">
        <v>45264</v>
      </c>
      <c r="B3733" s="24" t="s">
        <v>20</v>
      </c>
      <c r="C3733" s="21">
        <f t="shared" si="62"/>
        <v>-65.995000000000005</v>
      </c>
      <c r="N3733" s="42">
        <v>-7.57</v>
      </c>
      <c r="AW3733" s="74">
        <v>-8.4499999999999993</v>
      </c>
      <c r="BC3733" s="74">
        <v>-9.09</v>
      </c>
      <c r="BI3733" s="106">
        <v>-8.9</v>
      </c>
      <c r="BO3733" s="74">
        <v>-6.86</v>
      </c>
      <c r="CG3733" s="106">
        <v>-8.5549999999999997</v>
      </c>
      <c r="CM3733" s="74">
        <v>-8.1199999999999992</v>
      </c>
      <c r="CS3733" s="74">
        <v>-8.4499999999999993</v>
      </c>
    </row>
    <row r="3734" spans="1:233" x14ac:dyDescent="0.25">
      <c r="A3734" s="127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27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74">
        <v>144.86000000000001</v>
      </c>
      <c r="AW3735" s="74">
        <v>141.66999999999999</v>
      </c>
      <c r="BC3735" s="74">
        <v>72.069999999999993</v>
      </c>
      <c r="BI3735" s="106">
        <v>106.58</v>
      </c>
      <c r="CA3735" s="106">
        <v>99.16</v>
      </c>
      <c r="CM3735" s="74">
        <v>101.535</v>
      </c>
      <c r="EA3735" s="74">
        <v>97.78</v>
      </c>
      <c r="GQ3735" s="92">
        <v>116.215</v>
      </c>
    </row>
    <row r="3736" spans="1:233" x14ac:dyDescent="0.25">
      <c r="A3736" s="127">
        <v>45265</v>
      </c>
      <c r="B3736" s="24" t="s">
        <v>113</v>
      </c>
      <c r="C3736" s="21">
        <f t="shared" si="62"/>
        <v>491.71499999999997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27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27">
        <v>45266</v>
      </c>
      <c r="B3738" s="24" t="s">
        <v>133</v>
      </c>
      <c r="C3738" s="21">
        <f t="shared" si="62"/>
        <v>-105.185</v>
      </c>
      <c r="AN3738" s="74">
        <v>-34.555</v>
      </c>
      <c r="AW3738" s="74">
        <v>-35.130000000000003</v>
      </c>
      <c r="BI3738" s="106">
        <v>-35.5</v>
      </c>
    </row>
    <row r="3739" spans="1:233" x14ac:dyDescent="0.25">
      <c r="A3739" s="127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27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27">
        <v>45267</v>
      </c>
      <c r="B3741" s="24" t="s">
        <v>17</v>
      </c>
      <c r="C3741" s="21">
        <f t="shared" si="62"/>
        <v>-42.77</v>
      </c>
      <c r="BI3741" s="106">
        <v>-8.8249999999999993</v>
      </c>
      <c r="CA3741" s="106">
        <v>-8.23</v>
      </c>
      <c r="CG3741" s="106">
        <v>-8.5399999999999991</v>
      </c>
      <c r="CM3741" s="74">
        <v>-8.4700000000000006</v>
      </c>
      <c r="CY3741" s="74">
        <v>-8.7050000000000001</v>
      </c>
    </row>
    <row r="3742" spans="1:233" x14ac:dyDescent="0.25">
      <c r="A3742" s="127">
        <v>45267</v>
      </c>
      <c r="B3742" s="24" t="s">
        <v>184</v>
      </c>
      <c r="C3742" s="21">
        <f t="shared" si="62"/>
        <v>-52.125</v>
      </c>
      <c r="AN3742" s="74">
        <v>-8.5950000000000006</v>
      </c>
      <c r="AR3742" s="74">
        <v>-9.0449999999999999</v>
      </c>
      <c r="AW3742" s="74">
        <v>-8.4749999999999996</v>
      </c>
      <c r="BC3742" s="74">
        <v>-8.9250000000000007</v>
      </c>
      <c r="BI3742" s="106">
        <v>-8.8550000000000004</v>
      </c>
      <c r="CA3742" s="106">
        <v>-8.23</v>
      </c>
    </row>
    <row r="3743" spans="1:233" x14ac:dyDescent="0.25">
      <c r="A3743" s="127">
        <v>45267</v>
      </c>
      <c r="B3743" s="24" t="s">
        <v>127</v>
      </c>
      <c r="C3743" s="21">
        <f t="shared" si="62"/>
        <v>-26.305</v>
      </c>
      <c r="AN3743" s="74">
        <v>-8.64</v>
      </c>
      <c r="AW3743" s="74">
        <v>-8.77</v>
      </c>
      <c r="BI3743" s="106">
        <v>-8.8949999999999996</v>
      </c>
    </row>
    <row r="3744" spans="1:233" x14ac:dyDescent="0.25">
      <c r="A3744" s="127">
        <v>45267</v>
      </c>
      <c r="B3744" s="24" t="s">
        <v>75</v>
      </c>
      <c r="C3744" s="21">
        <f t="shared" si="62"/>
        <v>-17.14</v>
      </c>
      <c r="BI3744" s="106">
        <v>-8.91</v>
      </c>
      <c r="CA3744" s="106">
        <v>-8.23</v>
      </c>
    </row>
    <row r="3745" spans="1:214" x14ac:dyDescent="0.25">
      <c r="A3745" s="127">
        <v>45267</v>
      </c>
      <c r="B3745" s="24" t="s">
        <v>20</v>
      </c>
      <c r="C3745" s="21">
        <f t="shared" si="62"/>
        <v>-8.42</v>
      </c>
      <c r="CA3745" s="106">
        <v>-8.42</v>
      </c>
    </row>
    <row r="3746" spans="1:214" x14ac:dyDescent="0.25">
      <c r="A3746" s="127">
        <v>45267</v>
      </c>
      <c r="B3746" s="24" t="s">
        <v>139</v>
      </c>
      <c r="C3746" s="21">
        <f t="shared" si="62"/>
        <v>-8.9250000000000007</v>
      </c>
      <c r="BI3746" s="106">
        <v>-8.9250000000000007</v>
      </c>
    </row>
    <row r="3747" spans="1:214" x14ac:dyDescent="0.25">
      <c r="A3747" s="127">
        <v>45267</v>
      </c>
      <c r="B3747" s="24" t="s">
        <v>162</v>
      </c>
      <c r="C3747" s="21">
        <f t="shared" si="62"/>
        <v>-26.67</v>
      </c>
      <c r="BI3747" s="106">
        <v>-26.67</v>
      </c>
    </row>
    <row r="3748" spans="1:214" x14ac:dyDescent="0.25">
      <c r="A3748" s="127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74">
        <v>-9</v>
      </c>
      <c r="AW3748" s="74">
        <v>-8.7050000000000001</v>
      </c>
      <c r="CA3748" s="106">
        <v>-66.05</v>
      </c>
    </row>
    <row r="3749" spans="1:214" x14ac:dyDescent="0.25">
      <c r="A3749" s="127">
        <v>45269</v>
      </c>
      <c r="B3749" s="24" t="s">
        <v>48</v>
      </c>
      <c r="C3749" s="21">
        <f t="shared" si="62"/>
        <v>-17.295000000000002</v>
      </c>
      <c r="CG3749" s="106">
        <v>-8.8450000000000006</v>
      </c>
      <c r="CM3749" s="74">
        <v>-8.4499999999999993</v>
      </c>
    </row>
    <row r="3750" spans="1:214" x14ac:dyDescent="0.25">
      <c r="A3750" s="127">
        <v>45635</v>
      </c>
      <c r="B3750" s="24" t="s">
        <v>167</v>
      </c>
      <c r="C3750" s="21">
        <f t="shared" si="62"/>
        <v>-17.09</v>
      </c>
      <c r="E3750" s="145">
        <v>-17.09</v>
      </c>
    </row>
    <row r="3751" spans="1:214" x14ac:dyDescent="0.25">
      <c r="A3751" s="127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74">
        <v>108</v>
      </c>
      <c r="BI3751" s="106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27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27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27">
        <v>45271</v>
      </c>
      <c r="B3754" s="24" t="s">
        <v>17</v>
      </c>
      <c r="C3754" s="21">
        <f t="shared" si="62"/>
        <v>-16.984999999999999</v>
      </c>
      <c r="CM3754" s="74">
        <v>-16.984999999999999</v>
      </c>
    </row>
    <row r="3755" spans="1:214" x14ac:dyDescent="0.25">
      <c r="A3755" s="127">
        <v>45271</v>
      </c>
      <c r="B3755" s="24" t="s">
        <v>149</v>
      </c>
      <c r="C3755" s="21">
        <f t="shared" si="62"/>
        <v>-8.5150000000000006</v>
      </c>
      <c r="CG3755" s="106">
        <v>-8.5150000000000006</v>
      </c>
    </row>
    <row r="3756" spans="1:214" x14ac:dyDescent="0.25">
      <c r="A3756" s="127">
        <v>45272</v>
      </c>
      <c r="B3756" s="24" t="s">
        <v>20</v>
      </c>
      <c r="C3756" s="21">
        <f t="shared" si="62"/>
        <v>-25.54</v>
      </c>
      <c r="V3756" s="74">
        <v>-7.57</v>
      </c>
      <c r="BC3756" s="74">
        <v>-9.1050000000000004</v>
      </c>
      <c r="BI3756" s="106">
        <v>-8.8650000000000002</v>
      </c>
    </row>
    <row r="3757" spans="1:214" x14ac:dyDescent="0.25">
      <c r="A3757" s="127">
        <v>45272</v>
      </c>
      <c r="B3757" s="24" t="s">
        <v>68</v>
      </c>
      <c r="C3757" s="21">
        <f t="shared" si="62"/>
        <v>-243.88</v>
      </c>
      <c r="AG3757" s="106">
        <v>-17.2</v>
      </c>
      <c r="AN3757" s="74">
        <v>-25.815000000000001</v>
      </c>
      <c r="AR3757" s="74">
        <v>-18.114999999999998</v>
      </c>
      <c r="AW3757" s="74">
        <v>-35.695</v>
      </c>
      <c r="BC3757" s="74">
        <v>-35.880000000000003</v>
      </c>
      <c r="BI3757" s="106">
        <v>-35.770000000000003</v>
      </c>
      <c r="CG3757" s="106">
        <v>-25</v>
      </c>
      <c r="CM3757" s="74">
        <v>-25.34</v>
      </c>
      <c r="CS3757" s="74">
        <v>-25.065000000000001</v>
      </c>
    </row>
    <row r="3758" spans="1:214" x14ac:dyDescent="0.25">
      <c r="A3758" s="127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27">
        <v>45273</v>
      </c>
      <c r="B3759" s="24" t="s">
        <v>113</v>
      </c>
      <c r="C3759" s="21">
        <f t="shared" si="62"/>
        <v>856.60500000000002</v>
      </c>
      <c r="BO3759" s="74">
        <v>205.37</v>
      </c>
      <c r="BU3759" s="106">
        <v>214.33</v>
      </c>
      <c r="CA3759" s="106">
        <v>224.85</v>
      </c>
      <c r="EL3759" s="106">
        <v>212.05500000000001</v>
      </c>
    </row>
    <row r="3760" spans="1:214" ht="15" customHeight="1" x14ac:dyDescent="0.25">
      <c r="A3760" s="127">
        <v>45274</v>
      </c>
      <c r="B3760" s="24" t="s">
        <v>184</v>
      </c>
      <c r="C3760" s="21">
        <f t="shared" si="62"/>
        <v>-193.755</v>
      </c>
      <c r="BO3760" s="74">
        <v>-64.95</v>
      </c>
      <c r="EL3760" s="106">
        <v>-128.80500000000001</v>
      </c>
    </row>
    <row r="3761" spans="1:232" ht="15" customHeight="1" x14ac:dyDescent="0.25">
      <c r="A3761" s="127">
        <v>45274</v>
      </c>
      <c r="B3761" s="24" t="s">
        <v>89</v>
      </c>
      <c r="C3761" s="21">
        <f t="shared" ref="C3761:C3824" si="63">SUM(D3761:JT3761)</f>
        <v>-129.61000000000001</v>
      </c>
      <c r="BO3761" s="74">
        <v>-63.685000000000002</v>
      </c>
      <c r="BU3761" s="106">
        <v>-65.924999999999997</v>
      </c>
    </row>
    <row r="3762" spans="1:232" ht="15" customHeight="1" x14ac:dyDescent="0.25">
      <c r="A3762" s="127">
        <v>45274</v>
      </c>
      <c r="B3762" s="24" t="s">
        <v>17</v>
      </c>
      <c r="C3762" s="21">
        <f t="shared" si="63"/>
        <v>-53.765000000000001</v>
      </c>
      <c r="AR3762" s="74">
        <v>-9.2799999999999994</v>
      </c>
      <c r="AW3762" s="74">
        <v>-8.85</v>
      </c>
      <c r="BC3762" s="74">
        <v>-9.07</v>
      </c>
      <c r="BI3762" s="106">
        <v>-8.82</v>
      </c>
      <c r="CA3762" s="106">
        <v>-9.1750000000000007</v>
      </c>
      <c r="CG3762" s="106">
        <v>-8.57</v>
      </c>
    </row>
    <row r="3763" spans="1:232" ht="15" customHeight="1" x14ac:dyDescent="0.25">
      <c r="A3763" s="127">
        <v>45274</v>
      </c>
      <c r="B3763" s="24" t="s">
        <v>184</v>
      </c>
      <c r="C3763" s="21">
        <f t="shared" si="63"/>
        <v>-136.69</v>
      </c>
      <c r="BC3763" s="74">
        <v>-36.005000000000003</v>
      </c>
      <c r="BI3763" s="106">
        <v>-34.445</v>
      </c>
      <c r="BU3763" s="106">
        <v>-24.54</v>
      </c>
      <c r="CA3763" s="106">
        <v>-15.96</v>
      </c>
      <c r="CY3763" s="74">
        <v>-25.74</v>
      </c>
    </row>
    <row r="3764" spans="1:232" ht="15" customHeight="1" x14ac:dyDescent="0.25">
      <c r="A3764" s="127">
        <v>45274</v>
      </c>
      <c r="B3764" s="24" t="s">
        <v>178</v>
      </c>
      <c r="C3764" s="21">
        <f t="shared" si="63"/>
        <v>-65.569999999999993</v>
      </c>
      <c r="BU3764" s="106">
        <v>-65.569999999999993</v>
      </c>
    </row>
    <row r="3765" spans="1:232" ht="15" customHeight="1" x14ac:dyDescent="0.25">
      <c r="A3765" s="127">
        <v>45274</v>
      </c>
      <c r="B3765" s="24" t="s">
        <v>151</v>
      </c>
      <c r="C3765" s="21">
        <f t="shared" si="63"/>
        <v>-8.4600000000000009</v>
      </c>
      <c r="CM3765" s="74">
        <v>-8.4600000000000009</v>
      </c>
    </row>
    <row r="3766" spans="1:232" ht="15" customHeight="1" x14ac:dyDescent="0.25">
      <c r="A3766" s="127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27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27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27">
        <v>45275</v>
      </c>
      <c r="B3769" s="24" t="s">
        <v>25</v>
      </c>
      <c r="C3769" s="21">
        <f t="shared" si="63"/>
        <v>-54.924999999999997</v>
      </c>
      <c r="AA3769" s="42">
        <v>-8.0299999999999994</v>
      </c>
      <c r="BO3769" s="74">
        <v>-46.895000000000003</v>
      </c>
    </row>
    <row r="3770" spans="1:232" ht="15" customHeight="1" x14ac:dyDescent="0.25">
      <c r="A3770" s="127">
        <v>45275</v>
      </c>
      <c r="B3770" s="24" t="s">
        <v>138</v>
      </c>
      <c r="C3770" s="21">
        <f t="shared" si="63"/>
        <v>-30.585000000000001</v>
      </c>
      <c r="BO3770" s="74">
        <v>-14.26</v>
      </c>
      <c r="BU3770" s="106">
        <v>-16.324999999999999</v>
      </c>
    </row>
    <row r="3771" spans="1:232" ht="15" customHeight="1" x14ac:dyDescent="0.25">
      <c r="A3771" s="127">
        <v>45275</v>
      </c>
      <c r="B3771" s="24" t="s">
        <v>75</v>
      </c>
      <c r="C3771" s="21">
        <f t="shared" si="63"/>
        <v>-25.305</v>
      </c>
      <c r="CM3771" s="74">
        <v>-16.925000000000001</v>
      </c>
      <c r="CS3771" s="74">
        <v>-8.3800000000000008</v>
      </c>
    </row>
    <row r="3772" spans="1:232" ht="15" customHeight="1" x14ac:dyDescent="0.25">
      <c r="A3772" s="127">
        <v>45275</v>
      </c>
      <c r="B3772" s="24" t="s">
        <v>29</v>
      </c>
      <c r="C3772" s="21">
        <f t="shared" si="63"/>
        <v>-8.4450000000000003</v>
      </c>
      <c r="CM3772" s="74">
        <v>-8.4450000000000003</v>
      </c>
    </row>
    <row r="3773" spans="1:232" ht="15" customHeight="1" x14ac:dyDescent="0.25">
      <c r="A3773" s="127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74">
        <v>-7.48</v>
      </c>
      <c r="BU3773" s="106">
        <v>-8.3949999999999996</v>
      </c>
    </row>
    <row r="3774" spans="1:232" ht="15" customHeight="1" x14ac:dyDescent="0.25">
      <c r="A3774" s="127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27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27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27">
        <v>45275</v>
      </c>
      <c r="B3777" s="24" t="s">
        <v>83</v>
      </c>
      <c r="C3777" s="21">
        <f t="shared" si="63"/>
        <v>-9.9949999999999992</v>
      </c>
      <c r="AU3777" s="42">
        <v>25.78</v>
      </c>
      <c r="AW3777" s="74">
        <v>-35.774999999999999</v>
      </c>
    </row>
    <row r="3778" spans="1:226" ht="15" customHeight="1" x14ac:dyDescent="0.25">
      <c r="A3778" s="127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27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106">
        <v>-8.9700000000000006</v>
      </c>
      <c r="BU3779" s="106">
        <v>-9.0150000000000006</v>
      </c>
      <c r="CA3779" s="106">
        <v>-8</v>
      </c>
    </row>
    <row r="3780" spans="1:226" ht="15" customHeight="1" x14ac:dyDescent="0.25">
      <c r="A3780" s="127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27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27">
        <v>45280</v>
      </c>
      <c r="B3782" s="24" t="s">
        <v>113</v>
      </c>
      <c r="C3782" s="21">
        <f t="shared" si="63"/>
        <v>612.41999999999996</v>
      </c>
      <c r="BO3782" s="74">
        <v>95.515000000000001</v>
      </c>
      <c r="BU3782" s="106">
        <v>99.07</v>
      </c>
      <c r="CG3782" s="106">
        <v>64.209999999999994</v>
      </c>
      <c r="CM3782" s="74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27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27">
        <v>45281</v>
      </c>
      <c r="B3784" s="24" t="s">
        <v>184</v>
      </c>
      <c r="C3784" s="21">
        <f t="shared" si="63"/>
        <v>-170.8</v>
      </c>
      <c r="AN3784" s="74">
        <v>-8.61</v>
      </c>
      <c r="AR3784" s="74">
        <v>-18.605</v>
      </c>
      <c r="BC3784" s="74">
        <v>-44.88</v>
      </c>
      <c r="BI3784" s="106">
        <v>-17.84</v>
      </c>
      <c r="BO3784" s="74">
        <v>-30.914999999999999</v>
      </c>
      <c r="CA3784" s="106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27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27">
        <v>45281</v>
      </c>
      <c r="B3786" s="24" t="s">
        <v>133</v>
      </c>
      <c r="C3786" s="21">
        <f t="shared" si="63"/>
        <v>-82.38</v>
      </c>
      <c r="BI3786" s="106">
        <v>-17.535</v>
      </c>
      <c r="CM3786" s="74">
        <v>-32.715000000000003</v>
      </c>
      <c r="CY3786" s="74">
        <v>-32.130000000000003</v>
      </c>
    </row>
    <row r="3787" spans="1:226" ht="15" customHeight="1" x14ac:dyDescent="0.25">
      <c r="A3787" s="127">
        <v>45282</v>
      </c>
      <c r="B3787" s="24" t="s">
        <v>20</v>
      </c>
      <c r="C3787" s="21">
        <f t="shared" si="63"/>
        <v>-49.765000000000001</v>
      </c>
      <c r="BI3787" s="106">
        <v>-8.85</v>
      </c>
      <c r="BO3787" s="74">
        <v>-8.08</v>
      </c>
      <c r="CA3787" s="106">
        <v>-7.9950000000000001</v>
      </c>
      <c r="CG3787" s="106">
        <v>-8.0399999999999991</v>
      </c>
      <c r="CM3787" s="74">
        <v>-8.48</v>
      </c>
      <c r="CS3787" s="74">
        <v>-8.32</v>
      </c>
    </row>
    <row r="3788" spans="1:226" ht="15" customHeight="1" x14ac:dyDescent="0.25">
      <c r="A3788" s="127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27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27">
        <v>45282</v>
      </c>
      <c r="B3790" s="24" t="s">
        <v>178</v>
      </c>
      <c r="C3790" s="21">
        <f t="shared" si="63"/>
        <v>-82.515000000000001</v>
      </c>
      <c r="BU3790" s="106">
        <v>-82.515000000000001</v>
      </c>
    </row>
    <row r="3791" spans="1:226" x14ac:dyDescent="0.25">
      <c r="A3791" s="127">
        <v>45282</v>
      </c>
      <c r="B3791" s="24" t="s">
        <v>27</v>
      </c>
      <c r="C3791" s="21">
        <f t="shared" si="63"/>
        <v>-8.18</v>
      </c>
      <c r="BO3791" s="74">
        <v>-8.18</v>
      </c>
    </row>
    <row r="3792" spans="1:226" x14ac:dyDescent="0.25">
      <c r="A3792" s="127">
        <v>45282</v>
      </c>
      <c r="B3792" s="24" t="s">
        <v>68</v>
      </c>
      <c r="C3792" s="21">
        <f t="shared" si="63"/>
        <v>-131.965</v>
      </c>
      <c r="BO3792" s="74">
        <v>-32.854999999999997</v>
      </c>
      <c r="BU3792" s="106">
        <v>-32.914999999999999</v>
      </c>
      <c r="CA3792" s="106">
        <v>-31.895</v>
      </c>
      <c r="DK3792" s="74">
        <v>-34.299999999999997</v>
      </c>
    </row>
    <row r="3793" spans="1:208" x14ac:dyDescent="0.25">
      <c r="A3793" s="127">
        <v>45282</v>
      </c>
      <c r="B3793" s="24" t="s">
        <v>18</v>
      </c>
      <c r="C3793" s="21">
        <f t="shared" si="63"/>
        <v>-35.869999999999997</v>
      </c>
      <c r="BC3793" s="74">
        <v>-35.869999999999997</v>
      </c>
    </row>
    <row r="3794" spans="1:208" x14ac:dyDescent="0.25">
      <c r="A3794" s="127">
        <v>45283</v>
      </c>
      <c r="B3794" s="24" t="s">
        <v>19</v>
      </c>
      <c r="C3794" s="21">
        <f t="shared" si="63"/>
        <v>0</v>
      </c>
    </row>
    <row r="3795" spans="1:208" x14ac:dyDescent="0.25">
      <c r="A3795" s="127">
        <v>45285</v>
      </c>
      <c r="B3795" s="24" t="s">
        <v>184</v>
      </c>
      <c r="C3795" s="21">
        <f t="shared" si="63"/>
        <v>-120.745</v>
      </c>
      <c r="EA3795" s="74">
        <v>-66.709999999999994</v>
      </c>
      <c r="EG3795" s="74">
        <v>-54.034999999999997</v>
      </c>
    </row>
    <row r="3796" spans="1:208" x14ac:dyDescent="0.25">
      <c r="A3796" s="127">
        <v>45285</v>
      </c>
      <c r="B3796" s="24" t="s">
        <v>133</v>
      </c>
      <c r="C3796" s="21">
        <f t="shared" si="63"/>
        <v>-130.505</v>
      </c>
      <c r="BI3796" s="106">
        <v>-33.520000000000003</v>
      </c>
      <c r="BU3796" s="106">
        <v>-33.935000000000002</v>
      </c>
      <c r="CA3796" s="106">
        <v>-31.125</v>
      </c>
      <c r="CG3796" s="106">
        <v>-31.925000000000001</v>
      </c>
    </row>
    <row r="3797" spans="1:208" x14ac:dyDescent="0.25">
      <c r="A3797" s="127">
        <v>45285</v>
      </c>
      <c r="B3797" s="24" t="s">
        <v>48</v>
      </c>
      <c r="C3797" s="21">
        <f t="shared" si="63"/>
        <v>-16.38</v>
      </c>
      <c r="BC3797" s="74">
        <f>-9.04-7.34</f>
        <v>-16.38</v>
      </c>
    </row>
    <row r="3798" spans="1:208" x14ac:dyDescent="0.25">
      <c r="A3798" s="127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27">
        <v>45285</v>
      </c>
      <c r="B3799" s="24" t="s">
        <v>113</v>
      </c>
      <c r="C3799" s="21">
        <f t="shared" si="63"/>
        <v>1122.58</v>
      </c>
      <c r="AW3799" s="74">
        <v>105.19499999999999</v>
      </c>
      <c r="BC3799" s="74">
        <v>34.56</v>
      </c>
      <c r="BI3799" s="106">
        <v>100.6</v>
      </c>
      <c r="BU3799" s="106">
        <v>216.505</v>
      </c>
      <c r="CA3799" s="106">
        <v>75.855000000000004</v>
      </c>
      <c r="CG3799" s="106">
        <v>95.125</v>
      </c>
      <c r="CM3799" s="74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27">
        <v>45285</v>
      </c>
      <c r="B3800" s="24" t="s">
        <v>65</v>
      </c>
      <c r="C3800" s="21">
        <f t="shared" si="63"/>
        <v>-36.28</v>
      </c>
      <c r="AW3800" s="74">
        <v>-36.28</v>
      </c>
    </row>
    <row r="3801" spans="1:208" x14ac:dyDescent="0.25">
      <c r="A3801" s="127">
        <v>45285</v>
      </c>
      <c r="B3801" s="24" t="s">
        <v>149</v>
      </c>
      <c r="C3801" s="21">
        <f t="shared" si="63"/>
        <v>-8.6</v>
      </c>
      <c r="BC3801" s="74">
        <v>-8.6</v>
      </c>
    </row>
    <row r="3802" spans="1:208" x14ac:dyDescent="0.25">
      <c r="A3802" s="127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74">
        <v>-19.184999999999999</v>
      </c>
      <c r="AW3802" s="74">
        <v>-18.074999999999999</v>
      </c>
      <c r="BC3802" s="74">
        <v>-17.254999999999999</v>
      </c>
      <c r="BI3802" s="106">
        <v>-8.9550000000000001</v>
      </c>
      <c r="BO3802" s="74">
        <v>-7.5549999999999997</v>
      </c>
      <c r="BU3802" s="106">
        <v>-24.65</v>
      </c>
      <c r="CA3802" s="106">
        <v>-22.26</v>
      </c>
      <c r="CG3802" s="106">
        <v>-16.079999999999998</v>
      </c>
      <c r="CM3802" s="74">
        <v>-24.78</v>
      </c>
    </row>
    <row r="3803" spans="1:208" x14ac:dyDescent="0.25">
      <c r="A3803" s="127">
        <v>45286</v>
      </c>
      <c r="B3803" s="24" t="s">
        <v>20</v>
      </c>
      <c r="C3803" s="21">
        <f t="shared" si="63"/>
        <v>-24.664999999999999</v>
      </c>
      <c r="BU3803" s="106">
        <v>-8.2050000000000001</v>
      </c>
      <c r="GZ3803" s="106">
        <v>-16.46</v>
      </c>
    </row>
    <row r="3804" spans="1:208" x14ac:dyDescent="0.25">
      <c r="A3804" s="127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27">
        <v>45287</v>
      </c>
      <c r="B3805" s="24" t="s">
        <v>133</v>
      </c>
      <c r="C3805" s="21">
        <f t="shared" si="63"/>
        <v>-87.644999999999996</v>
      </c>
      <c r="AR3805" s="74">
        <v>-18.645</v>
      </c>
      <c r="BU3805" s="106">
        <v>-33.94</v>
      </c>
      <c r="CS3805" s="74">
        <v>-35.06</v>
      </c>
    </row>
    <row r="3806" spans="1:208" x14ac:dyDescent="0.25">
      <c r="A3806" s="127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27">
        <v>45287</v>
      </c>
      <c r="B3807" s="24" t="s">
        <v>222</v>
      </c>
      <c r="C3807" s="21">
        <f t="shared" si="63"/>
        <v>-42.31</v>
      </c>
      <c r="AR3807" s="74">
        <v>-8.89</v>
      </c>
      <c r="BC3807" s="74">
        <v>-8.7050000000000001</v>
      </c>
      <c r="BI3807" s="106">
        <v>-8.5649999999999995</v>
      </c>
      <c r="BO3807" s="74">
        <v>-7.93</v>
      </c>
      <c r="BU3807" s="106">
        <v>-8.2200000000000006</v>
      </c>
    </row>
    <row r="3808" spans="1:208" x14ac:dyDescent="0.25">
      <c r="A3808" s="127">
        <v>45287</v>
      </c>
      <c r="B3808" s="24" t="s">
        <v>113</v>
      </c>
      <c r="C3808" s="21">
        <f t="shared" si="63"/>
        <v>926.43499999999995</v>
      </c>
      <c r="AW3808" s="74">
        <v>101.06</v>
      </c>
      <c r="BC3808" s="74">
        <v>166.98</v>
      </c>
      <c r="BI3808" s="106">
        <v>155.36500000000001</v>
      </c>
      <c r="BO3808" s="74">
        <v>244.535</v>
      </c>
      <c r="EA3808" s="74">
        <v>167.01</v>
      </c>
      <c r="GZ3808" s="106">
        <v>91.484999999999999</v>
      </c>
    </row>
    <row r="3809" spans="1:208" x14ac:dyDescent="0.25">
      <c r="A3809" s="127">
        <v>45287</v>
      </c>
      <c r="B3809" s="24" t="s">
        <v>95</v>
      </c>
      <c r="C3809" s="21">
        <f t="shared" si="63"/>
        <v>-475.78500000000003</v>
      </c>
      <c r="V3809" s="74">
        <v>-141.63999999999999</v>
      </c>
      <c r="BO3809" s="74">
        <v>-138.13499999999999</v>
      </c>
      <c r="EP3809" s="74">
        <v>-196.01</v>
      </c>
    </row>
    <row r="3810" spans="1:208" x14ac:dyDescent="0.25">
      <c r="A3810" s="127">
        <v>45287</v>
      </c>
      <c r="B3810" s="24" t="s">
        <v>184</v>
      </c>
      <c r="C3810" s="21">
        <f t="shared" si="63"/>
        <v>-497.86</v>
      </c>
      <c r="BO3810" s="74">
        <v>-76.055000000000007</v>
      </c>
      <c r="BU3810" s="106">
        <v>-99.33</v>
      </c>
      <c r="CA3810" s="106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27">
        <v>45288</v>
      </c>
      <c r="B3811" s="24" t="s">
        <v>184</v>
      </c>
      <c r="C3811" s="21">
        <f t="shared" si="63"/>
        <v>-196.91499999999999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74">
        <v>-26.1</v>
      </c>
      <c r="BC3811" s="74">
        <v>-22.905000000000001</v>
      </c>
      <c r="BI3811" s="106">
        <v>-25.21</v>
      </c>
      <c r="BU3811" s="106">
        <v>-8.2149999999999999</v>
      </c>
      <c r="CA3811" s="106">
        <v>-14.09</v>
      </c>
      <c r="CG3811" s="106">
        <v>-24.21</v>
      </c>
      <c r="CY3811" s="74">
        <v>-16.855</v>
      </c>
      <c r="DE3811" s="74">
        <v>-34.295000000000002</v>
      </c>
    </row>
    <row r="3812" spans="1:208" x14ac:dyDescent="0.25">
      <c r="A3812" s="127">
        <v>45288</v>
      </c>
      <c r="B3812" s="24" t="s">
        <v>139</v>
      </c>
      <c r="C3812" s="21">
        <f t="shared" si="63"/>
        <v>-64.575000000000003</v>
      </c>
      <c r="BC3812" s="74">
        <v>-7.6150000000000002</v>
      </c>
      <c r="BI3812" s="106">
        <v>-7.81</v>
      </c>
      <c r="BO3812" s="74">
        <v>-7.63</v>
      </c>
      <c r="BU3812" s="106">
        <v>-8.2100000000000009</v>
      </c>
      <c r="CA3812" s="106">
        <v>-8.3800000000000008</v>
      </c>
      <c r="CG3812" s="106">
        <v>-7.9850000000000003</v>
      </c>
      <c r="CS3812" s="74">
        <v>-8.39</v>
      </c>
      <c r="CY3812" s="74">
        <v>-8.5549999999999997</v>
      </c>
    </row>
    <row r="3813" spans="1:208" x14ac:dyDescent="0.25">
      <c r="A3813" s="127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27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27">
        <v>45289</v>
      </c>
      <c r="B3815" s="24" t="s">
        <v>65</v>
      </c>
      <c r="C3815" s="21">
        <f t="shared" si="63"/>
        <v>-16.77</v>
      </c>
      <c r="AR3815" s="74">
        <v>-9.0299999999999994</v>
      </c>
      <c r="BI3815" s="106">
        <v>-7.74</v>
      </c>
    </row>
    <row r="3816" spans="1:208" x14ac:dyDescent="0.25">
      <c r="A3816" s="127">
        <v>45289</v>
      </c>
      <c r="B3816" s="24" t="s">
        <v>84</v>
      </c>
      <c r="C3816" s="21">
        <f t="shared" si="63"/>
        <v>-88.32</v>
      </c>
      <c r="Z3816" s="79">
        <v>-7.5</v>
      </c>
      <c r="AN3816" s="74">
        <v>-26.01</v>
      </c>
      <c r="CG3816" s="106">
        <v>-24.94</v>
      </c>
      <c r="CM3816" s="74">
        <v>-25.06</v>
      </c>
      <c r="GH3816" s="106">
        <v>-4.8099999999999996</v>
      </c>
    </row>
    <row r="3817" spans="1:208" x14ac:dyDescent="0.25">
      <c r="A3817" s="127">
        <v>45289</v>
      </c>
      <c r="B3817" s="24" t="s">
        <v>79</v>
      </c>
      <c r="C3817" s="21">
        <f t="shared" si="63"/>
        <v>-56.15</v>
      </c>
      <c r="CA3817" s="106">
        <v>-7.9850000000000003</v>
      </c>
      <c r="CG3817" s="106">
        <v>-24.065000000000001</v>
      </c>
      <c r="CM3817" s="74">
        <v>-24.1</v>
      </c>
    </row>
    <row r="3818" spans="1:208" x14ac:dyDescent="0.25">
      <c r="A3818" s="127">
        <v>45289</v>
      </c>
      <c r="B3818" s="24" t="s">
        <v>138</v>
      </c>
      <c r="C3818" s="21">
        <f t="shared" si="63"/>
        <v>-174.32499999999999</v>
      </c>
      <c r="AW3818" s="74">
        <v>-17.945</v>
      </c>
      <c r="BC3818" s="74">
        <v>-20.010000000000002</v>
      </c>
      <c r="BI3818" s="106">
        <v>-17.39</v>
      </c>
      <c r="BO3818" s="74">
        <v>-15.045</v>
      </c>
      <c r="CG3818" s="106">
        <v>-16.05</v>
      </c>
      <c r="CM3818" s="74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27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27">
        <v>45289</v>
      </c>
      <c r="B3820" s="24" t="s">
        <v>184</v>
      </c>
      <c r="C3820" s="21">
        <f t="shared" si="63"/>
        <v>-116.66</v>
      </c>
      <c r="CG3820" s="106">
        <v>-15.984999999999999</v>
      </c>
      <c r="CM3820" s="74">
        <v>-41.814999999999998</v>
      </c>
      <c r="CS3820" s="74">
        <v>-42.09</v>
      </c>
      <c r="CY3820" s="74">
        <v>-16.77</v>
      </c>
    </row>
    <row r="3821" spans="1:208" x14ac:dyDescent="0.25">
      <c r="A3821" s="127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74">
        <v>-26.605</v>
      </c>
      <c r="BI3821" s="106">
        <v>-30.07</v>
      </c>
      <c r="DP3821" s="74">
        <v>-15.465</v>
      </c>
    </row>
    <row r="3822" spans="1:208" x14ac:dyDescent="0.25">
      <c r="A3822" s="127">
        <v>45289</v>
      </c>
      <c r="B3822" s="24" t="s">
        <v>32</v>
      </c>
      <c r="C3822" s="21">
        <f t="shared" si="63"/>
        <v>-34.145000000000003</v>
      </c>
      <c r="CY3822" s="74">
        <v>-16.105</v>
      </c>
      <c r="DE3822" s="74">
        <v>-18.04</v>
      </c>
    </row>
    <row r="3823" spans="1:208" x14ac:dyDescent="0.25">
      <c r="A3823" s="127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27">
        <v>45293</v>
      </c>
      <c r="B3824" s="24" t="s">
        <v>48</v>
      </c>
      <c r="C3824" s="21">
        <f t="shared" si="63"/>
        <v>-16.25</v>
      </c>
      <c r="DK3824" s="74">
        <v>-16.25</v>
      </c>
    </row>
    <row r="3825" spans="1:208" x14ac:dyDescent="0.25">
      <c r="A3825" s="127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27">
        <v>45294</v>
      </c>
      <c r="B3826" s="24" t="s">
        <v>20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27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27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27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27">
        <v>45295</v>
      </c>
      <c r="B3830" s="24" t="s">
        <v>32</v>
      </c>
      <c r="C3830" s="21">
        <f t="shared" si="64"/>
        <v>-40.520000000000003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27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27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27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74">
        <v>-35.93</v>
      </c>
      <c r="CY3833" s="74">
        <v>-16.055</v>
      </c>
      <c r="DE3833" s="74">
        <v>-32.774999999999999</v>
      </c>
    </row>
    <row r="3834" spans="1:208" x14ac:dyDescent="0.25">
      <c r="A3834" s="127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27">
        <v>45296</v>
      </c>
      <c r="B3835" s="24" t="s">
        <v>20</v>
      </c>
      <c r="C3835" s="21">
        <f t="shared" si="64"/>
        <v>-8.18</v>
      </c>
      <c r="BI3835" s="106">
        <v>-8.18</v>
      </c>
    </row>
    <row r="3836" spans="1:208" x14ac:dyDescent="0.25">
      <c r="A3836" s="127">
        <v>45296</v>
      </c>
      <c r="B3836" s="24" t="s">
        <v>48</v>
      </c>
      <c r="C3836" s="21">
        <f t="shared" si="64"/>
        <v>-17.195</v>
      </c>
      <c r="BI3836" s="106">
        <v>-17.195</v>
      </c>
    </row>
    <row r="3837" spans="1:208" x14ac:dyDescent="0.25">
      <c r="A3837" s="127">
        <v>45297</v>
      </c>
      <c r="B3837" s="24" t="s">
        <v>111</v>
      </c>
      <c r="C3837" s="21">
        <f t="shared" si="64"/>
        <v>-15.9</v>
      </c>
      <c r="CG3837" s="106">
        <v>-15.9</v>
      </c>
    </row>
    <row r="3838" spans="1:208" x14ac:dyDescent="0.25">
      <c r="A3838" s="127">
        <v>45297</v>
      </c>
      <c r="B3838" s="24" t="s">
        <v>113</v>
      </c>
      <c r="C3838" s="21">
        <f t="shared" si="64"/>
        <v>2389.2800000000002</v>
      </c>
      <c r="AW3838" s="74">
        <v>215.59</v>
      </c>
      <c r="BI3838" s="106">
        <v>209</v>
      </c>
      <c r="BO3838" s="74">
        <v>193.98</v>
      </c>
      <c r="BU3838" s="106">
        <v>196.035</v>
      </c>
      <c r="CA3838" s="106">
        <v>198.53</v>
      </c>
      <c r="CG3838" s="106">
        <v>197.13</v>
      </c>
      <c r="CM3838" s="74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27">
        <v>45299</v>
      </c>
      <c r="B3839" s="24" t="s">
        <v>18</v>
      </c>
      <c r="C3839" s="21">
        <f t="shared" si="64"/>
        <v>-622.03</v>
      </c>
      <c r="BC3839" s="74">
        <v>-26.844999999999999</v>
      </c>
      <c r="BI3839" s="106">
        <v>-70.084999999999994</v>
      </c>
      <c r="BO3839" s="74">
        <v>-65.334999999999994</v>
      </c>
      <c r="BU3839" s="106">
        <v>-63.7</v>
      </c>
      <c r="CA3839" s="106">
        <v>-98.905000000000001</v>
      </c>
      <c r="CG3839" s="106">
        <v>-66.25</v>
      </c>
      <c r="CM3839" s="74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27">
        <v>45299</v>
      </c>
      <c r="B3840" s="24" t="s">
        <v>178</v>
      </c>
      <c r="C3840" s="21">
        <f t="shared" si="64"/>
        <v>-127.375</v>
      </c>
      <c r="BC3840" s="74">
        <v>-27.89</v>
      </c>
      <c r="BU3840" s="106">
        <v>-99.484999999999999</v>
      </c>
    </row>
    <row r="3841" spans="1:208" x14ac:dyDescent="0.25">
      <c r="A3841" s="127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27">
        <v>45299</v>
      </c>
      <c r="B3842" s="24" t="s">
        <v>184</v>
      </c>
      <c r="C3842" s="21">
        <f t="shared" si="64"/>
        <v>-52.945</v>
      </c>
      <c r="AW3842" s="74">
        <v>-18.03</v>
      </c>
      <c r="CA3842" s="106">
        <v>-34.914999999999999</v>
      </c>
    </row>
    <row r="3843" spans="1:208" x14ac:dyDescent="0.25">
      <c r="A3843" s="127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74">
        <v>-8.8149999999999995</v>
      </c>
      <c r="AW3843" s="74">
        <v>-9.11</v>
      </c>
      <c r="BC3843" s="74">
        <f>-9.09-7.525-6.76</f>
        <v>-23.375</v>
      </c>
      <c r="BI3843" s="106">
        <f>-8.69-8.69-8.725</f>
        <v>-26.105</v>
      </c>
      <c r="BO3843" s="74">
        <f>-8.15-8.18-8.165</f>
        <v>-24.495000000000001</v>
      </c>
      <c r="BU3843" s="106">
        <v>-7.93</v>
      </c>
      <c r="CA3843" s="106">
        <f>-8.275-7.96</f>
        <v>-16.234999999999999</v>
      </c>
      <c r="CG3843" s="106">
        <f>-8.445-8.485-8.475</f>
        <v>-25.405000000000001</v>
      </c>
      <c r="CM3843" s="74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27">
        <v>45299</v>
      </c>
      <c r="B3844" s="24" t="s">
        <v>165</v>
      </c>
      <c r="C3844" s="21">
        <f t="shared" si="64"/>
        <v>-17.71</v>
      </c>
      <c r="AN3844" s="74">
        <v>-8.66</v>
      </c>
      <c r="AR3844" s="74">
        <v>-9.0500000000000007</v>
      </c>
    </row>
    <row r="3845" spans="1:208" x14ac:dyDescent="0.25">
      <c r="A3845" s="127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27">
        <v>45299</v>
      </c>
      <c r="B3846" s="24" t="s">
        <v>152</v>
      </c>
      <c r="C3846" s="21">
        <f t="shared" si="64"/>
        <v>-447.54500000000002</v>
      </c>
      <c r="Z3846" s="79">
        <v>-30.54</v>
      </c>
      <c r="BO3846" s="74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27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106">
        <v>-34.67</v>
      </c>
      <c r="BO3847" s="74">
        <v>-32.354999999999997</v>
      </c>
      <c r="CG3847" s="106">
        <v>-33.64</v>
      </c>
      <c r="CM3847" s="74">
        <v>-32.409999999999997</v>
      </c>
    </row>
    <row r="3848" spans="1:208" x14ac:dyDescent="0.25">
      <c r="A3848" s="127">
        <v>45300</v>
      </c>
      <c r="B3848" s="24" t="s">
        <v>138</v>
      </c>
      <c r="C3848" s="21">
        <f t="shared" si="64"/>
        <v>-17.135000000000002</v>
      </c>
      <c r="BU3848" s="106">
        <v>-17.135000000000002</v>
      </c>
    </row>
    <row r="3849" spans="1:208" x14ac:dyDescent="0.25">
      <c r="A3849" s="127">
        <v>45300</v>
      </c>
      <c r="B3849" s="24" t="s">
        <v>174</v>
      </c>
      <c r="C3849" s="21">
        <f t="shared" si="64"/>
        <v>-8.9700000000000006</v>
      </c>
      <c r="AR3849" s="74">
        <v>-8.9700000000000006</v>
      </c>
    </row>
    <row r="3850" spans="1:208" x14ac:dyDescent="0.25">
      <c r="A3850" s="127">
        <v>45300</v>
      </c>
      <c r="B3850" s="24" t="s">
        <v>127</v>
      </c>
      <c r="C3850" s="21">
        <f t="shared" si="64"/>
        <v>-8.1750000000000007</v>
      </c>
      <c r="BO3850" s="74">
        <v>-8.1750000000000007</v>
      </c>
    </row>
    <row r="3851" spans="1:208" x14ac:dyDescent="0.25">
      <c r="A3851" s="127">
        <v>45300</v>
      </c>
      <c r="B3851" s="24" t="s">
        <v>139</v>
      </c>
      <c r="C3851" s="21">
        <f t="shared" si="64"/>
        <v>-15.63</v>
      </c>
      <c r="CG3851" s="106">
        <v>-8.2949999999999999</v>
      </c>
      <c r="CM3851" s="74">
        <v>-7.335</v>
      </c>
    </row>
    <row r="3852" spans="1:208" x14ac:dyDescent="0.25">
      <c r="A3852" s="127">
        <v>45300</v>
      </c>
      <c r="B3852" s="24" t="s">
        <v>20</v>
      </c>
      <c r="C3852" s="21">
        <f t="shared" si="64"/>
        <v>-53.56</v>
      </c>
      <c r="Z3852" s="79">
        <v>-7.58</v>
      </c>
      <c r="CA3852" s="106">
        <v>-8.7750000000000004</v>
      </c>
      <c r="CM3852" s="74">
        <v>-8.1150000000000002</v>
      </c>
      <c r="GZ3852" s="106">
        <v>-29.09</v>
      </c>
    </row>
    <row r="3853" spans="1:208" x14ac:dyDescent="0.25">
      <c r="A3853" s="127">
        <v>45300</v>
      </c>
      <c r="B3853" s="24" t="s">
        <v>44</v>
      </c>
      <c r="C3853" s="21">
        <f t="shared" si="64"/>
        <v>0</v>
      </c>
    </row>
    <row r="3854" spans="1:208" x14ac:dyDescent="0.25">
      <c r="A3854" s="127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27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27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27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27">
        <v>45302</v>
      </c>
      <c r="B3858" s="24" t="s">
        <v>165</v>
      </c>
      <c r="C3858" s="21">
        <f t="shared" si="64"/>
        <v>-32.5</v>
      </c>
      <c r="CA3858" s="106">
        <v>-24.225000000000001</v>
      </c>
      <c r="CS3858" s="74">
        <v>-8.2750000000000004</v>
      </c>
    </row>
    <row r="3859" spans="1:167" x14ac:dyDescent="0.25">
      <c r="A3859" s="127">
        <v>45302</v>
      </c>
      <c r="B3859" s="24" t="s">
        <v>133</v>
      </c>
      <c r="C3859" s="21">
        <f t="shared" si="64"/>
        <v>-34.634999999999998</v>
      </c>
      <c r="BI3859" s="106">
        <v>-34.634999999999998</v>
      </c>
    </row>
    <row r="3860" spans="1:167" x14ac:dyDescent="0.25">
      <c r="A3860" s="127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74">
        <v>-37.145000000000003</v>
      </c>
      <c r="BI3860" s="106">
        <v>-29.63</v>
      </c>
    </row>
    <row r="3861" spans="1:167" x14ac:dyDescent="0.25">
      <c r="A3861" s="127">
        <v>45303</v>
      </c>
      <c r="B3861" s="24" t="s">
        <v>113</v>
      </c>
      <c r="C3861" s="21">
        <f t="shared" si="64"/>
        <v>2425.712</v>
      </c>
      <c r="AN3861" s="74">
        <v>212.14</v>
      </c>
      <c r="AR3861" s="74">
        <v>108.925</v>
      </c>
      <c r="BC3861" s="74">
        <v>207.18199999999999</v>
      </c>
      <c r="BI3861" s="106">
        <v>206.36500000000001</v>
      </c>
      <c r="BO3861" s="74">
        <v>201.1</v>
      </c>
      <c r="BU3861" s="106">
        <v>197.76</v>
      </c>
      <c r="CA3861" s="106">
        <v>197.55</v>
      </c>
      <c r="CG3861" s="106">
        <v>200.8</v>
      </c>
      <c r="CM3861" s="74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27">
        <v>45303</v>
      </c>
      <c r="B3862" s="24" t="s">
        <v>139</v>
      </c>
      <c r="C3862" s="21">
        <f t="shared" si="64"/>
        <v>-49.26</v>
      </c>
      <c r="CA3862" s="106">
        <v>-8.1300000000000008</v>
      </c>
      <c r="CG3862" s="106">
        <v>-8.4499999999999993</v>
      </c>
      <c r="CM3862" s="74">
        <v>-16.170000000000002</v>
      </c>
      <c r="CS3862" s="74">
        <v>-16.510000000000002</v>
      </c>
    </row>
    <row r="3863" spans="1:167" x14ac:dyDescent="0.25">
      <c r="A3863" s="127">
        <v>45303</v>
      </c>
      <c r="B3863" s="24" t="s">
        <v>184</v>
      </c>
      <c r="C3863" s="21">
        <f t="shared" si="64"/>
        <v>-241.97499999999999</v>
      </c>
      <c r="AN3863" s="74">
        <v>-8.84</v>
      </c>
      <c r="AR3863" s="74">
        <v>-18.175000000000001</v>
      </c>
      <c r="AW3863" s="74">
        <v>-26.914999999999999</v>
      </c>
      <c r="BC3863" s="74">
        <v>-25.97</v>
      </c>
      <c r="BI3863" s="106">
        <v>-34.115000000000002</v>
      </c>
      <c r="BO3863" s="74">
        <v>-37.58</v>
      </c>
      <c r="BU3863" s="106">
        <v>-40.81</v>
      </c>
      <c r="CA3863" s="106">
        <v>-32.909999999999997</v>
      </c>
      <c r="CG3863" s="106">
        <v>-8.5299999999999994</v>
      </c>
      <c r="CM3863" s="74">
        <v>-8.1300000000000008</v>
      </c>
    </row>
    <row r="3864" spans="1:167" x14ac:dyDescent="0.25">
      <c r="A3864" s="127">
        <v>45303</v>
      </c>
      <c r="B3864" s="24" t="s">
        <v>20</v>
      </c>
      <c r="C3864" s="21">
        <f t="shared" si="64"/>
        <v>-41.945</v>
      </c>
      <c r="AN3864" s="74">
        <v>-8.83</v>
      </c>
      <c r="BC3864" s="74">
        <v>-8.64</v>
      </c>
      <c r="BI3864" s="106">
        <v>-8.5150000000000006</v>
      </c>
      <c r="BO3864" s="74">
        <v>-7.79</v>
      </c>
      <c r="BU3864" s="106">
        <v>-8.17</v>
      </c>
    </row>
    <row r="3865" spans="1:167" x14ac:dyDescent="0.25">
      <c r="A3865" s="127">
        <v>45303</v>
      </c>
      <c r="B3865" s="24" t="s">
        <v>169</v>
      </c>
      <c r="C3865" s="21">
        <f t="shared" si="64"/>
        <v>-78.989999999999995</v>
      </c>
      <c r="E3865" s="145">
        <v>-59.4</v>
      </c>
      <c r="G3865" s="145">
        <v>-19.59</v>
      </c>
    </row>
    <row r="3866" spans="1:167" x14ac:dyDescent="0.25">
      <c r="A3866" s="127">
        <v>45303</v>
      </c>
      <c r="B3866" s="24" t="s">
        <v>138</v>
      </c>
      <c r="C3866" s="21">
        <f t="shared" si="64"/>
        <v>-66.06</v>
      </c>
      <c r="BC3866" s="74">
        <v>-16.295000000000002</v>
      </c>
      <c r="BI3866" s="106">
        <v>-16.91</v>
      </c>
      <c r="BU3866" s="106">
        <v>-8.2050000000000001</v>
      </c>
      <c r="CA3866" s="106">
        <v>-24.65</v>
      </c>
    </row>
    <row r="3867" spans="1:167" x14ac:dyDescent="0.25">
      <c r="A3867" s="127">
        <v>45303</v>
      </c>
      <c r="B3867" s="24" t="s">
        <v>18</v>
      </c>
      <c r="C3867" s="21">
        <f t="shared" si="64"/>
        <v>-492.68200000000002</v>
      </c>
      <c r="AW3867" s="74">
        <v>-35.865000000000002</v>
      </c>
      <c r="BC3867" s="74">
        <v>-34.392000000000003</v>
      </c>
      <c r="BI3867" s="106">
        <v>-35.03</v>
      </c>
      <c r="BO3867" s="74">
        <v>-30.72</v>
      </c>
      <c r="BU3867" s="106">
        <v>-32.715000000000003</v>
      </c>
      <c r="CA3867" s="106">
        <v>-65.94</v>
      </c>
      <c r="CG3867" s="106">
        <v>-67.844999999999999</v>
      </c>
      <c r="CM3867" s="74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27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27">
        <v>45303</v>
      </c>
      <c r="B3869" s="24" t="s">
        <v>48</v>
      </c>
      <c r="C3869" s="21">
        <f t="shared" si="64"/>
        <v>-84.954999999999998</v>
      </c>
      <c r="BC3869" s="74">
        <v>-51.994999999999997</v>
      </c>
      <c r="BU3869" s="106">
        <v>-32.96</v>
      </c>
    </row>
    <row r="3870" spans="1:167" x14ac:dyDescent="0.25">
      <c r="A3870" s="127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27">
        <v>45306</v>
      </c>
      <c r="B3871" s="24" t="s">
        <v>133</v>
      </c>
      <c r="C3871" s="21">
        <f t="shared" si="64"/>
        <v>-165.55</v>
      </c>
      <c r="BC3871" s="74">
        <v>-34.409999999999997</v>
      </c>
      <c r="BI3871" s="106">
        <v>-34.805</v>
      </c>
      <c r="BO3871" s="74">
        <v>-31.18</v>
      </c>
      <c r="CA3871" s="106">
        <v>-32.93</v>
      </c>
      <c r="CG3871" s="106">
        <v>-32.225000000000001</v>
      </c>
    </row>
    <row r="3872" spans="1:167" x14ac:dyDescent="0.25">
      <c r="A3872" s="127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74">
        <v>-18.22</v>
      </c>
      <c r="AW3872" s="74">
        <v>-35.805</v>
      </c>
    </row>
    <row r="3873" spans="1:237" x14ac:dyDescent="0.25">
      <c r="A3873" s="127">
        <v>45306</v>
      </c>
      <c r="B3873" s="24" t="s">
        <v>140</v>
      </c>
      <c r="C3873" s="21">
        <f t="shared" si="64"/>
        <v>-21.105</v>
      </c>
      <c r="D3873" s="145">
        <v>-21.105</v>
      </c>
    </row>
    <row r="3874" spans="1:237" x14ac:dyDescent="0.25">
      <c r="A3874" s="127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74">
        <v>-61.89</v>
      </c>
      <c r="BU3874" s="106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27">
        <v>45306</v>
      </c>
      <c r="B3875" s="24" t="s">
        <v>115</v>
      </c>
      <c r="C3875" s="21">
        <f t="shared" si="64"/>
        <v>102.26</v>
      </c>
      <c r="F3875" s="145">
        <v>102.26</v>
      </c>
    </row>
    <row r="3876" spans="1:237" x14ac:dyDescent="0.25">
      <c r="A3876" s="127">
        <v>45307</v>
      </c>
      <c r="B3876" s="24" t="s">
        <v>139</v>
      </c>
      <c r="C3876" s="21">
        <f t="shared" si="64"/>
        <v>-40.98</v>
      </c>
      <c r="BU3876" s="106">
        <v>-8.1649999999999991</v>
      </c>
      <c r="CA3876" s="106">
        <v>-16.18</v>
      </c>
      <c r="CG3876" s="106">
        <v>-8.4949999999999992</v>
      </c>
      <c r="CM3876" s="74">
        <v>-8.14</v>
      </c>
    </row>
    <row r="3877" spans="1:237" x14ac:dyDescent="0.25">
      <c r="A3877" s="127">
        <v>45307</v>
      </c>
      <c r="B3877" s="24" t="s">
        <v>169</v>
      </c>
      <c r="C3877" s="21">
        <f t="shared" si="64"/>
        <v>-68.38</v>
      </c>
      <c r="F3877" s="145">
        <v>-68.38</v>
      </c>
    </row>
    <row r="3878" spans="1:237" x14ac:dyDescent="0.25">
      <c r="A3878" s="127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27">
        <v>45308</v>
      </c>
      <c r="B3879" s="24" t="s">
        <v>113</v>
      </c>
      <c r="C3879" s="21">
        <f t="shared" si="64"/>
        <v>2404.12</v>
      </c>
      <c r="P3879" s="106">
        <v>144.655</v>
      </c>
      <c r="AW3879" s="74">
        <v>167.57499999999999</v>
      </c>
      <c r="BC3879" s="74">
        <v>120.155</v>
      </c>
      <c r="CA3879" s="106">
        <v>173.69</v>
      </c>
      <c r="CG3879" s="106">
        <v>99.32</v>
      </c>
      <c r="CM3879" s="74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27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27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27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27">
        <v>45308</v>
      </c>
      <c r="B3883" s="24" t="s">
        <v>48</v>
      </c>
      <c r="C3883" s="21">
        <f t="shared" si="64"/>
        <v>-33.83</v>
      </c>
      <c r="CG3883" s="106">
        <v>-33.83</v>
      </c>
    </row>
    <row r="3884" spans="1:237" x14ac:dyDescent="0.25">
      <c r="A3884" s="127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27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27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27">
        <v>45309</v>
      </c>
      <c r="B3887" s="24" t="s">
        <v>133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27">
        <v>45309</v>
      </c>
      <c r="B3888" s="24" t="s">
        <v>32</v>
      </c>
      <c r="C3888" s="21">
        <f t="shared" si="64"/>
        <v>-27.46</v>
      </c>
      <c r="BC3888" s="74">
        <v>-27.46</v>
      </c>
    </row>
    <row r="3889" spans="1:237" x14ac:dyDescent="0.25">
      <c r="A3889" s="127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27">
        <v>45310</v>
      </c>
      <c r="B3890" s="24" t="s">
        <v>20</v>
      </c>
      <c r="C3890" s="21">
        <f t="shared" si="65"/>
        <v>-64.31</v>
      </c>
      <c r="AR3890" s="74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27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27">
        <v>45310</v>
      </c>
      <c r="B3892" s="24" t="s">
        <v>188</v>
      </c>
      <c r="C3892" s="21">
        <f t="shared" si="65"/>
        <v>-50.844999999999999</v>
      </c>
      <c r="AW3892" s="74">
        <v>-8.9499999999999993</v>
      </c>
      <c r="BC3892" s="74">
        <v>-8.2100000000000009</v>
      </c>
      <c r="BI3892" s="106">
        <v>-8.4499999999999993</v>
      </c>
      <c r="BO3892" s="74">
        <v>-8.8149999999999995</v>
      </c>
      <c r="BU3892" s="106">
        <v>-8.1950000000000003</v>
      </c>
      <c r="CA3892" s="106">
        <v>-8.2249999999999996</v>
      </c>
    </row>
    <row r="3893" spans="1:237" x14ac:dyDescent="0.25">
      <c r="A3893" s="127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27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27">
        <v>45310</v>
      </c>
      <c r="B3895" s="24" t="s">
        <v>152</v>
      </c>
      <c r="C3895" s="21">
        <f t="shared" si="65"/>
        <v>-1710.34</v>
      </c>
      <c r="AW3895" s="74">
        <v>-100.53</v>
      </c>
      <c r="BC3895" s="74">
        <v>-67.185000000000002</v>
      </c>
      <c r="BI3895" s="106">
        <v>-98.435000000000002</v>
      </c>
      <c r="CA3895" s="106">
        <v>-138.83000000000001</v>
      </c>
      <c r="CG3895" s="106">
        <v>-133.14500000000001</v>
      </c>
      <c r="CM3895" s="74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27">
        <v>45310</v>
      </c>
      <c r="B3896" s="24" t="s">
        <v>184</v>
      </c>
      <c r="C3896" s="21">
        <f t="shared" si="65"/>
        <v>-66.495000000000005</v>
      </c>
      <c r="AW3896" s="74">
        <v>-33.47</v>
      </c>
      <c r="CG3896" s="106">
        <v>-33.024999999999999</v>
      </c>
    </row>
    <row r="3897" spans="1:237" x14ac:dyDescent="0.25">
      <c r="A3897" s="127">
        <v>45311</v>
      </c>
      <c r="B3897" s="24" t="s">
        <v>184</v>
      </c>
      <c r="C3897" s="21">
        <f t="shared" si="65"/>
        <v>-67.75</v>
      </c>
      <c r="DK3897" s="74">
        <v>-34.774999999999999</v>
      </c>
      <c r="DP3897" s="74">
        <v>-32.975000000000001</v>
      </c>
    </row>
    <row r="3898" spans="1:237" x14ac:dyDescent="0.25">
      <c r="A3898" s="127">
        <v>45311</v>
      </c>
      <c r="B3898" s="24" t="s">
        <v>113</v>
      </c>
      <c r="C3898" s="21">
        <f t="shared" si="65"/>
        <v>2069.39</v>
      </c>
      <c r="BO3898" s="74">
        <v>206.08500000000001</v>
      </c>
      <c r="BU3898" s="106">
        <v>197.91499999999999</v>
      </c>
      <c r="CA3898" s="106">
        <v>188.20500000000001</v>
      </c>
      <c r="CM3898" s="74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27">
        <v>45313</v>
      </c>
      <c r="B3899" s="24" t="s">
        <v>133</v>
      </c>
      <c r="C3899" s="21">
        <f t="shared" si="65"/>
        <v>-99.885000000000005</v>
      </c>
      <c r="BU3899" s="106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27">
        <v>45313</v>
      </c>
      <c r="B3900" s="24" t="s">
        <v>32</v>
      </c>
      <c r="C3900" s="21">
        <f t="shared" si="65"/>
        <v>-163.19</v>
      </c>
      <c r="AW3900" s="74">
        <v>-33.814999999999998</v>
      </c>
      <c r="BO3900" s="74">
        <v>-63.91</v>
      </c>
      <c r="BU3900" s="106">
        <v>-34.064999999999998</v>
      </c>
      <c r="CA3900" s="106">
        <v>-31.4</v>
      </c>
    </row>
    <row r="3901" spans="1:237" x14ac:dyDescent="0.25">
      <c r="A3901" s="127">
        <v>45314</v>
      </c>
      <c r="B3901" s="24" t="s">
        <v>184</v>
      </c>
      <c r="C3901" s="21">
        <f t="shared" si="65"/>
        <v>-539.62</v>
      </c>
      <c r="AR3901" s="74">
        <v>-18.170000000000002</v>
      </c>
      <c r="AW3901" s="74">
        <v>-69.334999999999994</v>
      </c>
      <c r="BI3901" s="106">
        <v>-67.825000000000003</v>
      </c>
      <c r="BO3901" s="74">
        <v>-31.465</v>
      </c>
      <c r="BU3901" s="106">
        <v>-32.69</v>
      </c>
      <c r="CG3901" s="106">
        <v>-30.535</v>
      </c>
      <c r="CM3901" s="74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27">
        <v>45314</v>
      </c>
      <c r="B3902" s="24" t="s">
        <v>33</v>
      </c>
      <c r="C3902" s="21">
        <f t="shared" si="65"/>
        <v>-23.59</v>
      </c>
      <c r="BC3902" s="74">
        <v>-7.9349999999999996</v>
      </c>
      <c r="BO3902" s="74">
        <v>-7.415</v>
      </c>
      <c r="BU3902" s="106">
        <v>-8.24</v>
      </c>
    </row>
    <row r="3903" spans="1:237" x14ac:dyDescent="0.25">
      <c r="A3903" s="127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27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74">
        <v>-8.3550000000000004</v>
      </c>
      <c r="BO3904" s="74">
        <v>-7.71</v>
      </c>
    </row>
    <row r="3905" spans="1:208" x14ac:dyDescent="0.25">
      <c r="A3905" s="127">
        <v>45314</v>
      </c>
      <c r="B3905" s="24" t="s">
        <v>178</v>
      </c>
      <c r="C3905" s="21">
        <f t="shared" si="65"/>
        <v>-122.125</v>
      </c>
      <c r="BC3905" s="74">
        <v>-56.68</v>
      </c>
      <c r="BU3905" s="106">
        <v>-65.444999999999993</v>
      </c>
    </row>
    <row r="3906" spans="1:208" x14ac:dyDescent="0.25">
      <c r="A3906" s="127">
        <v>45314</v>
      </c>
      <c r="B3906" s="24" t="s">
        <v>20</v>
      </c>
      <c r="C3906" s="21">
        <f t="shared" si="65"/>
        <v>-8.4600000000000009</v>
      </c>
      <c r="BO3906" s="74">
        <v>-8.4600000000000009</v>
      </c>
    </row>
    <row r="3907" spans="1:208" x14ac:dyDescent="0.25">
      <c r="A3907" s="127">
        <v>45314</v>
      </c>
      <c r="B3907" s="24" t="s">
        <v>39</v>
      </c>
      <c r="C3907" s="21">
        <f t="shared" si="65"/>
        <v>-30.295000000000002</v>
      </c>
      <c r="BI3907" s="106">
        <v>-14.965</v>
      </c>
      <c r="BO3907" s="74">
        <v>-7.25</v>
      </c>
      <c r="CA3907" s="106">
        <v>-8.08</v>
      </c>
    </row>
    <row r="3908" spans="1:208" x14ac:dyDescent="0.25">
      <c r="A3908" s="127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74">
        <v>-8.3550000000000004</v>
      </c>
      <c r="BO3908" s="74">
        <v>-7.71</v>
      </c>
    </row>
    <row r="3909" spans="1:208" x14ac:dyDescent="0.25">
      <c r="A3909" s="127">
        <v>45315</v>
      </c>
      <c r="B3909" s="24" t="s">
        <v>184</v>
      </c>
      <c r="C3909" s="21">
        <f t="shared" si="65"/>
        <v>-140.72</v>
      </c>
      <c r="AG3909" s="106">
        <v>-8.61</v>
      </c>
      <c r="AN3909" s="74">
        <v>-8.86</v>
      </c>
      <c r="AR3909" s="74">
        <v>-9.08</v>
      </c>
      <c r="AW3909" s="74">
        <v>-25.395</v>
      </c>
      <c r="BO3909" s="74">
        <v>-15.9</v>
      </c>
      <c r="CA3909" s="106">
        <v>-40.47</v>
      </c>
      <c r="CM3909" s="74">
        <v>-15.25</v>
      </c>
      <c r="DU3909" s="106">
        <v>-17.155000000000001</v>
      </c>
    </row>
    <row r="3910" spans="1:208" x14ac:dyDescent="0.25">
      <c r="A3910" s="127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27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27">
        <v>45317</v>
      </c>
      <c r="B3912" s="24" t="s">
        <v>48</v>
      </c>
      <c r="C3912" s="21">
        <f t="shared" si="65"/>
        <v>-113.495</v>
      </c>
      <c r="BI3912" s="106">
        <v>-29.47</v>
      </c>
      <c r="BO3912" s="74">
        <v>-32.4</v>
      </c>
      <c r="BU3912" s="106">
        <f>-33.64-8.96-9.025</f>
        <v>-51.625</v>
      </c>
    </row>
    <row r="3913" spans="1:208" x14ac:dyDescent="0.25">
      <c r="A3913" s="127">
        <v>45317</v>
      </c>
      <c r="B3913" s="24" t="s">
        <v>113</v>
      </c>
      <c r="C3913" s="21">
        <f t="shared" si="65"/>
        <v>2236.9050000000002</v>
      </c>
      <c r="P3913" s="106">
        <v>129.435</v>
      </c>
      <c r="AW3913" s="74">
        <v>148.465</v>
      </c>
      <c r="BC3913" s="74">
        <v>100.105</v>
      </c>
      <c r="CA3913" s="106">
        <v>168.76499999999999</v>
      </c>
      <c r="CG3913" s="106">
        <v>301.97000000000003</v>
      </c>
      <c r="CM3913" s="74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27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74">
        <v>198.393</v>
      </c>
      <c r="BC3914" s="74">
        <v>204.88</v>
      </c>
      <c r="BI3914" s="106">
        <v>196.54499999999999</v>
      </c>
      <c r="BO3914" s="74">
        <v>187.33500000000001</v>
      </c>
      <c r="BU3914" s="106">
        <v>204.41499999999999</v>
      </c>
      <c r="CA3914" s="106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27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27">
        <v>45317</v>
      </c>
      <c r="B3916" s="24" t="s">
        <v>184</v>
      </c>
      <c r="C3916" s="21">
        <f t="shared" si="65"/>
        <v>-187.7</v>
      </c>
      <c r="T3916" s="42">
        <v>-14.66</v>
      </c>
      <c r="BC3916" s="74">
        <v>-41.104999999999997</v>
      </c>
      <c r="BI3916" s="106">
        <v>-31.425000000000001</v>
      </c>
      <c r="BU3916" s="106">
        <v>-34.14</v>
      </c>
      <c r="CG3916" s="106">
        <v>-32.97</v>
      </c>
      <c r="DE3916" s="74">
        <v>-33.4</v>
      </c>
    </row>
    <row r="3917" spans="1:208" x14ac:dyDescent="0.25">
      <c r="A3917" s="127">
        <v>45317</v>
      </c>
      <c r="B3917" s="24" t="s">
        <v>184</v>
      </c>
      <c r="C3917" s="21">
        <f t="shared" si="65"/>
        <v>-120.27500000000001</v>
      </c>
      <c r="BC3917" s="74">
        <v>-53.195</v>
      </c>
      <c r="BI3917" s="106">
        <v>-31.21</v>
      </c>
      <c r="EE3917" s="42">
        <v>-35.869999999999997</v>
      </c>
    </row>
    <row r="3918" spans="1:208" x14ac:dyDescent="0.25">
      <c r="A3918" s="127">
        <v>45317</v>
      </c>
      <c r="B3918" s="24" t="s">
        <v>133</v>
      </c>
      <c r="C3918" s="21">
        <f t="shared" si="65"/>
        <v>-223</v>
      </c>
      <c r="BC3918" s="74">
        <v>-34.200000000000003</v>
      </c>
      <c r="BI3918" s="106">
        <v>-30.405000000000001</v>
      </c>
      <c r="BO3918" s="74">
        <v>-31.74</v>
      </c>
      <c r="BU3918" s="106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27">
        <v>45317</v>
      </c>
      <c r="B3919" s="24" t="s">
        <v>20</v>
      </c>
      <c r="C3919" s="21">
        <f t="shared" si="65"/>
        <v>-7.49</v>
      </c>
      <c r="BI3919" s="106">
        <v>-7.49</v>
      </c>
    </row>
    <row r="3920" spans="1:208" x14ac:dyDescent="0.25">
      <c r="A3920" s="127">
        <v>45317</v>
      </c>
      <c r="B3920" s="24" t="s">
        <v>33</v>
      </c>
      <c r="C3920" s="21">
        <f t="shared" si="65"/>
        <v>-24.385000000000002</v>
      </c>
      <c r="AR3920" s="74">
        <v>-9.0350000000000001</v>
      </c>
      <c r="BI3920" s="106">
        <v>-7.5549999999999997</v>
      </c>
      <c r="BU3920" s="106">
        <v>-7.7949999999999999</v>
      </c>
    </row>
    <row r="3921" spans="1:235" x14ac:dyDescent="0.25">
      <c r="A3921" s="127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27">
        <v>45317</v>
      </c>
      <c r="B3922" s="29" t="s">
        <v>184</v>
      </c>
      <c r="C3922" s="21">
        <f t="shared" si="65"/>
        <v>-159.87</v>
      </c>
      <c r="AR3922" s="74">
        <v>-9.0350000000000001</v>
      </c>
      <c r="CM3922" s="74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27">
        <v>45320</v>
      </c>
      <c r="B3923" s="29" t="s">
        <v>152</v>
      </c>
      <c r="C3923" s="21">
        <f t="shared" si="65"/>
        <v>-783.68499999999995</v>
      </c>
      <c r="BC3923" s="74">
        <v>-60.854999999999997</v>
      </c>
      <c r="BI3923" s="106">
        <v>-30.004999999999999</v>
      </c>
      <c r="BO3923" s="74">
        <v>-92.18</v>
      </c>
      <c r="BU3923" s="106">
        <v>-34.325000000000003</v>
      </c>
      <c r="CA3923" s="106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27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27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27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27">
        <v>45321</v>
      </c>
      <c r="B3927" s="24" t="s">
        <v>174</v>
      </c>
      <c r="C3927" s="21">
        <f t="shared" si="65"/>
        <v>-9.0399999999999991</v>
      </c>
      <c r="CA3927" s="106">
        <v>-9.0399999999999991</v>
      </c>
    </row>
    <row r="3928" spans="1:235" x14ac:dyDescent="0.25">
      <c r="A3928" s="127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27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27">
        <v>45321</v>
      </c>
      <c r="B3930" s="24" t="s">
        <v>115</v>
      </c>
      <c r="C3930" s="21">
        <f t="shared" si="65"/>
        <v>297.22000000000003</v>
      </c>
      <c r="D3930" s="145">
        <f>65.7+32.92</f>
        <v>98.62</v>
      </c>
      <c r="E3930" s="145">
        <v>95.58</v>
      </c>
      <c r="F3930" s="145">
        <v>103.02</v>
      </c>
    </row>
    <row r="3931" spans="1:235" x14ac:dyDescent="0.25">
      <c r="A3931" s="127">
        <v>45321</v>
      </c>
      <c r="B3931" s="24" t="s">
        <v>178</v>
      </c>
      <c r="C3931" s="21">
        <f t="shared" si="65"/>
        <v>-66.95</v>
      </c>
      <c r="BC3931" s="74">
        <v>-34.43</v>
      </c>
      <c r="BU3931" s="106">
        <v>-32.520000000000003</v>
      </c>
    </row>
    <row r="3932" spans="1:235" x14ac:dyDescent="0.25">
      <c r="A3932" s="127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27">
        <v>45321</v>
      </c>
      <c r="B3933" s="24" t="s">
        <v>147</v>
      </c>
      <c r="C3933" s="21">
        <f t="shared" si="65"/>
        <v>-31.04</v>
      </c>
      <c r="AW3933" s="74">
        <v>-8.3550000000000004</v>
      </c>
      <c r="BC3933" s="74">
        <v>-6.6449999999999996</v>
      </c>
      <c r="BI3933" s="106">
        <v>-7.46</v>
      </c>
      <c r="CG3933" s="106">
        <v>-8.58</v>
      </c>
    </row>
    <row r="3934" spans="1:235" x14ac:dyDescent="0.25">
      <c r="A3934" s="127">
        <v>45321</v>
      </c>
      <c r="B3934" s="24" t="s">
        <v>167</v>
      </c>
      <c r="C3934" s="21">
        <f t="shared" si="65"/>
        <v>-32.805</v>
      </c>
      <c r="D3934" s="145">
        <v>-8.6300000000000008</v>
      </c>
      <c r="E3934" s="145">
        <v>-24.175000000000001</v>
      </c>
    </row>
    <row r="3935" spans="1:235" x14ac:dyDescent="0.25">
      <c r="A3935" s="127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27">
        <v>45322</v>
      </c>
      <c r="B3936" s="24" t="s">
        <v>59</v>
      </c>
      <c r="C3936" s="21">
        <f t="shared" si="65"/>
        <v>-5.6</v>
      </c>
      <c r="CG3936" s="106">
        <v>-3.6</v>
      </c>
      <c r="CM3936" s="74">
        <v>-2</v>
      </c>
    </row>
    <row r="3937" spans="1:167" x14ac:dyDescent="0.25">
      <c r="A3937" s="127">
        <v>45323</v>
      </c>
      <c r="B3937" s="24" t="s">
        <v>133</v>
      </c>
      <c r="C3937" s="21">
        <f t="shared" si="65"/>
        <v>-115.105</v>
      </c>
      <c r="AR3937" s="74">
        <v>-36.115000000000002</v>
      </c>
      <c r="AW3937" s="74">
        <v>-33.450000000000003</v>
      </c>
      <c r="BC3937" s="74">
        <v>-15.324999999999999</v>
      </c>
      <c r="CA3937" s="106">
        <v>-30.215</v>
      </c>
    </row>
    <row r="3938" spans="1:167" x14ac:dyDescent="0.25">
      <c r="A3938" s="127">
        <v>45323</v>
      </c>
      <c r="B3938" s="24" t="s">
        <v>184</v>
      </c>
      <c r="C3938" s="21">
        <f t="shared" si="65"/>
        <v>-42.145000000000003</v>
      </c>
      <c r="AN3938" s="74">
        <v>-8.8450000000000006</v>
      </c>
      <c r="AR3938" s="74">
        <v>-9.1449999999999996</v>
      </c>
      <c r="BO3938" s="74">
        <v>-15.965</v>
      </c>
      <c r="CS3938" s="74">
        <v>-8.19</v>
      </c>
    </row>
    <row r="3939" spans="1:167" x14ac:dyDescent="0.25">
      <c r="A3939" s="127">
        <v>45323</v>
      </c>
      <c r="B3939" s="24" t="s">
        <v>184</v>
      </c>
      <c r="C3939" s="21">
        <f t="shared" si="65"/>
        <v>-33.625</v>
      </c>
      <c r="DK3939" s="74">
        <v>-9.07</v>
      </c>
      <c r="DU3939" s="106">
        <v>-24.555</v>
      </c>
    </row>
    <row r="3940" spans="1:167" x14ac:dyDescent="0.25">
      <c r="A3940" s="127">
        <v>45324</v>
      </c>
      <c r="B3940" s="24" t="s">
        <v>20</v>
      </c>
      <c r="C3940" s="21">
        <f t="shared" si="65"/>
        <v>-7.8849999999999998</v>
      </c>
      <c r="BO3940" s="74">
        <v>-7.8849999999999998</v>
      </c>
    </row>
    <row r="3941" spans="1:167" x14ac:dyDescent="0.25">
      <c r="A3941" s="127">
        <v>45324</v>
      </c>
      <c r="B3941" s="24" t="s">
        <v>184</v>
      </c>
      <c r="C3941" s="21">
        <f t="shared" si="65"/>
        <v>-356.71499999999997</v>
      </c>
      <c r="AR3941" s="74">
        <v>-36.085000000000001</v>
      </c>
      <c r="AW3941" s="74">
        <v>-67.37</v>
      </c>
      <c r="BO3941" s="74">
        <v>-31.015000000000001</v>
      </c>
      <c r="CA3941" s="106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27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27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74">
        <v>-33.984999999999999</v>
      </c>
      <c r="CY3943" s="74">
        <v>-66.760000000000005</v>
      </c>
      <c r="DU3943" s="106">
        <v>-64.77</v>
      </c>
    </row>
    <row r="3944" spans="1:167" x14ac:dyDescent="0.25">
      <c r="A3944" s="127">
        <v>45324</v>
      </c>
      <c r="B3944" s="24" t="s">
        <v>75</v>
      </c>
      <c r="C3944" s="21">
        <f t="shared" si="65"/>
        <v>-39.72</v>
      </c>
      <c r="BC3944" s="74">
        <v>-17.274999999999999</v>
      </c>
      <c r="BI3944" s="106">
        <v>-14.055</v>
      </c>
      <c r="CM3944" s="74">
        <v>-8.39</v>
      </c>
    </row>
    <row r="3945" spans="1:167" x14ac:dyDescent="0.25">
      <c r="A3945" s="127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27">
        <v>45327</v>
      </c>
      <c r="B3946" s="24" t="s">
        <v>32</v>
      </c>
      <c r="C3946" s="21">
        <f t="shared" si="65"/>
        <v>-166.29</v>
      </c>
      <c r="CM3946" s="74">
        <v>-166.29</v>
      </c>
    </row>
    <row r="3947" spans="1:167" x14ac:dyDescent="0.25">
      <c r="A3947" s="127">
        <v>45328</v>
      </c>
      <c r="B3947" s="24" t="s">
        <v>127</v>
      </c>
      <c r="C3947" s="21">
        <f t="shared" si="65"/>
        <v>-7.71</v>
      </c>
      <c r="BO3947" s="74">
        <v>-7.71</v>
      </c>
    </row>
    <row r="3948" spans="1:167" x14ac:dyDescent="0.25">
      <c r="A3948" s="127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74">
        <v>-8.0549999999999997</v>
      </c>
      <c r="BU3948" s="106">
        <v>-9.0250000000000004</v>
      </c>
    </row>
    <row r="3949" spans="1:167" x14ac:dyDescent="0.25">
      <c r="A3949" s="127">
        <v>45328</v>
      </c>
      <c r="B3949" s="24" t="s">
        <v>20</v>
      </c>
      <c r="C3949" s="21">
        <f t="shared" si="65"/>
        <v>-23.364999999999998</v>
      </c>
      <c r="BC3949" s="74">
        <v>-7.2850000000000001</v>
      </c>
      <c r="BI3949" s="106">
        <v>-7.47</v>
      </c>
      <c r="CS3949" s="74">
        <v>-8.61</v>
      </c>
    </row>
    <row r="3950" spans="1:167" x14ac:dyDescent="0.25">
      <c r="A3950" s="127">
        <v>45328</v>
      </c>
      <c r="B3950" s="24" t="s">
        <v>75</v>
      </c>
      <c r="C3950" s="21">
        <f t="shared" si="65"/>
        <v>-17.535</v>
      </c>
      <c r="AN3950" s="74">
        <v>-8.84</v>
      </c>
      <c r="BC3950" s="74">
        <v>-8.6950000000000003</v>
      </c>
    </row>
    <row r="3951" spans="1:167" x14ac:dyDescent="0.25">
      <c r="A3951" s="127">
        <v>45328</v>
      </c>
      <c r="B3951" s="24" t="s">
        <v>138</v>
      </c>
      <c r="C3951" s="21">
        <f t="shared" si="65"/>
        <v>-16.2</v>
      </c>
      <c r="CG3951" s="106">
        <v>-16.2</v>
      </c>
    </row>
    <row r="3952" spans="1:167" x14ac:dyDescent="0.25">
      <c r="A3952" s="127">
        <v>45328</v>
      </c>
      <c r="B3952" s="24" t="s">
        <v>156</v>
      </c>
      <c r="C3952" s="21">
        <f t="shared" si="65"/>
        <v>-17.074999999999999</v>
      </c>
      <c r="F3952" s="145">
        <v>-17.074999999999999</v>
      </c>
    </row>
    <row r="3953" spans="1:226" x14ac:dyDescent="0.25">
      <c r="A3953" s="127">
        <v>45329</v>
      </c>
      <c r="B3953" s="24" t="s">
        <v>18</v>
      </c>
      <c r="C3953" s="21">
        <f t="shared" ref="C3953:C4016" si="66">SUM(D3953:JT3953)</f>
        <v>-67.504999999999995</v>
      </c>
      <c r="AP3953" s="42">
        <v>-17.66</v>
      </c>
      <c r="BO3953" s="74">
        <v>-16.02</v>
      </c>
      <c r="BU3953" s="106">
        <v>-8.0350000000000001</v>
      </c>
      <c r="CA3953" s="106">
        <v>-17.420000000000002</v>
      </c>
      <c r="CM3953" s="74">
        <v>-8.3699999999999992</v>
      </c>
    </row>
    <row r="3954" spans="1:226" x14ac:dyDescent="0.25">
      <c r="A3954" s="127">
        <v>45329</v>
      </c>
      <c r="B3954" s="24" t="s">
        <v>18</v>
      </c>
      <c r="C3954" s="21">
        <f t="shared" si="66"/>
        <v>-26.26</v>
      </c>
      <c r="AW3954" s="74">
        <v>-9</v>
      </c>
      <c r="CA3954" s="106">
        <v>-17.260000000000002</v>
      </c>
    </row>
    <row r="3955" spans="1:226" x14ac:dyDescent="0.25">
      <c r="A3955" s="127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74">
        <v>-9.0150000000000006</v>
      </c>
      <c r="AW3955" s="74">
        <v>-8.9550000000000001</v>
      </c>
      <c r="BC3955" s="74">
        <v>-8.5749999999999993</v>
      </c>
      <c r="BO3955" s="74">
        <f>-8.005-7.98-7.81</f>
        <v>-23.795000000000002</v>
      </c>
      <c r="BU3955" s="106">
        <v>-25.145</v>
      </c>
      <c r="CA3955" s="106">
        <v>-26.574999999999999</v>
      </c>
      <c r="CG3955" s="106">
        <v>-26.024999999999999</v>
      </c>
      <c r="CM3955" s="74">
        <v>-16.21</v>
      </c>
    </row>
    <row r="3956" spans="1:226" x14ac:dyDescent="0.25">
      <c r="A3956" s="127">
        <v>45330</v>
      </c>
      <c r="B3956" s="24" t="s">
        <v>140</v>
      </c>
      <c r="C3956" s="21">
        <f t="shared" si="66"/>
        <v>-33.634999999999998</v>
      </c>
      <c r="D3956" s="145">
        <f>-31.28-2.355</f>
        <v>-33.634999999999998</v>
      </c>
    </row>
    <row r="3957" spans="1:226" x14ac:dyDescent="0.25">
      <c r="A3957" s="127">
        <v>45330</v>
      </c>
      <c r="B3957" s="24" t="s">
        <v>184</v>
      </c>
      <c r="C3957" s="21">
        <f t="shared" si="66"/>
        <v>-143.05500000000001</v>
      </c>
      <c r="AG3957" s="106">
        <v>-8.59</v>
      </c>
      <c r="AN3957" s="74">
        <v>-26.504999999999999</v>
      </c>
      <c r="AR3957" s="74">
        <v>-9.1199999999999992</v>
      </c>
      <c r="AW3957" s="74">
        <v>-18.215</v>
      </c>
      <c r="CA3957" s="106">
        <v>-23.035</v>
      </c>
      <c r="CM3957" s="74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27">
        <v>45330</v>
      </c>
      <c r="B3958" s="24" t="s">
        <v>44</v>
      </c>
      <c r="C3958" s="21">
        <f t="shared" si="66"/>
        <v>0</v>
      </c>
    </row>
    <row r="3959" spans="1:226" x14ac:dyDescent="0.25">
      <c r="A3959" s="127">
        <v>45330</v>
      </c>
      <c r="B3959" s="24" t="s">
        <v>183</v>
      </c>
      <c r="C3959" s="21">
        <f t="shared" si="66"/>
        <v>-8.1349999999999998</v>
      </c>
      <c r="CY3959" s="74">
        <v>-8.1349999999999998</v>
      </c>
    </row>
    <row r="3960" spans="1:226" x14ac:dyDescent="0.25">
      <c r="A3960" s="127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74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27">
        <v>45331</v>
      </c>
      <c r="B3961" s="24" t="s">
        <v>127</v>
      </c>
      <c r="C3961" s="21">
        <f t="shared" si="66"/>
        <v>0</v>
      </c>
    </row>
    <row r="3962" spans="1:226" x14ac:dyDescent="0.25">
      <c r="A3962" s="127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106">
        <v>-8.2249999999999996</v>
      </c>
      <c r="CS3962" s="74">
        <v>-8.7200000000000006</v>
      </c>
    </row>
    <row r="3963" spans="1:226" x14ac:dyDescent="0.25">
      <c r="A3963" s="127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27">
        <v>45331</v>
      </c>
      <c r="B3964" s="24" t="s">
        <v>39</v>
      </c>
      <c r="C3964" s="21">
        <f t="shared" si="66"/>
        <v>-32.93</v>
      </c>
      <c r="BO3964" s="74">
        <v>-16.14</v>
      </c>
      <c r="CG3964" s="106">
        <v>-16.79</v>
      </c>
    </row>
    <row r="3965" spans="1:226" x14ac:dyDescent="0.25">
      <c r="A3965" s="127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74">
        <v>-37.174999999999997</v>
      </c>
      <c r="AW3965" s="74">
        <v>-36.097999999999999</v>
      </c>
      <c r="BO3965" s="74">
        <v>-32.29</v>
      </c>
      <c r="CA3965" s="106">
        <v>-32.96</v>
      </c>
      <c r="CG3965" s="106">
        <v>-103.235</v>
      </c>
      <c r="CM3965" s="74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27">
        <v>45331</v>
      </c>
      <c r="B3966" s="24" t="s">
        <v>18</v>
      </c>
      <c r="C3966" s="21">
        <f t="shared" si="66"/>
        <v>-326.87</v>
      </c>
      <c r="BO3966" s="74">
        <v>-31.48</v>
      </c>
      <c r="CA3966" s="106">
        <v>-6.53</v>
      </c>
      <c r="CG3966" s="106">
        <v>-66.844999999999999</v>
      </c>
      <c r="CM3966" s="74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27">
        <v>45332</v>
      </c>
      <c r="B3967" s="24" t="s">
        <v>113</v>
      </c>
      <c r="C3967" s="21">
        <f t="shared" si="66"/>
        <v>997.05</v>
      </c>
      <c r="BC3967" s="74">
        <v>97.575000000000003</v>
      </c>
      <c r="BO3967" s="74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27">
        <v>45334</v>
      </c>
      <c r="B3968" s="24" t="s">
        <v>184</v>
      </c>
      <c r="C3968" s="21">
        <f t="shared" si="66"/>
        <v>-263.63499999999999</v>
      </c>
      <c r="BC3968" s="74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27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27">
        <v>45334</v>
      </c>
      <c r="B3970" s="24" t="s">
        <v>184</v>
      </c>
      <c r="C3970" s="21">
        <f t="shared" si="66"/>
        <v>-229.07</v>
      </c>
      <c r="Z3970" s="79">
        <v>-16.175000000000001</v>
      </c>
      <c r="AN3970" s="74">
        <v>-17.675000000000001</v>
      </c>
      <c r="BO3970" s="74">
        <v>-32.284999999999997</v>
      </c>
      <c r="CA3970" s="106">
        <v>-66.8</v>
      </c>
      <c r="CG3970" s="106">
        <v>-16.43</v>
      </c>
      <c r="CM3970" s="74">
        <v>-16.225000000000001</v>
      </c>
      <c r="CY3970" s="74">
        <v>-32.270000000000003</v>
      </c>
      <c r="DE3970" s="74">
        <v>-31.21</v>
      </c>
    </row>
    <row r="3971" spans="1:226" x14ac:dyDescent="0.25">
      <c r="A3971" s="127">
        <v>45334</v>
      </c>
      <c r="B3971" s="24" t="s">
        <v>18</v>
      </c>
      <c r="C3971" s="21">
        <f t="shared" si="66"/>
        <v>-202.04</v>
      </c>
      <c r="BC3971" s="74">
        <v>-65.424999999999997</v>
      </c>
      <c r="BO3971" s="74">
        <v>-30.19</v>
      </c>
      <c r="CG3971" s="106">
        <v>-7.23</v>
      </c>
      <c r="DU3971" s="106">
        <v>-99.194999999999993</v>
      </c>
    </row>
    <row r="3972" spans="1:226" x14ac:dyDescent="0.25">
      <c r="A3972" s="127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27">
        <v>45334</v>
      </c>
      <c r="B3973" s="24" t="s">
        <v>151</v>
      </c>
      <c r="C3973" s="21">
        <f t="shared" si="66"/>
        <v>-41.23</v>
      </c>
      <c r="CG3973" s="106">
        <v>-8.1999999999999993</v>
      </c>
      <c r="DP3973" s="74">
        <v>-33.03</v>
      </c>
    </row>
    <row r="3974" spans="1:226" x14ac:dyDescent="0.25">
      <c r="A3974" s="127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74">
        <v>-8.07</v>
      </c>
      <c r="CG3974" s="106">
        <v>-33.075000000000003</v>
      </c>
      <c r="CY3974" s="74">
        <v>-31.004999999999999</v>
      </c>
    </row>
    <row r="3975" spans="1:226" x14ac:dyDescent="0.25">
      <c r="A3975" s="127">
        <v>45335</v>
      </c>
      <c r="B3975" s="24" t="s">
        <v>20</v>
      </c>
      <c r="C3975" s="21">
        <f t="shared" si="66"/>
        <v>-8.1549999999999994</v>
      </c>
      <c r="CA3975" s="106">
        <v>-8.1549999999999994</v>
      </c>
    </row>
    <row r="3976" spans="1:226" x14ac:dyDescent="0.25">
      <c r="A3976" s="127">
        <v>45335</v>
      </c>
      <c r="B3976" s="24" t="s">
        <v>169</v>
      </c>
      <c r="C3976" s="21">
        <f t="shared" si="66"/>
        <v>-14.635</v>
      </c>
      <c r="D3976" s="145">
        <v>-14.635</v>
      </c>
    </row>
    <row r="3977" spans="1:226" x14ac:dyDescent="0.25">
      <c r="A3977" s="127">
        <v>45335</v>
      </c>
      <c r="B3977" s="24" t="s">
        <v>139</v>
      </c>
      <c r="C3977" s="21">
        <f t="shared" si="66"/>
        <v>-24.87</v>
      </c>
      <c r="CA3977" s="106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27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27">
        <v>45335</v>
      </c>
      <c r="B3979" s="24" t="s">
        <v>79</v>
      </c>
      <c r="C3979" s="21">
        <f t="shared" si="66"/>
        <v>-24.774999999999999</v>
      </c>
      <c r="BO3979" s="74">
        <f>-8.075-8.055</f>
        <v>-16.13</v>
      </c>
      <c r="BU3979" s="106">
        <v>-8.6449999999999996</v>
      </c>
    </row>
    <row r="3980" spans="1:226" x14ac:dyDescent="0.25">
      <c r="A3980" s="127">
        <v>45335</v>
      </c>
      <c r="B3980" s="24" t="s">
        <v>17</v>
      </c>
      <c r="C3980" s="21">
        <f t="shared" si="66"/>
        <v>-16.864999999999998</v>
      </c>
      <c r="AC3980" s="74">
        <v>-8.7249999999999996</v>
      </c>
      <c r="DU3980" s="106">
        <v>-8.14</v>
      </c>
    </row>
    <row r="3981" spans="1:226" x14ac:dyDescent="0.25">
      <c r="A3981" s="127">
        <v>45335</v>
      </c>
      <c r="B3981" s="24" t="s">
        <v>19</v>
      </c>
      <c r="C3981" s="21">
        <f t="shared" si="66"/>
        <v>0</v>
      </c>
    </row>
    <row r="3982" spans="1:226" x14ac:dyDescent="0.25">
      <c r="A3982" s="127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27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27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74">
        <v>-40.049999999999997</v>
      </c>
      <c r="DP3984" s="74">
        <v>-33.020000000000003</v>
      </c>
      <c r="EA3984" s="74">
        <v>-32.26</v>
      </c>
    </row>
    <row r="3985" spans="1:221" x14ac:dyDescent="0.25">
      <c r="A3985" s="127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27">
        <v>45338</v>
      </c>
      <c r="B3986" s="24" t="s">
        <v>17</v>
      </c>
      <c r="C3986" s="21">
        <f t="shared" si="66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27">
        <v>45338</v>
      </c>
      <c r="B3987" s="24" t="s">
        <v>84</v>
      </c>
      <c r="C3987" s="21">
        <f t="shared" si="66"/>
        <v>-33.409999999999997</v>
      </c>
      <c r="AW3987" s="74">
        <v>-9</v>
      </c>
      <c r="BC3987" s="74">
        <v>-8.73</v>
      </c>
      <c r="BO3987" s="74">
        <v>-8.0749999999999993</v>
      </c>
      <c r="CA3987" s="106">
        <v>-7.6050000000000004</v>
      </c>
    </row>
    <row r="3988" spans="1:221" x14ac:dyDescent="0.25">
      <c r="A3988" s="127">
        <v>45338</v>
      </c>
      <c r="B3988" s="24" t="s">
        <v>139</v>
      </c>
      <c r="C3988" s="21">
        <f t="shared" si="66"/>
        <v>-23.17</v>
      </c>
      <c r="Z3988" s="79">
        <v>-8.02</v>
      </c>
      <c r="BO3988" s="74">
        <v>-8.06</v>
      </c>
      <c r="CM3988" s="74">
        <v>-7.09</v>
      </c>
    </row>
    <row r="3989" spans="1:221" x14ac:dyDescent="0.25">
      <c r="A3989" s="127">
        <v>45338</v>
      </c>
      <c r="B3989" s="24" t="s">
        <v>138</v>
      </c>
      <c r="C3989" s="21">
        <f t="shared" si="66"/>
        <v>-40.08</v>
      </c>
      <c r="T3989" s="42">
        <v>-7.82</v>
      </c>
      <c r="BO3989" s="74">
        <v>-8.09</v>
      </c>
      <c r="CG3989" s="106">
        <v>-7.95</v>
      </c>
      <c r="CM3989" s="74">
        <v>-16.22</v>
      </c>
    </row>
    <row r="3990" spans="1:221" x14ac:dyDescent="0.25">
      <c r="A3990" s="127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27">
        <v>45338</v>
      </c>
      <c r="B3991" s="24" t="s">
        <v>115</v>
      </c>
      <c r="C3991" s="21">
        <f t="shared" si="66"/>
        <v>67.069999999999993</v>
      </c>
      <c r="BL3991" s="115">
        <v>67.069999999999993</v>
      </c>
    </row>
    <row r="3992" spans="1:221" x14ac:dyDescent="0.25">
      <c r="A3992" s="127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27">
        <v>45342</v>
      </c>
      <c r="B3993" s="24" t="s">
        <v>138</v>
      </c>
      <c r="C3993" s="21">
        <f t="shared" si="66"/>
        <v>-33.65</v>
      </c>
      <c r="AR3993" s="74">
        <v>-9.06</v>
      </c>
      <c r="DE3993" s="74">
        <v>-24.59</v>
      </c>
    </row>
    <row r="3994" spans="1:221" x14ac:dyDescent="0.25">
      <c r="A3994" s="127">
        <v>45342</v>
      </c>
      <c r="B3994" s="24" t="s">
        <v>75</v>
      </c>
      <c r="C3994" s="21">
        <f t="shared" si="66"/>
        <v>-16.745000000000001</v>
      </c>
      <c r="CA3994" s="106">
        <v>-8.15</v>
      </c>
      <c r="CG3994" s="106">
        <v>-8.5950000000000006</v>
      </c>
    </row>
    <row r="3995" spans="1:221" x14ac:dyDescent="0.25">
      <c r="A3995" s="127">
        <v>45342</v>
      </c>
      <c r="B3995" s="24" t="s">
        <v>20</v>
      </c>
      <c r="C3995" s="21">
        <f t="shared" si="66"/>
        <v>-7.18</v>
      </c>
      <c r="CA3995" s="106">
        <v>-7.18</v>
      </c>
    </row>
    <row r="3996" spans="1:221" x14ac:dyDescent="0.25">
      <c r="A3996" s="127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106">
        <v>134.13999999999999</v>
      </c>
      <c r="BO3996" s="74">
        <v>131.26</v>
      </c>
      <c r="BU3996" s="106">
        <v>87.125</v>
      </c>
      <c r="CA3996" s="106">
        <v>123.625</v>
      </c>
      <c r="CG3996" s="106">
        <v>98.165000000000006</v>
      </c>
      <c r="CM3996" s="74">
        <v>170.04</v>
      </c>
      <c r="EA3996" s="74">
        <v>127.38</v>
      </c>
    </row>
    <row r="3997" spans="1:221" x14ac:dyDescent="0.25">
      <c r="A3997" s="127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106">
        <v>-8.5649999999999995</v>
      </c>
      <c r="BU3997" s="106">
        <f>-8.655-69.73</f>
        <v>-78.385000000000005</v>
      </c>
    </row>
    <row r="3998" spans="1:221" x14ac:dyDescent="0.25">
      <c r="A3998" s="127">
        <v>45342</v>
      </c>
      <c r="B3998" s="24" t="s">
        <v>17</v>
      </c>
      <c r="C3998" s="21">
        <f t="shared" si="66"/>
        <v>-74.36</v>
      </c>
      <c r="BI3998" s="106">
        <v>-8.0050000000000008</v>
      </c>
      <c r="BO3998" s="74">
        <v>-16.03</v>
      </c>
      <c r="BU3998" s="106">
        <v>-8.74</v>
      </c>
      <c r="CA3998" s="106">
        <v>-8.1750000000000007</v>
      </c>
      <c r="CM3998" s="74">
        <v>-8.5350000000000001</v>
      </c>
      <c r="CS3998" s="74">
        <v>-16.565000000000001</v>
      </c>
      <c r="CY3998" s="74">
        <v>-8.31</v>
      </c>
    </row>
    <row r="3999" spans="1:221" x14ac:dyDescent="0.25">
      <c r="A3999" s="127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27">
        <v>45343</v>
      </c>
      <c r="B4000" s="24" t="s">
        <v>59</v>
      </c>
      <c r="C4000" s="21">
        <f t="shared" si="66"/>
        <v>-14.49</v>
      </c>
      <c r="AC4000" s="74">
        <v>-1.7350000000000001</v>
      </c>
      <c r="BI4000" s="106">
        <v>-2.3650000000000002</v>
      </c>
      <c r="BO4000" s="74">
        <v>-2.75</v>
      </c>
      <c r="CM4000" s="74">
        <v>-1.7</v>
      </c>
      <c r="CS4000" s="74">
        <v>-1.8</v>
      </c>
      <c r="CY4000" s="74">
        <v>-4.1399999999999997</v>
      </c>
    </row>
    <row r="4001" spans="1:226" x14ac:dyDescent="0.25">
      <c r="A4001" s="127">
        <v>45344</v>
      </c>
      <c r="B4001" s="24" t="s">
        <v>17</v>
      </c>
      <c r="C4001" s="21">
        <f t="shared" si="66"/>
        <v>-199.595</v>
      </c>
      <c r="AN4001" s="74">
        <v>-8.67</v>
      </c>
      <c r="AR4001" s="74">
        <v>-9.0299999999999994</v>
      </c>
      <c r="AW4001" s="74">
        <v>-9.0050000000000008</v>
      </c>
      <c r="BC4001" s="74">
        <v>-16.420000000000002</v>
      </c>
      <c r="BI4001" s="106">
        <v>-24.535</v>
      </c>
      <c r="BO4001" s="74">
        <v>-24.055</v>
      </c>
      <c r="BS4001" s="42">
        <v>-26.11</v>
      </c>
      <c r="CA4001" s="106">
        <v>-16.114999999999998</v>
      </c>
      <c r="CG4001" s="106">
        <v>-23.664999999999999</v>
      </c>
      <c r="CM4001" s="74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27">
        <v>45344</v>
      </c>
      <c r="B4002" s="24" t="s">
        <v>184</v>
      </c>
      <c r="C4002" s="21">
        <f t="shared" si="66"/>
        <v>-32.305</v>
      </c>
      <c r="BO4002" s="74">
        <v>-15.86</v>
      </c>
      <c r="CS4002" s="74">
        <v>-16.445</v>
      </c>
    </row>
    <row r="4003" spans="1:226" x14ac:dyDescent="0.25">
      <c r="A4003" s="127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27">
        <v>45344</v>
      </c>
      <c r="B4004" s="24" t="s">
        <v>139</v>
      </c>
      <c r="C4004" s="21">
        <f t="shared" si="66"/>
        <v>-33.49</v>
      </c>
      <c r="BI4004" s="106">
        <v>-8.1950000000000003</v>
      </c>
      <c r="CA4004" s="106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27">
        <v>45344</v>
      </c>
      <c r="B4005" s="24" t="s">
        <v>48</v>
      </c>
      <c r="C4005" s="21">
        <f t="shared" si="66"/>
        <v>121.71</v>
      </c>
      <c r="BS4005" s="42">
        <f>34.1+34.52+8.7+8.69</f>
        <v>86.01</v>
      </c>
      <c r="DS4005" s="42">
        <v>35.700000000000003</v>
      </c>
    </row>
    <row r="4006" spans="1:226" x14ac:dyDescent="0.25">
      <c r="A4006" s="127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27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27">
        <v>45405</v>
      </c>
      <c r="B4008" s="24" t="s">
        <v>189</v>
      </c>
      <c r="C4008" s="21">
        <f t="shared" si="66"/>
        <v>-25.925000000000001</v>
      </c>
      <c r="BI4008" s="106">
        <f>-21.5-4.425</f>
        <v>-25.925000000000001</v>
      </c>
    </row>
    <row r="4009" spans="1:226" x14ac:dyDescent="0.25">
      <c r="A4009" s="127">
        <v>45405</v>
      </c>
      <c r="B4009" s="24" t="s">
        <v>75</v>
      </c>
      <c r="C4009" s="21">
        <f t="shared" si="66"/>
        <v>-16.78</v>
      </c>
      <c r="BO4009" s="74">
        <v>-16.78</v>
      </c>
    </row>
    <row r="4010" spans="1:226" x14ac:dyDescent="0.25">
      <c r="A4010" s="127">
        <v>45405</v>
      </c>
      <c r="B4010" s="24" t="s">
        <v>79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27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27">
        <v>45405</v>
      </c>
      <c r="B4012" s="24" t="s">
        <v>20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27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27">
        <v>45405</v>
      </c>
      <c r="B4014" s="24" t="s">
        <v>48</v>
      </c>
      <c r="C4014" s="21">
        <f t="shared" si="66"/>
        <v>-59.685000000000002</v>
      </c>
      <c r="BO4014" s="74">
        <v>-26.594999999999999</v>
      </c>
      <c r="CS4014" s="74">
        <v>-33.090000000000003</v>
      </c>
    </row>
    <row r="4015" spans="1:226" x14ac:dyDescent="0.25">
      <c r="A4015" s="127">
        <v>45405</v>
      </c>
      <c r="B4015" s="24" t="s">
        <v>167</v>
      </c>
      <c r="C4015" s="21">
        <f t="shared" si="66"/>
        <v>-23.91</v>
      </c>
      <c r="E4015" s="145">
        <v>-23.91</v>
      </c>
    </row>
    <row r="4016" spans="1:226" x14ac:dyDescent="0.25">
      <c r="A4016" s="127">
        <v>45405</v>
      </c>
      <c r="B4016" s="24" t="s">
        <v>184</v>
      </c>
      <c r="C4016" s="21">
        <f t="shared" si="66"/>
        <v>-114.495</v>
      </c>
      <c r="AW4016" s="74">
        <v>-16.684999999999999</v>
      </c>
      <c r="BC4016" s="74">
        <v>-16.364999999999998</v>
      </c>
      <c r="BI4016" s="106">
        <v>-24.725000000000001</v>
      </c>
      <c r="BO4016" s="74">
        <v>-15.96</v>
      </c>
      <c r="CA4016" s="106">
        <v>-7.55</v>
      </c>
      <c r="CM4016" s="74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27">
        <v>45405</v>
      </c>
      <c r="B4017" s="24" t="s">
        <v>183</v>
      </c>
      <c r="C4017" s="21">
        <f t="shared" ref="C4017:C4080" si="67">SUM(D4017:JT4017)</f>
        <v>-16.62</v>
      </c>
      <c r="CY4017" s="74">
        <v>-8.4499999999999993</v>
      </c>
      <c r="DE4017" s="74">
        <v>-8.17</v>
      </c>
    </row>
    <row r="4018" spans="1:214" x14ac:dyDescent="0.25">
      <c r="A4018" s="127">
        <v>45405</v>
      </c>
      <c r="B4018" s="24" t="s">
        <v>18</v>
      </c>
      <c r="C4018" s="21">
        <f t="shared" si="67"/>
        <v>-98.52</v>
      </c>
      <c r="BL4018" s="115">
        <v>-33.549999999999997</v>
      </c>
      <c r="BO4018" s="74">
        <v>-32.29</v>
      </c>
      <c r="CS4018" s="74">
        <v>-32.68</v>
      </c>
    </row>
    <row r="4019" spans="1:214" x14ac:dyDescent="0.25">
      <c r="A4019" s="127">
        <v>45349</v>
      </c>
      <c r="B4019" s="24" t="s">
        <v>25</v>
      </c>
      <c r="C4019" s="21">
        <f t="shared" si="67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27">
        <v>45349</v>
      </c>
      <c r="B4020" s="24" t="s">
        <v>188</v>
      </c>
      <c r="C4020" s="21">
        <f t="shared" si="67"/>
        <v>-24.76</v>
      </c>
      <c r="BO4020" s="74">
        <v>-8.15</v>
      </c>
      <c r="CA4020" s="106">
        <v>-8.0649999999999995</v>
      </c>
      <c r="CS4020" s="74">
        <v>-8.5449999999999999</v>
      </c>
    </row>
    <row r="4021" spans="1:214" x14ac:dyDescent="0.25">
      <c r="A4021" s="127">
        <v>45349</v>
      </c>
      <c r="B4021" s="24" t="s">
        <v>138</v>
      </c>
      <c r="C4021" s="21">
        <f t="shared" si="67"/>
        <v>-16.47</v>
      </c>
      <c r="BL4021" s="115">
        <v>-8.4</v>
      </c>
      <c r="BO4021" s="74">
        <v>-8.07</v>
      </c>
    </row>
    <row r="4022" spans="1:214" x14ac:dyDescent="0.25">
      <c r="A4022" s="127">
        <v>45349</v>
      </c>
      <c r="B4022" s="24" t="s">
        <v>75</v>
      </c>
      <c r="C4022" s="21">
        <f t="shared" si="67"/>
        <v>-24.375</v>
      </c>
      <c r="BI4022" s="106">
        <v>-7.92</v>
      </c>
      <c r="BL4022" s="115">
        <v>-8.3800000000000008</v>
      </c>
      <c r="BO4022" s="74">
        <v>-8.0749999999999993</v>
      </c>
    </row>
    <row r="4023" spans="1:214" x14ac:dyDescent="0.25">
      <c r="A4023" s="127">
        <v>45349</v>
      </c>
      <c r="B4023" s="24" t="s">
        <v>31</v>
      </c>
      <c r="C4023" s="21">
        <f t="shared" si="67"/>
        <v>-14.22</v>
      </c>
      <c r="AW4023" s="74">
        <v>-14.22</v>
      </c>
    </row>
    <row r="4024" spans="1:214" x14ac:dyDescent="0.25">
      <c r="A4024" s="127">
        <v>45349</v>
      </c>
      <c r="B4024" s="24" t="s">
        <v>29</v>
      </c>
      <c r="C4024" s="21">
        <f t="shared" si="67"/>
        <v>-60.07</v>
      </c>
      <c r="AG4024" s="106">
        <v>-8.17</v>
      </c>
      <c r="AN4024" s="74">
        <v>-8.85</v>
      </c>
      <c r="AR4024" s="74">
        <v>-9.06</v>
      </c>
      <c r="AW4024" s="74">
        <v>-8.89</v>
      </c>
      <c r="BC4024" s="74">
        <v>-7.7</v>
      </c>
      <c r="BI4024" s="106">
        <v>-9.33</v>
      </c>
      <c r="BO4024" s="74">
        <v>-8.07</v>
      </c>
    </row>
    <row r="4025" spans="1:214" x14ac:dyDescent="0.25">
      <c r="A4025" s="127">
        <v>45349</v>
      </c>
      <c r="B4025" s="24" t="s">
        <v>20</v>
      </c>
      <c r="C4025" s="21">
        <f t="shared" si="67"/>
        <v>-15.914999999999999</v>
      </c>
      <c r="BI4025" s="106">
        <v>-7.9950000000000001</v>
      </c>
      <c r="BO4025" s="74">
        <v>-7.92</v>
      </c>
    </row>
    <row r="4026" spans="1:214" x14ac:dyDescent="0.25">
      <c r="A4026" s="127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27">
        <v>45350</v>
      </c>
      <c r="B4027" s="24" t="s">
        <v>113</v>
      </c>
      <c r="C4027" s="21">
        <f t="shared" si="67"/>
        <v>1065.7349999999999</v>
      </c>
      <c r="AW4027" s="74">
        <v>92.355000000000004</v>
      </c>
      <c r="BI4027" s="106">
        <v>129.76</v>
      </c>
      <c r="BO4027" s="74">
        <v>102.32</v>
      </c>
      <c r="BU4027" s="106">
        <v>199.51499999999999</v>
      </c>
      <c r="CG4027" s="106">
        <v>96.724999999999994</v>
      </c>
      <c r="CM4027" s="74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27">
        <v>45350</v>
      </c>
      <c r="B4028" s="24" t="s">
        <v>18</v>
      </c>
      <c r="C4028" s="21">
        <f t="shared" si="67"/>
        <v>-1428.425</v>
      </c>
      <c r="AW4028" s="74">
        <v>-110.64</v>
      </c>
      <c r="BC4028" s="74">
        <v>-96.265000000000001</v>
      </c>
      <c r="BI4028" s="106">
        <v>-64.55</v>
      </c>
      <c r="BO4028" s="74">
        <v>-102.32</v>
      </c>
      <c r="BU4028" s="106">
        <v>-132.74</v>
      </c>
      <c r="CA4028" s="106">
        <v>-132.34</v>
      </c>
      <c r="CG4028" s="106">
        <v>-96.724999999999994</v>
      </c>
      <c r="CM4028" s="74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27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27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27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27">
        <v>45351</v>
      </c>
      <c r="B4032" s="24" t="s">
        <v>12</v>
      </c>
      <c r="C4032" s="21">
        <f t="shared" si="67"/>
        <v>0</v>
      </c>
    </row>
    <row r="4033" spans="1:180" x14ac:dyDescent="0.25">
      <c r="A4033" s="127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27">
        <v>45352</v>
      </c>
      <c r="B4034" s="24" t="s">
        <v>19</v>
      </c>
      <c r="C4034" s="21">
        <f t="shared" si="67"/>
        <v>-173.345</v>
      </c>
      <c r="AL4034" s="42">
        <f>-8.55-8.26</f>
        <v>-16.809999999999999</v>
      </c>
      <c r="AN4034" s="74">
        <f>-34.5-34.505-34.555-35.29-8.845-8.84</f>
        <v>-156.535</v>
      </c>
    </row>
    <row r="4035" spans="1:180" x14ac:dyDescent="0.25">
      <c r="A4035" s="127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27">
        <v>45352</v>
      </c>
      <c r="B4036" s="24" t="s">
        <v>184</v>
      </c>
      <c r="C4036" s="21">
        <f t="shared" si="67"/>
        <v>-66.775000000000006</v>
      </c>
      <c r="BU4036" s="106">
        <v>-66.775000000000006</v>
      </c>
    </row>
    <row r="4037" spans="1:180" x14ac:dyDescent="0.25">
      <c r="A4037" s="127">
        <v>45352</v>
      </c>
      <c r="B4037" s="24" t="s">
        <v>75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27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27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27">
        <v>45352</v>
      </c>
      <c r="B4040" s="24" t="s">
        <v>127</v>
      </c>
      <c r="C4040" s="21">
        <f t="shared" si="67"/>
        <v>-25.184999999999999</v>
      </c>
      <c r="AW4040" s="74">
        <v>-9.06</v>
      </c>
      <c r="BO4040" s="74">
        <v>-16.125</v>
      </c>
    </row>
    <row r="4041" spans="1:180" x14ac:dyDescent="0.25">
      <c r="A4041" s="127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27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27">
        <v>45352</v>
      </c>
      <c r="B4043" s="24" t="s">
        <v>19</v>
      </c>
      <c r="C4043" s="21">
        <f t="shared" si="67"/>
        <v>113.47</v>
      </c>
      <c r="BJ4043" s="121">
        <v>14.65</v>
      </c>
      <c r="BQ4043" s="126">
        <v>18.07</v>
      </c>
      <c r="BV4043" s="121">
        <v>14.9</v>
      </c>
      <c r="CC4043" s="126">
        <v>15.57</v>
      </c>
      <c r="CH4043" s="121">
        <v>16.43</v>
      </c>
      <c r="CN4043" s="121">
        <v>15.98</v>
      </c>
      <c r="CT4043" s="121">
        <v>17.87</v>
      </c>
    </row>
    <row r="4044" spans="1:180" x14ac:dyDescent="0.25">
      <c r="A4044" s="127">
        <v>45355</v>
      </c>
      <c r="B4044" s="24" t="s">
        <v>32</v>
      </c>
      <c r="C4044" s="21">
        <f t="shared" si="67"/>
        <v>-34.765000000000001</v>
      </c>
      <c r="AR4044" s="74">
        <v>-17.04</v>
      </c>
      <c r="CS4044" s="74">
        <v>-17.725000000000001</v>
      </c>
    </row>
    <row r="4045" spans="1:180" x14ac:dyDescent="0.25">
      <c r="A4045" s="127">
        <v>45355</v>
      </c>
      <c r="B4045" s="24" t="s">
        <v>184</v>
      </c>
      <c r="C4045" s="21">
        <f t="shared" si="67"/>
        <v>-31.82</v>
      </c>
      <c r="BC4045" s="74">
        <v>-8.15</v>
      </c>
      <c r="BO4045" s="74">
        <v>-8.07</v>
      </c>
      <c r="BS4045" s="42">
        <v>-8.2899999999999991</v>
      </c>
      <c r="BV4045" s="121">
        <v>-7.31</v>
      </c>
    </row>
    <row r="4046" spans="1:180" x14ac:dyDescent="0.25">
      <c r="A4046" s="127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27">
        <v>45355</v>
      </c>
      <c r="B4047" s="24" t="s">
        <v>183</v>
      </c>
      <c r="C4047" s="21">
        <f t="shared" si="67"/>
        <v>-17.350000000000001</v>
      </c>
      <c r="CY4047" s="74">
        <v>-8.4600000000000009</v>
      </c>
      <c r="DK4047" s="74">
        <v>-8.89</v>
      </c>
    </row>
    <row r="4048" spans="1:180" x14ac:dyDescent="0.25">
      <c r="A4048" s="127">
        <v>45356</v>
      </c>
      <c r="B4048" s="24" t="s">
        <v>138</v>
      </c>
      <c r="C4048" s="21">
        <f t="shared" si="67"/>
        <v>-24.3</v>
      </c>
      <c r="BA4048" s="42">
        <v>-17.84</v>
      </c>
      <c r="CA4048" s="106">
        <v>-6.46</v>
      </c>
    </row>
    <row r="4049" spans="1:221" x14ac:dyDescent="0.25">
      <c r="A4049" s="127">
        <v>45356</v>
      </c>
      <c r="B4049" s="24" t="s">
        <v>139</v>
      </c>
      <c r="C4049" s="21">
        <f t="shared" si="67"/>
        <v>-57.4</v>
      </c>
      <c r="BS4049" s="42">
        <v>-8.2100000000000009</v>
      </c>
      <c r="CA4049" s="106">
        <v>-6.48</v>
      </c>
      <c r="CG4049" s="106">
        <v>-8.31</v>
      </c>
      <c r="CM4049" s="74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27">
        <v>45356</v>
      </c>
      <c r="B4050" s="24" t="s">
        <v>20</v>
      </c>
      <c r="C4050" s="21">
        <f t="shared" si="67"/>
        <v>-54.96</v>
      </c>
      <c r="BL4050" s="115">
        <v>-8.3699999999999992</v>
      </c>
      <c r="CA4050" s="106">
        <v>-6.44</v>
      </c>
      <c r="CG4050" s="106">
        <v>-8.2149999999999999</v>
      </c>
      <c r="GZ4050" s="106">
        <v>-31.934999999999999</v>
      </c>
    </row>
    <row r="4051" spans="1:221" x14ac:dyDescent="0.25">
      <c r="A4051" s="127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106">
        <v>66.66</v>
      </c>
      <c r="CA4051" s="106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27">
        <v>45357</v>
      </c>
      <c r="B4052" s="24" t="s">
        <v>151</v>
      </c>
      <c r="C4052" s="21">
        <f t="shared" si="67"/>
        <v>-6.58</v>
      </c>
      <c r="BI4052" s="106">
        <v>-6.58</v>
      </c>
    </row>
    <row r="4053" spans="1:221" x14ac:dyDescent="0.25">
      <c r="A4053" s="127">
        <v>45357</v>
      </c>
      <c r="B4053" s="24" t="s">
        <v>133</v>
      </c>
      <c r="C4053" s="21">
        <f t="shared" si="67"/>
        <v>-115.25</v>
      </c>
      <c r="BI4053" s="106">
        <v>-31.74</v>
      </c>
      <c r="BU4053" s="106">
        <v>-16.675000000000001</v>
      </c>
      <c r="CA4053" s="106">
        <v>-33.484999999999999</v>
      </c>
      <c r="CY4053" s="74">
        <v>-33.35</v>
      </c>
    </row>
    <row r="4054" spans="1:221" x14ac:dyDescent="0.25">
      <c r="A4054" s="127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27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27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27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27">
        <v>45359</v>
      </c>
      <c r="B4058" s="24" t="s">
        <v>138</v>
      </c>
      <c r="C4058" s="21">
        <f t="shared" si="67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106">
        <v>-8.3149999999999995</v>
      </c>
      <c r="CA4058" s="106">
        <v>-8.3049999999999997</v>
      </c>
      <c r="CG4058" s="106">
        <v>-8.4700000000000006</v>
      </c>
    </row>
    <row r="4059" spans="1:221" x14ac:dyDescent="0.25">
      <c r="A4059" s="127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106">
        <v>-8.3450000000000006</v>
      </c>
    </row>
    <row r="4060" spans="1:221" x14ac:dyDescent="0.25">
      <c r="A4060" s="127">
        <v>45359</v>
      </c>
      <c r="B4060" s="24" t="s">
        <v>48</v>
      </c>
      <c r="C4060" s="21">
        <f t="shared" si="67"/>
        <v>0</v>
      </c>
    </row>
    <row r="4061" spans="1:221" x14ac:dyDescent="0.25">
      <c r="A4061" s="127">
        <v>45359</v>
      </c>
      <c r="B4061" s="24" t="s">
        <v>188</v>
      </c>
      <c r="C4061" s="21">
        <f t="shared" si="67"/>
        <v>-22.05</v>
      </c>
      <c r="BU4061" s="106">
        <v>-8.3450000000000006</v>
      </c>
      <c r="CA4061" s="106">
        <v>-6.36</v>
      </c>
      <c r="CM4061" s="74">
        <v>-7.3449999999999998</v>
      </c>
    </row>
    <row r="4062" spans="1:221" x14ac:dyDescent="0.25">
      <c r="A4062" s="127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27">
        <v>45359</v>
      </c>
      <c r="B4063" s="24" t="s">
        <v>184</v>
      </c>
      <c r="C4063" s="21">
        <f t="shared" si="67"/>
        <v>-66.900000000000006</v>
      </c>
      <c r="BC4063" s="74">
        <v>-8.7349999999999994</v>
      </c>
      <c r="BI4063" s="106">
        <v>-8.9350000000000005</v>
      </c>
      <c r="BY4063" s="42">
        <v>-16.899999999999999</v>
      </c>
      <c r="EA4063" s="74">
        <v>-32.33</v>
      </c>
    </row>
    <row r="4064" spans="1:221" x14ac:dyDescent="0.25">
      <c r="A4064" s="127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27">
        <v>45359</v>
      </c>
      <c r="B4065" s="24" t="s">
        <v>152</v>
      </c>
      <c r="C4065" s="21">
        <f t="shared" si="67"/>
        <v>-261.495</v>
      </c>
      <c r="AW4065" s="74">
        <v>-65.825000000000003</v>
      </c>
      <c r="CA4065" s="106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27">
        <v>45362</v>
      </c>
      <c r="B4066" s="24" t="s">
        <v>19</v>
      </c>
      <c r="C4066" s="21">
        <f t="shared" si="67"/>
        <v>0</v>
      </c>
    </row>
    <row r="4067" spans="1:224" x14ac:dyDescent="0.25">
      <c r="A4067" s="127">
        <v>45362</v>
      </c>
      <c r="B4067" s="24" t="s">
        <v>133</v>
      </c>
      <c r="C4067" s="21">
        <f t="shared" si="67"/>
        <v>-96.98</v>
      </c>
      <c r="DE4067" s="74">
        <v>-34.204999999999998</v>
      </c>
      <c r="DK4067" s="74">
        <v>-62.774999999999999</v>
      </c>
    </row>
    <row r="4068" spans="1:224" x14ac:dyDescent="0.25">
      <c r="A4068" s="127">
        <v>45363</v>
      </c>
      <c r="B4068" s="24" t="s">
        <v>17</v>
      </c>
      <c r="C4068" s="21">
        <f t="shared" si="67"/>
        <v>-17.68</v>
      </c>
      <c r="AW4068" s="74">
        <v>-9.3450000000000006</v>
      </c>
      <c r="BU4068" s="106">
        <v>-8.3350000000000009</v>
      </c>
    </row>
    <row r="4069" spans="1:224" x14ac:dyDescent="0.25">
      <c r="A4069" s="127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27">
        <v>45364</v>
      </c>
      <c r="B4070" s="24" t="s">
        <v>133</v>
      </c>
      <c r="C4070" s="21">
        <f t="shared" si="67"/>
        <v>-101.325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27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27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74">
        <v>-8.5050000000000008</v>
      </c>
    </row>
    <row r="4073" spans="1:224" x14ac:dyDescent="0.25">
      <c r="A4073" s="127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27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27">
        <v>45365</v>
      </c>
      <c r="B4075" s="24" t="s">
        <v>113</v>
      </c>
      <c r="C4075" s="21">
        <f t="shared" si="67"/>
        <v>521.22500000000002</v>
      </c>
      <c r="BI4075" s="106">
        <v>35.155000000000001</v>
      </c>
      <c r="BO4075" s="74">
        <v>33.284999999999997</v>
      </c>
      <c r="BU4075" s="106">
        <v>32.4</v>
      </c>
      <c r="CG4075" s="106">
        <v>100.625</v>
      </c>
      <c r="CM4075" s="74">
        <v>101.995</v>
      </c>
      <c r="DU4075" s="106">
        <v>115.41</v>
      </c>
      <c r="EA4075" s="74">
        <v>102.355</v>
      </c>
    </row>
    <row r="4076" spans="1:224" x14ac:dyDescent="0.25">
      <c r="A4076" s="127">
        <v>45365</v>
      </c>
      <c r="B4076" s="24" t="s">
        <v>184</v>
      </c>
      <c r="C4076" s="21">
        <f t="shared" si="67"/>
        <v>-693.03499999999997</v>
      </c>
      <c r="CG4076" s="106">
        <v>-66.739999999999995</v>
      </c>
      <c r="CM4076" s="74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27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27">
        <v>45366</v>
      </c>
      <c r="B4078" s="24" t="s">
        <v>48</v>
      </c>
      <c r="C4078" s="21">
        <f t="shared" si="67"/>
        <v>-14.57</v>
      </c>
      <c r="BC4078" s="74">
        <v>-14.57</v>
      </c>
    </row>
    <row r="4079" spans="1:224" x14ac:dyDescent="0.25">
      <c r="A4079" s="127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27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27">
        <v>45366</v>
      </c>
      <c r="B4081" s="24" t="s">
        <v>20</v>
      </c>
      <c r="C4081" s="21">
        <f t="shared" ref="C4081:C4144" si="68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27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74">
        <v>-8.6199999999999992</v>
      </c>
    </row>
    <row r="4083" spans="1:231" x14ac:dyDescent="0.25">
      <c r="A4083" s="127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27">
        <v>45369</v>
      </c>
      <c r="B4084" s="24" t="s">
        <v>17</v>
      </c>
      <c r="C4084" s="21">
        <f t="shared" si="68"/>
        <v>-16.305</v>
      </c>
      <c r="BI4084" s="106">
        <v>-7.92</v>
      </c>
      <c r="BO4084" s="74">
        <v>-8.3849999999999998</v>
      </c>
    </row>
    <row r="4085" spans="1:231" x14ac:dyDescent="0.25">
      <c r="A4085" s="127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27">
        <v>45370</v>
      </c>
      <c r="B4086" s="24" t="s">
        <v>75</v>
      </c>
      <c r="C4086" s="21">
        <f t="shared" si="68"/>
        <v>-17.484999999999999</v>
      </c>
      <c r="AR4086" s="74">
        <v>-8.8699999999999992</v>
      </c>
      <c r="BI4086" s="106">
        <v>-8.6150000000000002</v>
      </c>
    </row>
    <row r="4087" spans="1:231" x14ac:dyDescent="0.25">
      <c r="A4087" s="127">
        <v>45370</v>
      </c>
      <c r="B4087" s="24" t="s">
        <v>20</v>
      </c>
      <c r="C4087" s="21">
        <f t="shared" si="68"/>
        <v>-15.3</v>
      </c>
      <c r="BC4087" s="74">
        <v>-7.3</v>
      </c>
      <c r="BI4087" s="106">
        <v>-8</v>
      </c>
    </row>
    <row r="4088" spans="1:231" x14ac:dyDescent="0.25">
      <c r="A4088" s="127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27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27">
        <v>45371</v>
      </c>
      <c r="B4090" s="24" t="s">
        <v>167</v>
      </c>
      <c r="C4090" s="21">
        <f t="shared" si="68"/>
        <v>-40.82</v>
      </c>
      <c r="D4090" s="145">
        <v>-8.8000000000000007</v>
      </c>
      <c r="E4090" s="145">
        <v>-32.020000000000003</v>
      </c>
    </row>
    <row r="4091" spans="1:231" x14ac:dyDescent="0.25">
      <c r="A4091" s="127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27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106">
        <v>-17.600000000000001</v>
      </c>
      <c r="BO4092" s="74">
        <v>-16.66</v>
      </c>
      <c r="BU4092" s="106">
        <v>-16.645</v>
      </c>
      <c r="CC4092" s="126">
        <v>-7.56</v>
      </c>
      <c r="CG4092" s="106">
        <v>-8.24</v>
      </c>
    </row>
    <row r="4093" spans="1:231" x14ac:dyDescent="0.25">
      <c r="A4093" s="127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27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27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27">
        <v>45373</v>
      </c>
      <c r="B4096" s="24" t="s">
        <v>27</v>
      </c>
      <c r="C4096" s="21">
        <f t="shared" si="68"/>
        <v>-25.05</v>
      </c>
      <c r="AN4096" s="74">
        <v>-8.64</v>
      </c>
      <c r="BC4096" s="74">
        <v>-8.2850000000000001</v>
      </c>
      <c r="BU4096" s="106">
        <v>-8.125</v>
      </c>
    </row>
    <row r="4097" spans="1:235" x14ac:dyDescent="0.25">
      <c r="A4097" s="127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27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106">
        <v>132.745</v>
      </c>
      <c r="CY4098" s="74">
        <v>96.82</v>
      </c>
      <c r="DE4098" s="74">
        <v>102.31</v>
      </c>
      <c r="DP4098" s="74">
        <v>114.955</v>
      </c>
      <c r="GO4098" s="110">
        <v>86.834999999999994</v>
      </c>
      <c r="GQ4098" s="92">
        <v>96.66</v>
      </c>
      <c r="GW4098" s="92">
        <v>96.864999999999995</v>
      </c>
    </row>
    <row r="4099" spans="1:235" x14ac:dyDescent="0.25">
      <c r="A4099" s="127">
        <v>45374</v>
      </c>
      <c r="B4099" s="24" t="s">
        <v>113</v>
      </c>
      <c r="C4099" s="21">
        <f t="shared" si="68"/>
        <v>192.27500000000001</v>
      </c>
      <c r="BI4099" s="106">
        <v>64.510000000000005</v>
      </c>
      <c r="BO4099" s="74">
        <v>62.42</v>
      </c>
      <c r="CA4099" s="106">
        <v>65.344999999999999</v>
      </c>
    </row>
    <row r="4100" spans="1:235" x14ac:dyDescent="0.25">
      <c r="A4100" s="127">
        <v>45374</v>
      </c>
      <c r="B4100" s="24" t="s">
        <v>113</v>
      </c>
      <c r="C4100" s="21">
        <f t="shared" si="68"/>
        <v>939.16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0">
        <v>72.454999999999998</v>
      </c>
      <c r="GZ4100" s="106">
        <v>126.985</v>
      </c>
    </row>
    <row r="4101" spans="1:235" x14ac:dyDescent="0.25">
      <c r="A4101" s="127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27">
        <v>45376</v>
      </c>
      <c r="B4102" s="24" t="s">
        <v>180</v>
      </c>
      <c r="C4102" s="21">
        <f t="shared" si="68"/>
        <v>-57.9</v>
      </c>
      <c r="GO4102" s="110">
        <v>-57.9</v>
      </c>
    </row>
    <row r="4103" spans="1:235" x14ac:dyDescent="0.25">
      <c r="A4103" s="127">
        <v>45377</v>
      </c>
      <c r="B4103" s="24" t="s">
        <v>75</v>
      </c>
      <c r="C4103" s="21">
        <f t="shared" si="68"/>
        <v>-50.475000000000001</v>
      </c>
      <c r="AN4103" s="74">
        <v>-8.66</v>
      </c>
      <c r="BC4103" s="74">
        <v>-8.2850000000000001</v>
      </c>
      <c r="BO4103" s="74">
        <v>-16.829999999999998</v>
      </c>
      <c r="CA4103" s="106">
        <v>-8.15</v>
      </c>
      <c r="CM4103" s="74">
        <v>-8.5500000000000007</v>
      </c>
    </row>
    <row r="4104" spans="1:235" x14ac:dyDescent="0.25">
      <c r="A4104" s="127">
        <v>45377</v>
      </c>
      <c r="B4104" s="24" t="s">
        <v>79</v>
      </c>
      <c r="C4104" s="21">
        <f t="shared" si="68"/>
        <v>-8.75</v>
      </c>
      <c r="BI4104" s="106">
        <v>-8.75</v>
      </c>
    </row>
    <row r="4105" spans="1:235" x14ac:dyDescent="0.25">
      <c r="A4105" s="127">
        <v>45377</v>
      </c>
      <c r="B4105" s="24" t="s">
        <v>31</v>
      </c>
      <c r="C4105" s="21">
        <f t="shared" si="68"/>
        <v>-129.155</v>
      </c>
      <c r="GO4105" s="110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27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27">
        <v>45377</v>
      </c>
      <c r="B4107" s="24" t="s">
        <v>138</v>
      </c>
      <c r="C4107" s="21">
        <f t="shared" si="68"/>
        <v>-33.155000000000001</v>
      </c>
      <c r="BI4107" s="106">
        <v>-16.5</v>
      </c>
      <c r="BU4107" s="106">
        <v>-16.655000000000001</v>
      </c>
    </row>
    <row r="4108" spans="1:235" x14ac:dyDescent="0.25">
      <c r="A4108" s="127">
        <v>45377</v>
      </c>
      <c r="B4108" s="24" t="s">
        <v>27</v>
      </c>
      <c r="C4108" s="21">
        <f t="shared" si="68"/>
        <v>-7.8</v>
      </c>
      <c r="BI4108" s="106">
        <v>-7.8</v>
      </c>
    </row>
    <row r="4109" spans="1:235" x14ac:dyDescent="0.25">
      <c r="A4109" s="127">
        <v>45377</v>
      </c>
      <c r="B4109" s="24" t="s">
        <v>20</v>
      </c>
      <c r="C4109" s="21">
        <f t="shared" si="68"/>
        <v>-16.245000000000001</v>
      </c>
      <c r="BU4109" s="106">
        <v>-8.0549999999999997</v>
      </c>
      <c r="CA4109" s="106">
        <v>-8.19</v>
      </c>
    </row>
    <row r="4110" spans="1:235" x14ac:dyDescent="0.25">
      <c r="A4110" s="127">
        <v>45377</v>
      </c>
      <c r="B4110" s="24" t="s">
        <v>184</v>
      </c>
      <c r="C4110" s="21">
        <f t="shared" si="68"/>
        <v>-116.61499999999999</v>
      </c>
      <c r="BC4110" s="74">
        <v>-6.69</v>
      </c>
      <c r="BI4110" s="106">
        <v>-26.395</v>
      </c>
      <c r="BU4110" s="106">
        <v>-16.22</v>
      </c>
      <c r="CA4110" s="106">
        <v>-16.34</v>
      </c>
      <c r="CS4110" s="74">
        <v>-25.065000000000001</v>
      </c>
      <c r="CY4110" s="74">
        <v>-25.905000000000001</v>
      </c>
    </row>
    <row r="4111" spans="1:235" x14ac:dyDescent="0.25">
      <c r="A4111" s="127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27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27">
        <v>45378</v>
      </c>
      <c r="B4113" s="24" t="s">
        <v>152</v>
      </c>
      <c r="C4113" s="21">
        <f t="shared" si="68"/>
        <v>-101.11</v>
      </c>
      <c r="CG4113" s="106">
        <v>-33.884999999999998</v>
      </c>
      <c r="CY4113" s="74">
        <v>-67.224999999999994</v>
      </c>
    </row>
    <row r="4114" spans="1:231" x14ac:dyDescent="0.25">
      <c r="A4114" s="127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106">
        <v>-1.55</v>
      </c>
      <c r="CM4114" s="74">
        <v>-2.12</v>
      </c>
      <c r="CS4114" s="74">
        <v>-5.96</v>
      </c>
    </row>
    <row r="4115" spans="1:231" x14ac:dyDescent="0.25">
      <c r="A4115" s="127">
        <v>45379</v>
      </c>
      <c r="B4115" s="24" t="s">
        <v>190</v>
      </c>
      <c r="C4115" s="21">
        <f t="shared" si="68"/>
        <v>-96.405000000000001</v>
      </c>
      <c r="BC4115" s="74">
        <v>-8.3149999999999995</v>
      </c>
      <c r="BI4115" s="106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27">
        <v>45379</v>
      </c>
      <c r="B4116" s="24" t="s">
        <v>183</v>
      </c>
      <c r="C4116" s="21">
        <f t="shared" si="68"/>
        <v>-15.35</v>
      </c>
      <c r="CS4116" s="74">
        <v>-8.4</v>
      </c>
      <c r="DE4116" s="74">
        <v>-6.95</v>
      </c>
    </row>
    <row r="4117" spans="1:231" x14ac:dyDescent="0.25">
      <c r="A4117" s="127">
        <v>45379</v>
      </c>
      <c r="B4117" s="24" t="s">
        <v>184</v>
      </c>
      <c r="C4117" s="21">
        <f t="shared" si="68"/>
        <v>-198.45500000000001</v>
      </c>
      <c r="BI4117" s="106">
        <v>-7.23</v>
      </c>
      <c r="BO4117" s="74">
        <v>-8.2550000000000008</v>
      </c>
      <c r="BU4117" s="106">
        <v>-8.34</v>
      </c>
      <c r="CA4117" s="106">
        <v>-8.15</v>
      </c>
      <c r="CM4117" s="74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27">
        <v>45380</v>
      </c>
      <c r="B4118" s="24" t="s">
        <v>184</v>
      </c>
      <c r="C4118" s="21">
        <f t="shared" si="68"/>
        <v>-167.77500000000001</v>
      </c>
      <c r="BO4118" s="74">
        <v>-17.149999999999999</v>
      </c>
      <c r="BU4118" s="106">
        <v>-16.684999999999999</v>
      </c>
      <c r="CA4118" s="106">
        <v>-16.324999999999999</v>
      </c>
      <c r="CG4118" s="106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27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74">
        <v>-15.115</v>
      </c>
      <c r="BU4119" s="106">
        <v>-16.715</v>
      </c>
      <c r="CA4119" s="106">
        <v>-8.19</v>
      </c>
      <c r="CG4119" s="106">
        <v>-7.98</v>
      </c>
    </row>
    <row r="4120" spans="1:231" x14ac:dyDescent="0.25">
      <c r="A4120" s="127">
        <v>45380</v>
      </c>
      <c r="B4120" s="24" t="s">
        <v>48</v>
      </c>
      <c r="C4120" s="21">
        <f t="shared" si="68"/>
        <v>10.87</v>
      </c>
      <c r="BU4120" s="106">
        <v>-16.7</v>
      </c>
      <c r="DE4120" s="74">
        <v>-8.2799999999999994</v>
      </c>
      <c r="DS4120" s="42">
        <v>35.85</v>
      </c>
    </row>
    <row r="4121" spans="1:231" x14ac:dyDescent="0.25">
      <c r="A4121" s="127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106">
        <v>-24.355</v>
      </c>
      <c r="GQ4121" s="92">
        <v>-101.155</v>
      </c>
    </row>
    <row r="4122" spans="1:231" x14ac:dyDescent="0.25">
      <c r="A4122" s="127">
        <v>45380</v>
      </c>
      <c r="B4122" s="24" t="s">
        <v>151</v>
      </c>
      <c r="C4122" s="21">
        <f t="shared" si="68"/>
        <v>-24.12</v>
      </c>
      <c r="DK4122" s="74">
        <v>-16.125</v>
      </c>
      <c r="DP4122" s="74">
        <v>-7.9950000000000001</v>
      </c>
    </row>
    <row r="4123" spans="1:231" x14ac:dyDescent="0.25">
      <c r="A4123" s="127">
        <v>45380</v>
      </c>
      <c r="B4123" s="24" t="s">
        <v>25</v>
      </c>
      <c r="C4123" s="21">
        <f t="shared" si="68"/>
        <v>-17.59</v>
      </c>
      <c r="CS4123" s="74">
        <v>-8.39</v>
      </c>
      <c r="CT4123" s="121">
        <v>-9.1999999999999993</v>
      </c>
    </row>
    <row r="4124" spans="1:231" x14ac:dyDescent="0.25">
      <c r="A4124" s="127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27">
        <v>45380</v>
      </c>
      <c r="B4125" s="24" t="s">
        <v>147</v>
      </c>
      <c r="C4125" s="21">
        <f t="shared" si="68"/>
        <v>-24.925000000000001</v>
      </c>
      <c r="BO4125" s="74">
        <v>-8.06</v>
      </c>
      <c r="BU4125" s="106">
        <v>-8.33</v>
      </c>
      <c r="CM4125" s="74">
        <v>-8.5350000000000001</v>
      </c>
    </row>
    <row r="4126" spans="1:231" x14ac:dyDescent="0.25">
      <c r="A4126" s="127">
        <v>45383</v>
      </c>
      <c r="B4126" s="24" t="s">
        <v>183</v>
      </c>
      <c r="C4126" s="21">
        <f t="shared" si="68"/>
        <v>-8.67</v>
      </c>
      <c r="CT4126" s="121">
        <v>-8.67</v>
      </c>
    </row>
    <row r="4127" spans="1:231" x14ac:dyDescent="0.25">
      <c r="A4127" s="127">
        <v>45383</v>
      </c>
      <c r="B4127" s="24" t="s">
        <v>139</v>
      </c>
      <c r="C4127" s="21">
        <f t="shared" si="68"/>
        <v>-16.074999999999999</v>
      </c>
      <c r="CY4127" s="74">
        <f>-8.04-8.035</f>
        <v>-16.074999999999999</v>
      </c>
    </row>
    <row r="4128" spans="1:231" x14ac:dyDescent="0.25">
      <c r="A4128" s="127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74">
        <v>-8.0549999999999997</v>
      </c>
    </row>
    <row r="4129" spans="1:131" x14ac:dyDescent="0.25">
      <c r="A4129" s="127">
        <v>45383</v>
      </c>
      <c r="B4129" s="24" t="s">
        <v>59</v>
      </c>
      <c r="C4129" s="21">
        <f t="shared" si="68"/>
        <v>-21.475000000000001</v>
      </c>
      <c r="CM4129" s="74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27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27">
        <v>45383</v>
      </c>
      <c r="B4131" s="24" t="s">
        <v>83</v>
      </c>
      <c r="C4131" s="21">
        <f t="shared" si="68"/>
        <v>0</v>
      </c>
    </row>
    <row r="4132" spans="1:131" x14ac:dyDescent="0.25">
      <c r="A4132" s="127">
        <v>45385</v>
      </c>
      <c r="B4132" s="24" t="s">
        <v>17</v>
      </c>
      <c r="C4132" s="21">
        <f t="shared" si="68"/>
        <v>-20.53</v>
      </c>
      <c r="BO4132" s="74">
        <v>-5.24</v>
      </c>
      <c r="DK4132" s="74">
        <v>-7.96</v>
      </c>
      <c r="DP4132" s="74">
        <v>-7.33</v>
      </c>
    </row>
    <row r="4133" spans="1:131" x14ac:dyDescent="0.25">
      <c r="A4133" s="127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27">
        <v>45385</v>
      </c>
      <c r="B4134" s="24" t="s">
        <v>147</v>
      </c>
      <c r="C4134" s="21">
        <f t="shared" si="68"/>
        <v>-8.33</v>
      </c>
      <c r="BU4134" s="106">
        <v>-8.33</v>
      </c>
    </row>
    <row r="4135" spans="1:131" x14ac:dyDescent="0.25">
      <c r="A4135" s="127">
        <v>45387</v>
      </c>
      <c r="B4135" s="24" t="s">
        <v>113</v>
      </c>
      <c r="C4135" s="21">
        <f t="shared" si="68"/>
        <v>848.77</v>
      </c>
      <c r="BC4135" s="74">
        <v>60.64</v>
      </c>
      <c r="BI4135" s="106">
        <v>91.58</v>
      </c>
      <c r="BO4135" s="74">
        <v>99.72</v>
      </c>
      <c r="CA4135" s="106">
        <v>97.754999999999995</v>
      </c>
      <c r="CG4135" s="106">
        <v>99.43</v>
      </c>
      <c r="CM4135" s="74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27">
        <v>45387</v>
      </c>
      <c r="B4136" s="24" t="s">
        <v>184</v>
      </c>
      <c r="C4136" s="21">
        <f t="shared" si="68"/>
        <v>-164.76499999999999</v>
      </c>
      <c r="AW4136" s="74">
        <v>-17.47</v>
      </c>
      <c r="BC4136" s="74">
        <v>-17.34</v>
      </c>
      <c r="BI4136" s="106">
        <v>-15.37</v>
      </c>
      <c r="BO4136" s="74">
        <v>-16.36</v>
      </c>
      <c r="BU4136" s="106">
        <v>-14.12</v>
      </c>
      <c r="CA4136" s="106">
        <v>-16.3</v>
      </c>
      <c r="CG4136" s="106">
        <v>-16.61</v>
      </c>
      <c r="CM4136" s="74">
        <v>-25.655000000000001</v>
      </c>
      <c r="CS4136" s="74">
        <v>-25.54</v>
      </c>
    </row>
    <row r="4137" spans="1:131" x14ac:dyDescent="0.25">
      <c r="A4137" s="127">
        <v>45387</v>
      </c>
      <c r="B4137" s="24" t="s">
        <v>184</v>
      </c>
      <c r="C4137" s="21">
        <f t="shared" si="68"/>
        <v>-133.08000000000001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106">
        <v>-15.21</v>
      </c>
      <c r="BO4137" s="74">
        <v>-16.385000000000002</v>
      </c>
      <c r="CM4137" s="74">
        <v>-16.940000000000001</v>
      </c>
      <c r="CS4137" s="74">
        <v>-33.21</v>
      </c>
    </row>
    <row r="4138" spans="1:131" x14ac:dyDescent="0.25">
      <c r="A4138" s="127">
        <v>45387</v>
      </c>
      <c r="B4138" s="24" t="s">
        <v>17</v>
      </c>
      <c r="C4138" s="21">
        <f t="shared" si="68"/>
        <v>-24.65</v>
      </c>
      <c r="BC4138" s="74">
        <v>-8.0649999999999995</v>
      </c>
      <c r="CA4138" s="106">
        <v>-8.1449999999999996</v>
      </c>
      <c r="CM4138" s="74">
        <v>-8.44</v>
      </c>
    </row>
    <row r="4139" spans="1:131" x14ac:dyDescent="0.25">
      <c r="A4139" s="127">
        <v>45387</v>
      </c>
      <c r="B4139" s="24" t="s">
        <v>133</v>
      </c>
      <c r="C4139" s="21">
        <f t="shared" si="68"/>
        <v>-94.625</v>
      </c>
      <c r="BI4139" s="106">
        <v>-61</v>
      </c>
      <c r="BO4139" s="74">
        <v>-33.625</v>
      </c>
    </row>
    <row r="4140" spans="1:131" x14ac:dyDescent="0.25">
      <c r="A4140" s="127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27">
        <v>45388</v>
      </c>
      <c r="B4141" s="24" t="s">
        <v>188</v>
      </c>
      <c r="C4141" s="21">
        <f t="shared" si="68"/>
        <v>-27.19</v>
      </c>
      <c r="AR4141" s="74">
        <v>-3.92</v>
      </c>
      <c r="BC4141" s="74">
        <v>-6.65</v>
      </c>
      <c r="BO4141" s="74">
        <v>-8.34</v>
      </c>
      <c r="CG4141" s="106">
        <v>-8.2799999999999994</v>
      </c>
    </row>
    <row r="4142" spans="1:131" x14ac:dyDescent="0.25">
      <c r="A4142" s="127">
        <v>45388</v>
      </c>
      <c r="B4142" s="24" t="s">
        <v>139</v>
      </c>
      <c r="C4142" s="21">
        <f t="shared" si="68"/>
        <v>-41.18</v>
      </c>
      <c r="CA4142" s="106">
        <v>-8.1150000000000002</v>
      </c>
      <c r="CG4142" s="106">
        <v>-8.2899999999999991</v>
      </c>
      <c r="CM4142" s="74">
        <v>-8.4749999999999996</v>
      </c>
      <c r="CS4142" s="74">
        <v>-7.76</v>
      </c>
      <c r="DE4142" s="74">
        <v>-8.5399999999999991</v>
      </c>
    </row>
    <row r="4143" spans="1:131" x14ac:dyDescent="0.25">
      <c r="A4143" s="127">
        <v>45388</v>
      </c>
      <c r="B4143" s="24" t="s">
        <v>39</v>
      </c>
      <c r="C4143" s="21">
        <f t="shared" si="68"/>
        <v>-32.204999999999998</v>
      </c>
      <c r="BI4143" s="106">
        <v>-7.34</v>
      </c>
      <c r="BL4143" s="115">
        <v>-8.3699999999999992</v>
      </c>
      <c r="BO4143" s="74">
        <f>-8.235-8.26</f>
        <v>-16.495000000000001</v>
      </c>
    </row>
    <row r="4144" spans="1:131" x14ac:dyDescent="0.25">
      <c r="A4144" s="127">
        <v>45398</v>
      </c>
      <c r="B4144" s="24" t="s">
        <v>79</v>
      </c>
      <c r="C4144" s="21">
        <f t="shared" si="68"/>
        <v>-7.26</v>
      </c>
      <c r="BJ4144" s="121">
        <v>-7.26</v>
      </c>
    </row>
    <row r="4145" spans="1:237" x14ac:dyDescent="0.25">
      <c r="A4145" s="127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27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27">
        <v>45398</v>
      </c>
      <c r="B4147" s="24" t="s">
        <v>20</v>
      </c>
      <c r="C4147" s="21">
        <f t="shared" si="69"/>
        <v>-65.215000000000003</v>
      </c>
      <c r="AW4147" s="74">
        <v>-9.3849999999999998</v>
      </c>
      <c r="BC4147" s="74">
        <v>-7.98</v>
      </c>
      <c r="BJ4147" s="121">
        <v>-7.39</v>
      </c>
      <c r="BO4147" s="74">
        <v>-8.5150000000000006</v>
      </c>
      <c r="GZ4147" s="106">
        <v>-31.945</v>
      </c>
    </row>
    <row r="4148" spans="1:237" x14ac:dyDescent="0.25">
      <c r="A4148" s="127">
        <v>45398</v>
      </c>
      <c r="B4148" s="24" t="s">
        <v>147</v>
      </c>
      <c r="C4148" s="21">
        <f t="shared" si="69"/>
        <v>-16.27</v>
      </c>
      <c r="AN4148" s="74">
        <v>-8.2200000000000006</v>
      </c>
      <c r="BC4148" s="74">
        <v>-8.0500000000000007</v>
      </c>
    </row>
    <row r="4149" spans="1:237" x14ac:dyDescent="0.25">
      <c r="A4149" s="127">
        <v>45399</v>
      </c>
      <c r="B4149" s="24" t="s">
        <v>44</v>
      </c>
      <c r="C4149" s="21">
        <f t="shared" si="69"/>
        <v>-250.02500000000001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27">
        <v>45399</v>
      </c>
      <c r="B4150" s="24" t="s">
        <v>184</v>
      </c>
      <c r="C4150" s="21">
        <f t="shared" si="69"/>
        <v>-66.364999999999995</v>
      </c>
      <c r="AW4150" s="74">
        <v>-17.29</v>
      </c>
      <c r="BC4150" s="74">
        <v>-8.0549999999999997</v>
      </c>
      <c r="CG4150" s="106">
        <v>-16.495000000000001</v>
      </c>
      <c r="CM4150" s="74">
        <v>-8.4949999999999992</v>
      </c>
      <c r="DK4150" s="74">
        <f>-7.98-8.05</f>
        <v>-16.03</v>
      </c>
    </row>
    <row r="4151" spans="1:237" x14ac:dyDescent="0.25">
      <c r="A4151" s="127">
        <v>45399</v>
      </c>
      <c r="B4151" s="24" t="s">
        <v>169</v>
      </c>
      <c r="C4151" s="21">
        <f t="shared" si="69"/>
        <v>-66.47</v>
      </c>
      <c r="E4151" s="145">
        <v>-15.385</v>
      </c>
      <c r="F4151" s="145">
        <v>-51.085000000000001</v>
      </c>
    </row>
    <row r="4152" spans="1:237" x14ac:dyDescent="0.25">
      <c r="A4152" s="127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27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27">
        <v>45401</v>
      </c>
      <c r="B4154" s="24" t="s">
        <v>192</v>
      </c>
      <c r="C4154" s="21">
        <f t="shared" si="69"/>
        <v>-34.75</v>
      </c>
      <c r="AW4154" s="74">
        <v>-9.42</v>
      </c>
      <c r="BC4154" s="74">
        <v>-8.0350000000000001</v>
      </c>
      <c r="BQ4154" s="126">
        <v>-9</v>
      </c>
      <c r="CG4154" s="106">
        <v>-8.2949999999999999</v>
      </c>
    </row>
    <row r="4155" spans="1:237" x14ac:dyDescent="0.25">
      <c r="A4155" s="127">
        <v>45401</v>
      </c>
      <c r="B4155" s="24" t="s">
        <v>139</v>
      </c>
      <c r="C4155" s="21">
        <f t="shared" si="69"/>
        <v>-8.1449999999999996</v>
      </c>
      <c r="CA4155" s="106">
        <v>-8.1449999999999996</v>
      </c>
    </row>
    <row r="4156" spans="1:237" x14ac:dyDescent="0.25">
      <c r="A4156" s="127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27">
        <v>45401</v>
      </c>
      <c r="B4157" s="24" t="s">
        <v>20</v>
      </c>
      <c r="C4157" s="21">
        <f t="shared" si="69"/>
        <v>-8.16</v>
      </c>
      <c r="CA4157" s="106">
        <v>-8.16</v>
      </c>
    </row>
    <row r="4158" spans="1:237" x14ac:dyDescent="0.25">
      <c r="A4158" s="127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27">
        <v>45405</v>
      </c>
      <c r="B4159" s="24" t="s">
        <v>20</v>
      </c>
      <c r="C4159" s="21">
        <f t="shared" si="69"/>
        <v>-33.99</v>
      </c>
      <c r="Z4159" s="79">
        <v>-8.0350000000000001</v>
      </c>
      <c r="BQ4159" s="126">
        <v>-9.07</v>
      </c>
      <c r="CG4159" s="106">
        <v>-8.2949999999999999</v>
      </c>
      <c r="CS4159" s="74">
        <v>-8.59</v>
      </c>
    </row>
    <row r="4160" spans="1:237" x14ac:dyDescent="0.25">
      <c r="A4160" s="127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27">
        <v>45405</v>
      </c>
      <c r="B4161" s="24" t="s">
        <v>84</v>
      </c>
      <c r="C4161" s="21">
        <f t="shared" si="69"/>
        <v>-26.535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27">
        <v>45405</v>
      </c>
      <c r="B4162" s="24" t="s">
        <v>75</v>
      </c>
      <c r="C4162" s="21">
        <f t="shared" si="69"/>
        <v>-17.71</v>
      </c>
      <c r="AW4162" s="74">
        <v>-9.23</v>
      </c>
      <c r="CM4162" s="74">
        <v>-8.48</v>
      </c>
    </row>
    <row r="4163" spans="1:235" x14ac:dyDescent="0.25">
      <c r="A4163" s="127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27">
        <v>45407</v>
      </c>
      <c r="B4164" s="24" t="s">
        <v>184</v>
      </c>
      <c r="C4164" s="21">
        <f t="shared" si="69"/>
        <v>-32.375</v>
      </c>
      <c r="Z4164" s="79">
        <v>-16.035</v>
      </c>
      <c r="CA4164" s="106">
        <v>-16.34</v>
      </c>
    </row>
    <row r="4165" spans="1:235" x14ac:dyDescent="0.25">
      <c r="A4165" s="127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27">
        <v>45408</v>
      </c>
      <c r="B4166" s="24" t="s">
        <v>138</v>
      </c>
      <c r="C4166" s="21">
        <f t="shared" si="69"/>
        <v>-30.805</v>
      </c>
      <c r="DE4166" s="74">
        <v>-16.38</v>
      </c>
      <c r="DK4166" s="74">
        <v>-6.6950000000000003</v>
      </c>
      <c r="DM4166" s="150">
        <v>-7.73</v>
      </c>
    </row>
    <row r="4167" spans="1:235" x14ac:dyDescent="0.25">
      <c r="A4167" s="127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27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27">
        <v>45408</v>
      </c>
      <c r="B4169" s="24" t="s">
        <v>184</v>
      </c>
      <c r="C4169" s="21">
        <f t="shared" si="69"/>
        <v>-32.375</v>
      </c>
      <c r="Z4169" s="79">
        <v>-16.035</v>
      </c>
      <c r="CA4169" s="106">
        <v>-16.34</v>
      </c>
    </row>
    <row r="4170" spans="1:235" x14ac:dyDescent="0.25">
      <c r="A4170" s="127">
        <v>45408</v>
      </c>
      <c r="B4170" s="24" t="s">
        <v>174</v>
      </c>
      <c r="C4170" s="21">
        <f t="shared" si="69"/>
        <v>-16.57</v>
      </c>
      <c r="CG4170" s="106">
        <v>-16.57</v>
      </c>
    </row>
    <row r="4171" spans="1:235" x14ac:dyDescent="0.25">
      <c r="A4171" s="127">
        <v>45408</v>
      </c>
      <c r="B4171" s="24" t="s">
        <v>113</v>
      </c>
      <c r="C4171" s="21">
        <f t="shared" si="69"/>
        <v>842.28</v>
      </c>
      <c r="BC4171" s="74">
        <v>64.064999999999998</v>
      </c>
      <c r="BI4171" s="106">
        <v>88.694999999999993</v>
      </c>
      <c r="BO4171" s="74">
        <v>97.81</v>
      </c>
      <c r="CA4171" s="106">
        <v>98.07</v>
      </c>
      <c r="CG4171" s="106">
        <v>99.26</v>
      </c>
      <c r="CM4171" s="74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27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74">
        <v>-16.940000000000001</v>
      </c>
      <c r="BO4172" s="74">
        <v>-7.87</v>
      </c>
    </row>
    <row r="4173" spans="1:235" x14ac:dyDescent="0.25">
      <c r="A4173" s="133">
        <v>45411</v>
      </c>
      <c r="B4173" s="64" t="s">
        <v>193</v>
      </c>
      <c r="C4173" s="21">
        <f t="shared" si="69"/>
        <v>-107.52500000000001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74">
        <v>-5.24</v>
      </c>
      <c r="BV4173" s="121">
        <v>-7.59</v>
      </c>
      <c r="CA4173" s="106">
        <f>-8.185-1.34</f>
        <v>-9.5250000000000004</v>
      </c>
      <c r="CG4173" s="106">
        <v>-17.125</v>
      </c>
      <c r="CM4173" s="74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27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27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27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27">
        <v>45412</v>
      </c>
      <c r="B4177" s="24" t="s">
        <v>133</v>
      </c>
      <c r="C4177" s="21">
        <f t="shared" si="69"/>
        <v>-67.22</v>
      </c>
      <c r="CM4177" s="74">
        <v>-33.9</v>
      </c>
      <c r="CS4177" s="74">
        <v>-33.32</v>
      </c>
    </row>
    <row r="4178" spans="1:218" x14ac:dyDescent="0.25">
      <c r="A4178" s="127">
        <v>45412</v>
      </c>
      <c r="B4178" s="24" t="s">
        <v>29</v>
      </c>
      <c r="C4178" s="21">
        <f t="shared" si="69"/>
        <v>-7.6950000000000003</v>
      </c>
      <c r="BI4178" s="106">
        <v>-7.6950000000000003</v>
      </c>
    </row>
    <row r="4179" spans="1:218" x14ac:dyDescent="0.25">
      <c r="A4179" s="127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27">
        <v>45412</v>
      </c>
      <c r="B4180" s="24" t="s">
        <v>139</v>
      </c>
      <c r="C4180" s="21">
        <f t="shared" si="69"/>
        <v>-39.905000000000001</v>
      </c>
      <c r="BI4180" s="106">
        <v>-6.82</v>
      </c>
      <c r="BO4180" s="74">
        <v>-8.5649999999999995</v>
      </c>
      <c r="CG4180" s="106">
        <v>-8.2949999999999999</v>
      </c>
      <c r="CM4180" s="74">
        <v>-8.4499999999999993</v>
      </c>
      <c r="CS4180" s="74">
        <v>-7.7750000000000004</v>
      </c>
    </row>
    <row r="4181" spans="1:218" x14ac:dyDescent="0.25">
      <c r="A4181" s="127">
        <v>45412</v>
      </c>
      <c r="B4181" s="24" t="s">
        <v>180</v>
      </c>
      <c r="C4181" s="21">
        <f t="shared" si="69"/>
        <v>-14.42</v>
      </c>
      <c r="GO4181" s="110">
        <v>-14.42</v>
      </c>
    </row>
    <row r="4182" spans="1:218" x14ac:dyDescent="0.25">
      <c r="A4182" s="127">
        <v>45412</v>
      </c>
      <c r="B4182" s="24" t="s">
        <v>147</v>
      </c>
      <c r="C4182" s="21">
        <f t="shared" si="69"/>
        <v>-31.954999999999998</v>
      </c>
      <c r="BC4182" s="74">
        <v>-8.0850000000000009</v>
      </c>
      <c r="BI4182" s="106">
        <v>-7.36</v>
      </c>
      <c r="CA4182" s="106">
        <v>-8.2100000000000009</v>
      </c>
      <c r="CG4182" s="106">
        <v>-8.3000000000000007</v>
      </c>
    </row>
    <row r="4183" spans="1:218" x14ac:dyDescent="0.25">
      <c r="A4183" s="127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106">
        <v>-7.625</v>
      </c>
      <c r="GZ4183" s="106">
        <v>-31.96</v>
      </c>
    </row>
    <row r="4184" spans="1:218" x14ac:dyDescent="0.25">
      <c r="A4184" s="127">
        <v>45412</v>
      </c>
      <c r="B4184" s="24" t="s">
        <v>33</v>
      </c>
      <c r="C4184" s="21">
        <f t="shared" si="69"/>
        <v>-16.22</v>
      </c>
      <c r="BC4184" s="74">
        <v>-8.0749999999999993</v>
      </c>
      <c r="CA4184" s="106">
        <v>-8.1449999999999996</v>
      </c>
    </row>
    <row r="4185" spans="1:218" x14ac:dyDescent="0.25">
      <c r="A4185" s="127">
        <v>45412</v>
      </c>
      <c r="B4185" s="24" t="s">
        <v>138</v>
      </c>
      <c r="C4185" s="21">
        <f t="shared" si="69"/>
        <v>-14.574999999999999</v>
      </c>
      <c r="BI4185" s="106">
        <v>-14.574999999999999</v>
      </c>
    </row>
    <row r="4186" spans="1:218" x14ac:dyDescent="0.25">
      <c r="A4186" s="127">
        <v>45412</v>
      </c>
      <c r="B4186" s="24" t="s">
        <v>184</v>
      </c>
      <c r="C4186" s="21">
        <f t="shared" si="69"/>
        <v>-97.91</v>
      </c>
      <c r="AW4186" s="74">
        <v>-17.45</v>
      </c>
      <c r="BC4186" s="74">
        <v>-13.78</v>
      </c>
      <c r="BO4186" s="74">
        <v>-16.815000000000001</v>
      </c>
      <c r="CA4186" s="106">
        <v>-16.29</v>
      </c>
      <c r="CG4186" s="106">
        <v>-16.605</v>
      </c>
      <c r="CM4186" s="74">
        <v>-16.97</v>
      </c>
    </row>
    <row r="4187" spans="1:218" x14ac:dyDescent="0.25">
      <c r="A4187" s="127">
        <v>45412</v>
      </c>
      <c r="B4187" s="24" t="s">
        <v>184</v>
      </c>
      <c r="C4187" s="21">
        <f t="shared" si="69"/>
        <v>-114.12</v>
      </c>
      <c r="AN4187" s="74">
        <v>-7.82</v>
      </c>
      <c r="AW4187" s="74">
        <v>-9.3350000000000009</v>
      </c>
      <c r="BC4187" s="74">
        <v>-6.7149999999999999</v>
      </c>
      <c r="BI4187" s="106">
        <v>-7.6</v>
      </c>
      <c r="BO4187" s="74">
        <v>-6.82</v>
      </c>
      <c r="CA4187" s="106">
        <v>-8.0749999999999993</v>
      </c>
      <c r="DU4187" s="106">
        <v>-51.16</v>
      </c>
      <c r="EA4187" s="74">
        <v>-16.594999999999999</v>
      </c>
    </row>
    <row r="4188" spans="1:218" x14ac:dyDescent="0.25">
      <c r="A4188" s="127">
        <v>45415</v>
      </c>
      <c r="B4188" s="24" t="s">
        <v>184</v>
      </c>
      <c r="C4188" s="21">
        <f t="shared" si="69"/>
        <v>-426.14</v>
      </c>
      <c r="BI4188" s="106">
        <v>-29.175000000000001</v>
      </c>
      <c r="CA4188" s="106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27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27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27">
        <v>45415</v>
      </c>
      <c r="B4191" s="24" t="s">
        <v>75</v>
      </c>
      <c r="C4191" s="21">
        <f t="shared" si="69"/>
        <v>-7.8449999999999998</v>
      </c>
      <c r="BI4191" s="106">
        <v>-7.8449999999999998</v>
      </c>
    </row>
    <row r="4192" spans="1:218" x14ac:dyDescent="0.25">
      <c r="A4192" s="127">
        <v>45415</v>
      </c>
      <c r="B4192" s="24" t="s">
        <v>20</v>
      </c>
      <c r="C4192" s="21">
        <f t="shared" si="69"/>
        <v>-16.495000000000001</v>
      </c>
      <c r="CA4192" s="106">
        <v>-8.1750000000000007</v>
      </c>
      <c r="CM4192" s="74">
        <v>-8.32</v>
      </c>
    </row>
    <row r="4193" spans="1:199" x14ac:dyDescent="0.25">
      <c r="A4193" s="127">
        <v>45418</v>
      </c>
      <c r="B4193" s="24" t="s">
        <v>113</v>
      </c>
      <c r="C4193" s="21">
        <f t="shared" si="69"/>
        <v>1121.78</v>
      </c>
      <c r="BC4193" s="74">
        <v>64.400000000000006</v>
      </c>
      <c r="BI4193" s="106">
        <v>174.685</v>
      </c>
      <c r="BO4193" s="74">
        <v>127.495</v>
      </c>
      <c r="BU4193" s="106">
        <v>160.41</v>
      </c>
      <c r="CA4193" s="106">
        <v>131.47</v>
      </c>
      <c r="CG4193" s="106">
        <v>144.435</v>
      </c>
      <c r="CM4193" s="74">
        <v>66.849999999999994</v>
      </c>
      <c r="CS4193" s="74">
        <v>121.425</v>
      </c>
      <c r="DU4193" s="106">
        <v>130.61000000000001</v>
      </c>
    </row>
    <row r="4194" spans="1:199" x14ac:dyDescent="0.25">
      <c r="A4194" s="127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27">
        <v>45418</v>
      </c>
      <c r="B4195" s="24" t="s">
        <v>44</v>
      </c>
      <c r="C4195" s="21">
        <f t="shared" si="69"/>
        <v>-172.11</v>
      </c>
      <c r="GK4195" s="79">
        <v>-28.69</v>
      </c>
      <c r="GQ4195" s="92">
        <v>-143.41999999999999</v>
      </c>
    </row>
    <row r="4196" spans="1:199" x14ac:dyDescent="0.25">
      <c r="A4196" s="127">
        <v>45418</v>
      </c>
      <c r="B4196" s="24" t="s">
        <v>184</v>
      </c>
      <c r="C4196" s="21">
        <f t="shared" si="69"/>
        <v>-73.739999999999995</v>
      </c>
      <c r="BC4196" s="74">
        <v>-8.0649999999999995</v>
      </c>
      <c r="BI4196" s="106">
        <v>-16.68</v>
      </c>
      <c r="BO4196" s="74">
        <v>-8.15</v>
      </c>
      <c r="BU4196" s="106">
        <v>-16.2</v>
      </c>
      <c r="CA4196" s="106">
        <v>-16.350000000000001</v>
      </c>
      <c r="CG4196" s="106">
        <v>-8.2949999999999999</v>
      </c>
    </row>
    <row r="4197" spans="1:199" x14ac:dyDescent="0.25">
      <c r="A4197" s="127">
        <v>45419</v>
      </c>
      <c r="B4197" s="24" t="s">
        <v>75</v>
      </c>
      <c r="C4197" s="21">
        <f t="shared" si="69"/>
        <v>-25.46</v>
      </c>
      <c r="AW4197" s="74">
        <v>-9.2750000000000004</v>
      </c>
      <c r="BC4197" s="74">
        <v>-8.08</v>
      </c>
      <c r="BU4197" s="106">
        <v>-8.1050000000000004</v>
      </c>
    </row>
    <row r="4198" spans="1:199" x14ac:dyDescent="0.25">
      <c r="A4198" s="127">
        <v>45419</v>
      </c>
      <c r="B4198" s="24" t="s">
        <v>29</v>
      </c>
      <c r="C4198" s="21">
        <f t="shared" si="69"/>
        <v>-16.23</v>
      </c>
      <c r="BO4198" s="74">
        <v>-7.96</v>
      </c>
      <c r="CG4198" s="106">
        <v>-8.27</v>
      </c>
    </row>
    <row r="4199" spans="1:199" x14ac:dyDescent="0.25">
      <c r="A4199" s="127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27">
        <v>45419</v>
      </c>
      <c r="B4200" s="24" t="s">
        <v>134</v>
      </c>
      <c r="C4200" s="21">
        <f t="shared" si="69"/>
        <v>-34.86</v>
      </c>
      <c r="F4200" s="145">
        <v>-34.86</v>
      </c>
    </row>
    <row r="4201" spans="1:199" x14ac:dyDescent="0.25">
      <c r="A4201" s="127">
        <v>45419</v>
      </c>
      <c r="B4201" s="24" t="s">
        <v>84</v>
      </c>
      <c r="C4201" s="21">
        <f t="shared" si="69"/>
        <v>-62.57</v>
      </c>
      <c r="BC4201" s="74">
        <v>-16.04</v>
      </c>
      <c r="BI4201" s="106">
        <v>-15.295</v>
      </c>
      <c r="BO4201" s="74">
        <v>-16.79</v>
      </c>
      <c r="BU4201" s="106">
        <v>-14.445</v>
      </c>
    </row>
    <row r="4202" spans="1:199" x14ac:dyDescent="0.25">
      <c r="A4202" s="127">
        <v>45419</v>
      </c>
      <c r="B4202" s="24" t="s">
        <v>20</v>
      </c>
      <c r="C4202" s="21">
        <f t="shared" si="69"/>
        <v>-16.145</v>
      </c>
      <c r="BU4202" s="106">
        <v>-8.1150000000000002</v>
      </c>
      <c r="CG4202" s="106">
        <v>-8.0299999999999994</v>
      </c>
    </row>
    <row r="4203" spans="1:199" x14ac:dyDescent="0.25">
      <c r="A4203" s="127">
        <v>45419</v>
      </c>
      <c r="B4203" s="24" t="s">
        <v>149</v>
      </c>
      <c r="C4203" s="21">
        <f t="shared" si="69"/>
        <v>-24.524999999999999</v>
      </c>
      <c r="AW4203" s="74">
        <v>-9.2949999999999999</v>
      </c>
      <c r="BC4203" s="74">
        <v>-8.06</v>
      </c>
      <c r="BI4203" s="106">
        <v>-7.17</v>
      </c>
    </row>
    <row r="4204" spans="1:199" x14ac:dyDescent="0.25">
      <c r="A4204" s="127">
        <v>45419</v>
      </c>
      <c r="B4204" s="24" t="s">
        <v>25</v>
      </c>
      <c r="C4204" s="21">
        <f t="shared" si="69"/>
        <v>-49.994999999999997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74">
        <v>-8.6</v>
      </c>
      <c r="CA4204" s="106">
        <v>-8.1999999999999993</v>
      </c>
    </row>
    <row r="4205" spans="1:199" x14ac:dyDescent="0.25">
      <c r="A4205" s="127">
        <v>45419</v>
      </c>
      <c r="B4205" s="24" t="s">
        <v>137</v>
      </c>
      <c r="C4205" s="21">
        <f t="shared" si="69"/>
        <v>-39.875</v>
      </c>
      <c r="AU4205" s="42">
        <v>-7.87</v>
      </c>
      <c r="BC4205" s="74">
        <v>-8.0050000000000008</v>
      </c>
      <c r="BI4205" s="106">
        <v>-7.68</v>
      </c>
      <c r="BO4205" s="74">
        <v>-8.14</v>
      </c>
      <c r="BU4205" s="106">
        <v>-8.18</v>
      </c>
    </row>
    <row r="4206" spans="1:199" x14ac:dyDescent="0.25">
      <c r="A4206" s="127">
        <v>45419</v>
      </c>
      <c r="B4206" s="24" t="s">
        <v>184</v>
      </c>
      <c r="C4206" s="21">
        <f t="shared" si="69"/>
        <v>-155.04499999999999</v>
      </c>
      <c r="BI4206" s="106">
        <v>-71.375</v>
      </c>
      <c r="DU4206" s="106">
        <v>-83.67</v>
      </c>
    </row>
    <row r="4207" spans="1:199" x14ac:dyDescent="0.25">
      <c r="A4207" s="127">
        <v>45420</v>
      </c>
      <c r="B4207" s="24" t="s">
        <v>115</v>
      </c>
      <c r="C4207" s="21">
        <f t="shared" si="69"/>
        <v>0</v>
      </c>
    </row>
    <row r="4208" spans="1:199" x14ac:dyDescent="0.25">
      <c r="A4208" s="127">
        <v>45420</v>
      </c>
      <c r="B4208" s="24" t="s">
        <v>192</v>
      </c>
      <c r="C4208" s="21">
        <f t="shared" si="69"/>
        <v>-24.545000000000002</v>
      </c>
      <c r="BO4208" s="74">
        <v>-8.4149999999999991</v>
      </c>
      <c r="BU4208" s="106">
        <v>-8.1150000000000002</v>
      </c>
      <c r="CG4208" s="106">
        <v>-8.0150000000000006</v>
      </c>
    </row>
    <row r="4209" spans="1:208" x14ac:dyDescent="0.25">
      <c r="A4209" s="127">
        <v>45420</v>
      </c>
      <c r="B4209" s="24" t="s">
        <v>134</v>
      </c>
      <c r="C4209" s="21">
        <f t="shared" ref="C4209:C4272" si="70">SUM(D4209:JT4209)</f>
        <v>-56.87</v>
      </c>
      <c r="E4209" s="145">
        <v>-56.87</v>
      </c>
    </row>
    <row r="4210" spans="1:208" x14ac:dyDescent="0.25">
      <c r="A4210" s="127">
        <v>45420</v>
      </c>
      <c r="B4210" s="24" t="s">
        <v>31</v>
      </c>
      <c r="C4210" s="21">
        <f t="shared" si="70"/>
        <v>-58.05</v>
      </c>
      <c r="GO4210" s="110">
        <v>-58.05</v>
      </c>
    </row>
    <row r="4211" spans="1:208" x14ac:dyDescent="0.25">
      <c r="A4211" s="127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74">
        <v>-61.85</v>
      </c>
      <c r="BU4211" s="106">
        <v>-64.965000000000003</v>
      </c>
      <c r="CA4211" s="106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27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74">
        <v>-8.125</v>
      </c>
      <c r="BI4212" s="106">
        <v>-7.2949999999999999</v>
      </c>
      <c r="BO4212" s="74">
        <v>-8.1449999999999996</v>
      </c>
    </row>
    <row r="4213" spans="1:208" x14ac:dyDescent="0.25">
      <c r="A4213" s="127">
        <v>45420</v>
      </c>
      <c r="B4213" s="24" t="s">
        <v>167</v>
      </c>
      <c r="C4213" s="21">
        <f t="shared" si="70"/>
        <v>-44.7</v>
      </c>
      <c r="D4213" s="145">
        <v>-16.395</v>
      </c>
      <c r="E4213" s="145">
        <v>-28.305</v>
      </c>
    </row>
    <row r="4214" spans="1:208" x14ac:dyDescent="0.25">
      <c r="A4214" s="127">
        <v>45420</v>
      </c>
      <c r="B4214" s="24" t="s">
        <v>115</v>
      </c>
      <c r="C4214" s="21">
        <f t="shared" si="70"/>
        <v>0</v>
      </c>
    </row>
    <row r="4215" spans="1:208" x14ac:dyDescent="0.25">
      <c r="A4215" s="127">
        <v>45420</v>
      </c>
      <c r="B4215" s="24" t="s">
        <v>115</v>
      </c>
      <c r="C4215" s="21">
        <f t="shared" si="70"/>
        <v>106.905</v>
      </c>
      <c r="E4215" s="145">
        <v>106.905</v>
      </c>
    </row>
    <row r="4216" spans="1:208" x14ac:dyDescent="0.25">
      <c r="A4216" s="127">
        <v>45421</v>
      </c>
      <c r="B4216" s="24" t="s">
        <v>167</v>
      </c>
      <c r="C4216" s="21">
        <f t="shared" si="70"/>
        <v>-8.4149999999999991</v>
      </c>
      <c r="F4216" s="145">
        <v>-8.4149999999999991</v>
      </c>
    </row>
    <row r="4217" spans="1:208" x14ac:dyDescent="0.25">
      <c r="A4217" s="127">
        <v>45421</v>
      </c>
      <c r="B4217" s="24" t="s">
        <v>12</v>
      </c>
      <c r="C4217" s="21">
        <f t="shared" si="70"/>
        <v>0</v>
      </c>
    </row>
    <row r="4218" spans="1:208" x14ac:dyDescent="0.25">
      <c r="A4218" s="127">
        <v>45422</v>
      </c>
      <c r="B4218" s="24" t="s">
        <v>20</v>
      </c>
      <c r="C4218" s="21">
        <f t="shared" si="70"/>
        <v>-22.99</v>
      </c>
      <c r="BI4218" s="106">
        <v>-7.2249999999999996</v>
      </c>
      <c r="CA4218" s="106">
        <v>-8.14</v>
      </c>
      <c r="GZ4218" s="106">
        <v>-7.625</v>
      </c>
    </row>
    <row r="4219" spans="1:208" x14ac:dyDescent="0.25">
      <c r="A4219" s="127">
        <v>45422</v>
      </c>
      <c r="B4219" s="24" t="s">
        <v>174</v>
      </c>
      <c r="C4219" s="21">
        <f t="shared" si="70"/>
        <v>-8.1950000000000003</v>
      </c>
      <c r="BO4219" s="74">
        <v>-8.1950000000000003</v>
      </c>
    </row>
    <row r="4220" spans="1:208" x14ac:dyDescent="0.25">
      <c r="A4220" s="127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106">
        <v>-7.7549999999999999</v>
      </c>
    </row>
    <row r="4221" spans="1:208" x14ac:dyDescent="0.25">
      <c r="A4221" s="127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27">
        <v>45425</v>
      </c>
      <c r="B4222" s="24" t="s">
        <v>194</v>
      </c>
      <c r="C4222" s="21">
        <f t="shared" si="70"/>
        <v>0</v>
      </c>
    </row>
    <row r="4223" spans="1:208" x14ac:dyDescent="0.25">
      <c r="A4223" s="127">
        <v>45425</v>
      </c>
      <c r="B4223" s="24" t="s">
        <v>25</v>
      </c>
      <c r="C4223" s="21">
        <f t="shared" si="70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27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74">
        <v>250.23500000000001</v>
      </c>
      <c r="AW4224" s="74">
        <v>139.5</v>
      </c>
      <c r="BU4224" s="106">
        <v>230.7</v>
      </c>
      <c r="CY4224" s="74">
        <v>134.11000000000001</v>
      </c>
      <c r="DK4224" s="74">
        <v>259.10000000000002</v>
      </c>
    </row>
    <row r="4225" spans="1:226" x14ac:dyDescent="0.25">
      <c r="A4225" s="127">
        <v>45425</v>
      </c>
      <c r="B4225" s="24" t="s">
        <v>195</v>
      </c>
      <c r="C4225" s="21">
        <f t="shared" si="70"/>
        <v>-16.524999999999999</v>
      </c>
      <c r="D4225" s="145">
        <v>-16.524999999999999</v>
      </c>
    </row>
    <row r="4226" spans="1:226" x14ac:dyDescent="0.25">
      <c r="A4226" s="127">
        <v>45426</v>
      </c>
      <c r="B4226" s="24" t="s">
        <v>39</v>
      </c>
      <c r="C4226" s="21">
        <f t="shared" si="70"/>
        <v>-33.549999999999997</v>
      </c>
      <c r="AN4226" s="74">
        <v>-8.93</v>
      </c>
      <c r="AR4226" s="74">
        <v>-8.9350000000000005</v>
      </c>
      <c r="AW4226" s="74">
        <f>-7.865-7.82</f>
        <v>-15.685</v>
      </c>
    </row>
    <row r="4227" spans="1:226" x14ac:dyDescent="0.25">
      <c r="A4227" s="127">
        <v>45426</v>
      </c>
      <c r="B4227" s="24" t="s">
        <v>84</v>
      </c>
      <c r="C4227" s="21">
        <f t="shared" si="70"/>
        <v>-16.605</v>
      </c>
      <c r="AR4227" s="74">
        <v>-7.9649999999999999</v>
      </c>
      <c r="EA4227" s="74">
        <v>-8.64</v>
      </c>
    </row>
    <row r="4228" spans="1:226" x14ac:dyDescent="0.25">
      <c r="A4228" s="127">
        <v>45426</v>
      </c>
      <c r="B4228" s="24" t="s">
        <v>75</v>
      </c>
      <c r="C4228" s="21">
        <f t="shared" si="70"/>
        <v>-17.614999999999998</v>
      </c>
      <c r="AR4228" s="74">
        <v>-9.65</v>
      </c>
      <c r="AW4228" s="74">
        <v>-7.9649999999999999</v>
      </c>
    </row>
    <row r="4229" spans="1:226" x14ac:dyDescent="0.25">
      <c r="A4229" s="127">
        <v>45426</v>
      </c>
      <c r="B4229" s="24" t="s">
        <v>188</v>
      </c>
      <c r="C4229" s="21">
        <f t="shared" si="70"/>
        <v>-13.375</v>
      </c>
      <c r="AR4229" s="74">
        <v>-5.7949999999999999</v>
      </c>
      <c r="BI4229" s="106">
        <v>-7.58</v>
      </c>
    </row>
    <row r="4230" spans="1:226" x14ac:dyDescent="0.25">
      <c r="A4230" s="127">
        <v>45426</v>
      </c>
      <c r="B4230" s="24" t="s">
        <v>138</v>
      </c>
      <c r="C4230" s="21">
        <f t="shared" si="70"/>
        <v>-9.23</v>
      </c>
      <c r="AR4230" s="74">
        <v>-9.23</v>
      </c>
    </row>
    <row r="4231" spans="1:226" x14ac:dyDescent="0.25">
      <c r="A4231" s="127">
        <v>45426</v>
      </c>
      <c r="B4231" s="24" t="s">
        <v>20</v>
      </c>
      <c r="C4231" s="21">
        <f t="shared" si="70"/>
        <v>-7.98</v>
      </c>
      <c r="AW4231" s="74">
        <v>-7.98</v>
      </c>
    </row>
    <row r="4232" spans="1:226" x14ac:dyDescent="0.25">
      <c r="A4232" s="127">
        <v>45426</v>
      </c>
      <c r="B4232" s="24" t="s">
        <v>17</v>
      </c>
      <c r="C4232" s="21">
        <f t="shared" si="70"/>
        <v>-32.54</v>
      </c>
      <c r="DK4232" s="74">
        <v>-32.54</v>
      </c>
    </row>
    <row r="4233" spans="1:226" x14ac:dyDescent="0.25">
      <c r="A4233" s="127">
        <v>45426</v>
      </c>
      <c r="B4233" s="24" t="s">
        <v>17</v>
      </c>
      <c r="C4233" s="21">
        <f t="shared" si="70"/>
        <v>-60.8</v>
      </c>
      <c r="BO4233" s="74">
        <v>-24.885000000000002</v>
      </c>
      <c r="BU4233" s="106">
        <v>-35.914999999999999</v>
      </c>
    </row>
    <row r="4234" spans="1:226" x14ac:dyDescent="0.25">
      <c r="A4234" s="127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106">
        <v>-7.2949999999999999</v>
      </c>
      <c r="CA4234" s="106">
        <v>-8.15</v>
      </c>
    </row>
    <row r="4235" spans="1:226" x14ac:dyDescent="0.25">
      <c r="A4235" s="127">
        <v>45426</v>
      </c>
      <c r="B4235" s="24" t="s">
        <v>171</v>
      </c>
      <c r="C4235" s="21">
        <f t="shared" si="70"/>
        <v>-8.01</v>
      </c>
      <c r="CG4235" s="106">
        <v>-8.01</v>
      </c>
    </row>
    <row r="4236" spans="1:226" x14ac:dyDescent="0.25">
      <c r="A4236" s="127">
        <v>45427</v>
      </c>
      <c r="B4236" s="24" t="s">
        <v>184</v>
      </c>
      <c r="C4236" s="21">
        <f t="shared" si="70"/>
        <v>-95.034999999999997</v>
      </c>
      <c r="AN4236" s="74">
        <v>-8.98</v>
      </c>
      <c r="AR4236" s="74">
        <v>-9.19</v>
      </c>
      <c r="AW4236" s="74">
        <v>-15.89</v>
      </c>
      <c r="BI4236" s="106">
        <v>-21.684999999999999</v>
      </c>
      <c r="BU4236" s="106">
        <v>-15.17</v>
      </c>
      <c r="CA4236" s="106">
        <v>-16.28</v>
      </c>
      <c r="CS4236" s="74">
        <v>-7.84</v>
      </c>
    </row>
    <row r="4237" spans="1:226" x14ac:dyDescent="0.25">
      <c r="A4237" s="127">
        <v>45427</v>
      </c>
      <c r="B4237" s="24" t="s">
        <v>193</v>
      </c>
      <c r="C4237" s="21">
        <f t="shared" si="70"/>
        <v>-14.845000000000001</v>
      </c>
      <c r="CG4237" s="106">
        <v>-7.24</v>
      </c>
      <c r="CY4237" s="74">
        <v>-7.6050000000000004</v>
      </c>
    </row>
    <row r="4238" spans="1:226" x14ac:dyDescent="0.25">
      <c r="A4238" s="127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27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106">
        <v>-7.1150000000000002</v>
      </c>
      <c r="CG4239" s="106">
        <v>-8.0250000000000004</v>
      </c>
      <c r="CM4239" s="74">
        <v>-8.3450000000000006</v>
      </c>
      <c r="CS4239" s="74">
        <v>-7.24</v>
      </c>
      <c r="CY4239" s="74">
        <v>-7.7949999999999999</v>
      </c>
    </row>
    <row r="4240" spans="1:226" x14ac:dyDescent="0.25">
      <c r="A4240" s="127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106">
        <v>-7.97</v>
      </c>
    </row>
    <row r="4241" spans="1:226" x14ac:dyDescent="0.25">
      <c r="A4241" s="127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27">
        <v>45428</v>
      </c>
      <c r="B4242" s="24" t="s">
        <v>115</v>
      </c>
      <c r="C4242" s="21">
        <f t="shared" si="70"/>
        <v>319.10000000000002</v>
      </c>
      <c r="D4242" s="145">
        <v>104.19</v>
      </c>
      <c r="E4242" s="145">
        <f>45.035+28.77</f>
        <v>73.805000000000007</v>
      </c>
      <c r="F4242" s="145">
        <f>100.955</f>
        <v>100.955</v>
      </c>
      <c r="GD4242" s="115">
        <v>40.15</v>
      </c>
    </row>
    <row r="4243" spans="1:226" x14ac:dyDescent="0.25">
      <c r="A4243" s="127">
        <v>45428</v>
      </c>
      <c r="B4243" s="24" t="s">
        <v>184</v>
      </c>
      <c r="C4243" s="21">
        <f t="shared" si="70"/>
        <v>-92.4</v>
      </c>
      <c r="CS4243" s="74">
        <v>-57.62</v>
      </c>
      <c r="CY4243" s="74">
        <v>-34.78</v>
      </c>
    </row>
    <row r="4244" spans="1:226" x14ac:dyDescent="0.25">
      <c r="A4244" s="127">
        <v>45429</v>
      </c>
      <c r="B4244" s="24" t="s">
        <v>84</v>
      </c>
      <c r="C4244" s="21">
        <f t="shared" si="70"/>
        <v>-16.989999999999998</v>
      </c>
      <c r="AR4244" s="74">
        <v>-8.91</v>
      </c>
      <c r="BU4244" s="106">
        <v>-8.08</v>
      </c>
    </row>
    <row r="4245" spans="1:226" x14ac:dyDescent="0.25">
      <c r="A4245" s="127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27">
        <v>45429</v>
      </c>
      <c r="B4246" s="24" t="s">
        <v>115</v>
      </c>
      <c r="C4246" s="21">
        <f t="shared" si="70"/>
        <v>34.435000000000002</v>
      </c>
      <c r="E4246" s="145">
        <v>34.435000000000002</v>
      </c>
    </row>
    <row r="4247" spans="1:226" x14ac:dyDescent="0.25">
      <c r="A4247" s="127">
        <v>45429</v>
      </c>
      <c r="B4247" s="24" t="s">
        <v>184</v>
      </c>
      <c r="C4247" s="21">
        <f t="shared" si="70"/>
        <v>-32.395000000000003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27">
        <v>45430</v>
      </c>
      <c r="B4248" s="24" t="s">
        <v>147</v>
      </c>
      <c r="C4248" s="21">
        <f t="shared" si="70"/>
        <v>-15.055</v>
      </c>
      <c r="BI4248" s="106">
        <v>-6.9450000000000003</v>
      </c>
      <c r="BU4248" s="106">
        <v>-8.11</v>
      </c>
    </row>
    <row r="4249" spans="1:226" x14ac:dyDescent="0.25">
      <c r="A4249" s="127">
        <v>45433</v>
      </c>
      <c r="B4249" s="24" t="s">
        <v>113</v>
      </c>
      <c r="C4249" s="21">
        <f t="shared" si="70"/>
        <v>1106.18</v>
      </c>
      <c r="BC4249" s="74">
        <v>158.625</v>
      </c>
      <c r="BI4249" s="106">
        <v>162.96</v>
      </c>
      <c r="BO4249" s="74">
        <v>127.845</v>
      </c>
      <c r="CA4249" s="106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27">
        <v>45433</v>
      </c>
      <c r="B4250" s="24" t="s">
        <v>184</v>
      </c>
      <c r="C4250" s="21">
        <f t="shared" si="70"/>
        <v>-362.6</v>
      </c>
      <c r="AR4250" s="74">
        <v>-17.79</v>
      </c>
      <c r="BC4250" s="74">
        <v>-48.145000000000003</v>
      </c>
      <c r="BI4250" s="106">
        <v>-49.72</v>
      </c>
      <c r="BO4250" s="74">
        <v>-31.795000000000002</v>
      </c>
      <c r="BU4250" s="106">
        <v>-51.454999999999998</v>
      </c>
      <c r="CA4250" s="106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27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27">
        <v>45433</v>
      </c>
      <c r="B4252" s="24" t="s">
        <v>75</v>
      </c>
      <c r="C4252" s="21">
        <f t="shared" si="70"/>
        <v>-15.875</v>
      </c>
      <c r="BO4252" s="74">
        <v>-15.875</v>
      </c>
    </row>
    <row r="4253" spans="1:226" x14ac:dyDescent="0.25">
      <c r="A4253" s="127">
        <v>45433</v>
      </c>
      <c r="B4253" s="24" t="s">
        <v>20</v>
      </c>
      <c r="C4253" s="21">
        <f t="shared" si="70"/>
        <v>-7.9550000000000001</v>
      </c>
      <c r="BC4253" s="74">
        <v>-7.9550000000000001</v>
      </c>
    </row>
    <row r="4254" spans="1:226" x14ac:dyDescent="0.25">
      <c r="A4254" s="127">
        <v>45433</v>
      </c>
      <c r="B4254" s="24" t="s">
        <v>84</v>
      </c>
      <c r="C4254" s="21">
        <f t="shared" si="70"/>
        <v>-33.945</v>
      </c>
      <c r="CA4254" s="106">
        <v>-8.9</v>
      </c>
      <c r="DU4254" s="106">
        <v>-25.045000000000002</v>
      </c>
    </row>
    <row r="4255" spans="1:226" x14ac:dyDescent="0.25">
      <c r="A4255" s="127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27">
        <v>45433</v>
      </c>
      <c r="B4256" s="24" t="s">
        <v>25</v>
      </c>
      <c r="C4256" s="21">
        <f t="shared" si="70"/>
        <v>-32.935000000000002</v>
      </c>
      <c r="AW4256" s="74">
        <v>-7.7949999999999999</v>
      </c>
      <c r="BU4256" s="106">
        <v>-8.7550000000000008</v>
      </c>
      <c r="CG4256" s="106">
        <v>-8.0500000000000007</v>
      </c>
      <c r="CM4256" s="74">
        <v>-8.3350000000000009</v>
      </c>
    </row>
    <row r="4257" spans="1:231" x14ac:dyDescent="0.25">
      <c r="A4257" s="127">
        <v>45433</v>
      </c>
      <c r="B4257" s="24" t="s">
        <v>25</v>
      </c>
      <c r="C4257" s="21">
        <f t="shared" si="70"/>
        <v>-24.664999999999999</v>
      </c>
      <c r="BC4257" s="74">
        <v>-7.83</v>
      </c>
      <c r="BO4257" s="74">
        <v>-7.93</v>
      </c>
      <c r="CA4257" s="106">
        <v>-8.9049999999999994</v>
      </c>
    </row>
    <row r="4258" spans="1:231" x14ac:dyDescent="0.25">
      <c r="A4258" s="127">
        <v>45433</v>
      </c>
      <c r="B4258" s="24" t="s">
        <v>39</v>
      </c>
      <c r="C4258" s="21">
        <f t="shared" si="70"/>
        <v>-50.32</v>
      </c>
      <c r="BC4258" s="74">
        <v>-15.9</v>
      </c>
      <c r="CG4258" s="106">
        <v>-17.510000000000002</v>
      </c>
      <c r="CM4258" s="74">
        <v>-16.91</v>
      </c>
    </row>
    <row r="4259" spans="1:231" x14ac:dyDescent="0.25">
      <c r="A4259" s="127">
        <v>45433</v>
      </c>
      <c r="B4259" s="24" t="s">
        <v>127</v>
      </c>
      <c r="C4259" s="21">
        <f t="shared" si="70"/>
        <v>-9.35</v>
      </c>
      <c r="AR4259" s="74">
        <v>-9.35</v>
      </c>
    </row>
    <row r="4260" spans="1:231" x14ac:dyDescent="0.25">
      <c r="A4260" s="127">
        <v>45433</v>
      </c>
      <c r="B4260" s="24" t="s">
        <v>174</v>
      </c>
      <c r="C4260" s="21">
        <f t="shared" si="70"/>
        <v>-8.6999999999999993</v>
      </c>
      <c r="CY4260" s="74">
        <v>-8.6999999999999993</v>
      </c>
    </row>
    <row r="4261" spans="1:231" x14ac:dyDescent="0.25">
      <c r="A4261" s="127">
        <v>45434</v>
      </c>
      <c r="B4261" s="24" t="s">
        <v>193</v>
      </c>
      <c r="C4261" s="21">
        <f t="shared" si="70"/>
        <v>-13.77</v>
      </c>
      <c r="CG4261" s="106">
        <v>-6.93</v>
      </c>
      <c r="CS4261" s="74">
        <v>-6.84</v>
      </c>
    </row>
    <row r="4262" spans="1:231" x14ac:dyDescent="0.25">
      <c r="A4262" s="127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27">
        <v>45434</v>
      </c>
      <c r="B4263" s="24" t="s">
        <v>183</v>
      </c>
      <c r="C4263" s="21">
        <f t="shared" si="70"/>
        <v>-111.63500000000001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27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27">
        <v>45434</v>
      </c>
      <c r="B4265" s="24" t="s">
        <v>17</v>
      </c>
      <c r="C4265" s="21">
        <f t="shared" si="70"/>
        <v>-67.185000000000002</v>
      </c>
      <c r="AN4265" s="74">
        <v>-17.86</v>
      </c>
      <c r="AR4265" s="74">
        <v>-8.8249999999999993</v>
      </c>
      <c r="AW4265" s="74">
        <v>-7.9050000000000002</v>
      </c>
      <c r="BC4265" s="74">
        <v>-7.8</v>
      </c>
      <c r="BI4265" s="106">
        <v>-16.11</v>
      </c>
      <c r="BO4265" s="74">
        <v>-8.6850000000000005</v>
      </c>
    </row>
    <row r="4266" spans="1:231" x14ac:dyDescent="0.25">
      <c r="A4266" s="127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27">
        <v>45434</v>
      </c>
      <c r="B4267" s="24" t="s">
        <v>190</v>
      </c>
      <c r="C4267" s="21">
        <f t="shared" si="70"/>
        <v>-63.13</v>
      </c>
      <c r="BI4267" s="106">
        <v>-16.22</v>
      </c>
      <c r="BO4267" s="74">
        <v>-15.88</v>
      </c>
      <c r="BU4267" s="106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27">
        <v>45434</v>
      </c>
      <c r="B4268" s="24" t="s">
        <v>184</v>
      </c>
      <c r="C4268" s="21">
        <f t="shared" si="70"/>
        <v>-36.4</v>
      </c>
      <c r="AN4268" s="74">
        <v>-8.9600000000000009</v>
      </c>
      <c r="AR4268" s="74">
        <v>-9.0299999999999994</v>
      </c>
      <c r="CG4268" s="106">
        <v>-8.25</v>
      </c>
      <c r="CY4268" s="74">
        <v>-8.16</v>
      </c>
      <c r="GD4268" s="115">
        <v>-2</v>
      </c>
    </row>
    <row r="4269" spans="1:231" x14ac:dyDescent="0.25">
      <c r="A4269" s="127">
        <v>45434</v>
      </c>
      <c r="B4269" s="24" t="s">
        <v>133</v>
      </c>
      <c r="C4269" s="21">
        <f t="shared" si="70"/>
        <v>-160.19999999999999</v>
      </c>
      <c r="AW4269" s="74">
        <v>-31.56</v>
      </c>
      <c r="BC4269" s="74">
        <v>-31.004999999999999</v>
      </c>
      <c r="BI4269" s="106">
        <v>-32.265000000000001</v>
      </c>
      <c r="CM4269" s="74">
        <v>-33.409999999999997</v>
      </c>
      <c r="CS4269" s="74">
        <v>-31.96</v>
      </c>
    </row>
    <row r="4270" spans="1:231" x14ac:dyDescent="0.25">
      <c r="A4270" s="127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27">
        <v>45434</v>
      </c>
      <c r="B4271" s="24" t="s">
        <v>137</v>
      </c>
      <c r="C4271" s="21">
        <f t="shared" si="70"/>
        <v>-24.975000000000001</v>
      </c>
      <c r="AR4271" s="74">
        <v>-8.94</v>
      </c>
      <c r="BI4271" s="106">
        <v>-8.11</v>
      </c>
      <c r="BO4271" s="74">
        <v>-7.9249999999999998</v>
      </c>
    </row>
    <row r="4272" spans="1:231" x14ac:dyDescent="0.25">
      <c r="A4272" s="127">
        <v>45435</v>
      </c>
      <c r="B4272" s="24" t="s">
        <v>79</v>
      </c>
      <c r="C4272" s="21">
        <f t="shared" si="70"/>
        <v>-32.744999999999997</v>
      </c>
      <c r="BI4272" s="106">
        <v>-8.0549999999999997</v>
      </c>
      <c r="BU4272" s="106">
        <v>-8.6549999999999994</v>
      </c>
      <c r="CG4272" s="106">
        <v>-16.035</v>
      </c>
    </row>
    <row r="4273" spans="1:208" x14ac:dyDescent="0.25">
      <c r="A4273" s="127">
        <v>45435</v>
      </c>
      <c r="B4273" s="24" t="s">
        <v>33</v>
      </c>
      <c r="C4273" s="21">
        <f t="shared" ref="C4273:C4336" si="71">SUM(D4273:JT4273)</f>
        <v>-16.010000000000002</v>
      </c>
      <c r="AW4273" s="74">
        <v>-7.9050000000000002</v>
      </c>
      <c r="BI4273" s="106">
        <v>-8.1050000000000004</v>
      </c>
    </row>
    <row r="4274" spans="1:208" x14ac:dyDescent="0.25">
      <c r="A4274" s="127">
        <v>45435</v>
      </c>
      <c r="B4274" s="24" t="s">
        <v>127</v>
      </c>
      <c r="C4274" s="21">
        <f t="shared" si="71"/>
        <v>-14.785</v>
      </c>
      <c r="CG4274" s="106">
        <v>-7.04</v>
      </c>
      <c r="CS4274" s="74">
        <v>-7.7450000000000001</v>
      </c>
    </row>
    <row r="4275" spans="1:208" x14ac:dyDescent="0.25">
      <c r="A4275" s="127">
        <v>45436</v>
      </c>
      <c r="B4275" s="24" t="s">
        <v>20</v>
      </c>
      <c r="C4275" s="21">
        <f t="shared" si="71"/>
        <v>-39.409999999999997</v>
      </c>
      <c r="BI4275" s="106">
        <v>-8.0950000000000006</v>
      </c>
      <c r="BO4275" s="74">
        <v>-7.94</v>
      </c>
      <c r="GZ4275" s="106">
        <v>-23.375</v>
      </c>
    </row>
    <row r="4276" spans="1:208" x14ac:dyDescent="0.25">
      <c r="A4276" s="127">
        <v>45436</v>
      </c>
      <c r="B4276" s="24" t="s">
        <v>139</v>
      </c>
      <c r="C4276" s="21">
        <f t="shared" si="71"/>
        <v>-16.015000000000001</v>
      </c>
      <c r="BO4276" s="74">
        <v>-7.94</v>
      </c>
      <c r="BU4276" s="106">
        <v>-8.0749999999999993</v>
      </c>
    </row>
    <row r="4277" spans="1:208" x14ac:dyDescent="0.25">
      <c r="A4277" s="127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27">
        <v>45437</v>
      </c>
      <c r="B4278" s="24" t="s">
        <v>127</v>
      </c>
      <c r="C4278" s="21">
        <f t="shared" si="71"/>
        <v>-15.795</v>
      </c>
      <c r="AW4278" s="74">
        <v>-7.9349999999999996</v>
      </c>
      <c r="BC4278" s="74">
        <v>-7.86</v>
      </c>
    </row>
    <row r="4279" spans="1:208" x14ac:dyDescent="0.25">
      <c r="A4279" s="127">
        <v>45439</v>
      </c>
      <c r="B4279" s="24" t="s">
        <v>33</v>
      </c>
      <c r="C4279" s="21">
        <f t="shared" si="71"/>
        <v>-16.315000000000001</v>
      </c>
      <c r="BC4279" s="74">
        <v>-7.8650000000000002</v>
      </c>
      <c r="BI4279" s="106">
        <v>-8.4499999999999993</v>
      </c>
    </row>
    <row r="4280" spans="1:208" x14ac:dyDescent="0.25">
      <c r="A4280" s="127">
        <v>45440</v>
      </c>
      <c r="B4280" s="24" t="s">
        <v>29</v>
      </c>
      <c r="C4280" s="21">
        <f t="shared" si="71"/>
        <v>-15.244999999999999</v>
      </c>
      <c r="BO4280" s="74">
        <v>-7.93</v>
      </c>
      <c r="BU4280" s="106">
        <v>-7.3150000000000004</v>
      </c>
    </row>
    <row r="4281" spans="1:208" x14ac:dyDescent="0.25">
      <c r="A4281" s="127">
        <v>45440</v>
      </c>
      <c r="B4281" s="24" t="s">
        <v>127</v>
      </c>
      <c r="C4281" s="21">
        <f t="shared" si="71"/>
        <v>-16.399999999999999</v>
      </c>
      <c r="CG4281" s="106">
        <v>-16.399999999999999</v>
      </c>
    </row>
    <row r="4282" spans="1:208" x14ac:dyDescent="0.25">
      <c r="A4282" s="127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27">
        <v>45440</v>
      </c>
      <c r="B4283" s="24" t="s">
        <v>20</v>
      </c>
      <c r="C4283" s="21">
        <f t="shared" si="71"/>
        <v>-9.2200000000000006</v>
      </c>
      <c r="AR4283" s="74">
        <v>-9.2200000000000006</v>
      </c>
    </row>
    <row r="4284" spans="1:208" x14ac:dyDescent="0.25">
      <c r="A4284" s="127">
        <v>45440</v>
      </c>
      <c r="B4284" s="24" t="s">
        <v>184</v>
      </c>
      <c r="C4284" s="21">
        <f t="shared" si="71"/>
        <v>-98.114999999999995</v>
      </c>
      <c r="M4284" s="92">
        <v>-6.24</v>
      </c>
      <c r="AW4284" s="74">
        <v>-7.8949999999999996</v>
      </c>
      <c r="BC4284" s="74">
        <v>-7.84</v>
      </c>
      <c r="BI4284" s="106">
        <v>-8.1349999999999998</v>
      </c>
      <c r="BO4284" s="74">
        <v>-7.9649999999999999</v>
      </c>
      <c r="BU4284" s="106">
        <f>-7.03-17.46</f>
        <v>-24.49</v>
      </c>
      <c r="CA4284" s="106">
        <v>-35.549999999999997</v>
      </c>
    </row>
    <row r="4285" spans="1:208" x14ac:dyDescent="0.25">
      <c r="A4285" s="127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27">
        <v>45440</v>
      </c>
      <c r="B4286" s="24" t="s">
        <v>139</v>
      </c>
      <c r="C4286" s="21">
        <f t="shared" si="71"/>
        <v>-41.52</v>
      </c>
      <c r="AC4286" s="74">
        <v>-8.73</v>
      </c>
      <c r="CA4286" s="106">
        <v>-8.8800000000000008</v>
      </c>
      <c r="CG4286" s="106">
        <v>-8.0399999999999991</v>
      </c>
      <c r="CM4286" s="74">
        <v>-8.35</v>
      </c>
      <c r="CS4286" s="74">
        <v>-7.52</v>
      </c>
    </row>
    <row r="4287" spans="1:208" x14ac:dyDescent="0.25">
      <c r="A4287" s="127">
        <v>45440</v>
      </c>
      <c r="B4287" s="24" t="s">
        <v>20</v>
      </c>
      <c r="C4287" s="21">
        <f t="shared" si="71"/>
        <v>-20.22</v>
      </c>
      <c r="GD4287" s="115">
        <v>-20.22</v>
      </c>
    </row>
    <row r="4288" spans="1:208" x14ac:dyDescent="0.25">
      <c r="A4288" s="127">
        <v>45441</v>
      </c>
      <c r="B4288" s="24" t="s">
        <v>193</v>
      </c>
      <c r="C4288" s="21">
        <f t="shared" si="71"/>
        <v>-8.8800000000000008</v>
      </c>
      <c r="CA4288" s="106">
        <v>-8.8800000000000008</v>
      </c>
    </row>
    <row r="4289" spans="1:208" x14ac:dyDescent="0.25">
      <c r="A4289" s="127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27">
        <v>45441</v>
      </c>
      <c r="B4290" s="24" t="s">
        <v>183</v>
      </c>
      <c r="C4290" s="21">
        <f t="shared" si="71"/>
        <v>-30.69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27">
        <v>45441</v>
      </c>
      <c r="B4291" s="24" t="s">
        <v>133</v>
      </c>
      <c r="C4291" s="21">
        <f t="shared" si="71"/>
        <v>-70.28</v>
      </c>
      <c r="BU4291" s="106">
        <v>-35.134999999999998</v>
      </c>
      <c r="CA4291" s="106">
        <v>-17.824999999999999</v>
      </c>
      <c r="CG4291" s="106">
        <v>-17.32</v>
      </c>
    </row>
    <row r="4292" spans="1:208" x14ac:dyDescent="0.25">
      <c r="A4292" s="127">
        <v>45441</v>
      </c>
      <c r="B4292" s="24" t="s">
        <v>184</v>
      </c>
      <c r="C4292" s="21">
        <f t="shared" si="71"/>
        <v>-80.284999999999997</v>
      </c>
      <c r="AN4292" s="74">
        <v>-18.004999999999999</v>
      </c>
      <c r="AR4292" s="74">
        <v>-9.24</v>
      </c>
      <c r="AW4292" s="74">
        <v>-15.74</v>
      </c>
      <c r="BC4292" s="74">
        <v>-15.824999999999999</v>
      </c>
      <c r="BU4292" s="106">
        <v>-12.96</v>
      </c>
      <c r="CG4292" s="106">
        <v>-8.5150000000000006</v>
      </c>
    </row>
    <row r="4293" spans="1:208" x14ac:dyDescent="0.25">
      <c r="A4293" s="127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74">
        <v>17.71</v>
      </c>
    </row>
    <row r="4294" spans="1:208" x14ac:dyDescent="0.25">
      <c r="A4294" s="127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74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27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27">
        <v>45443</v>
      </c>
      <c r="B4296" s="24" t="s">
        <v>25</v>
      </c>
      <c r="C4296" s="21">
        <f t="shared" si="71"/>
        <v>-10.925000000000001</v>
      </c>
      <c r="CM4296" s="74">
        <v>-8.4749999999999996</v>
      </c>
      <c r="FS4296" s="106">
        <v>-0.48</v>
      </c>
      <c r="GD4296" s="115">
        <v>-1.97</v>
      </c>
    </row>
    <row r="4297" spans="1:208" x14ac:dyDescent="0.25">
      <c r="A4297" s="127">
        <v>45446</v>
      </c>
      <c r="B4297" s="24" t="s">
        <v>167</v>
      </c>
      <c r="C4297" s="21">
        <f t="shared" si="71"/>
        <v>-23.85</v>
      </c>
      <c r="D4297" s="145">
        <v>-7.63</v>
      </c>
      <c r="E4297" s="145">
        <v>-16.22</v>
      </c>
    </row>
    <row r="4298" spans="1:208" x14ac:dyDescent="0.25">
      <c r="A4298" s="127">
        <v>45447</v>
      </c>
      <c r="B4298" s="24" t="s">
        <v>75</v>
      </c>
      <c r="C4298" s="21">
        <f t="shared" si="71"/>
        <v>-16.63</v>
      </c>
      <c r="AR4298" s="74">
        <v>-8.9749999999999996</v>
      </c>
      <c r="CS4298" s="74">
        <v>-7.6550000000000002</v>
      </c>
    </row>
    <row r="4299" spans="1:208" x14ac:dyDescent="0.25">
      <c r="A4299" s="127">
        <v>45447</v>
      </c>
      <c r="B4299" s="24" t="s">
        <v>113</v>
      </c>
      <c r="C4299" s="21">
        <f t="shared" si="71"/>
        <v>1097.54</v>
      </c>
      <c r="BI4299" s="106">
        <v>64.37</v>
      </c>
      <c r="BO4299" s="74">
        <v>98.76</v>
      </c>
      <c r="BU4299" s="106">
        <v>102.02500000000001</v>
      </c>
      <c r="CA4299" s="106">
        <v>31.37</v>
      </c>
      <c r="CM4299" s="74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0">
        <v>104.075</v>
      </c>
      <c r="GQ4299" s="92">
        <v>114.715</v>
      </c>
      <c r="GZ4299" s="106">
        <v>79.88</v>
      </c>
    </row>
    <row r="4300" spans="1:208" x14ac:dyDescent="0.25">
      <c r="A4300" s="127">
        <v>45447</v>
      </c>
      <c r="B4300" s="24" t="s">
        <v>192</v>
      </c>
      <c r="C4300" s="21">
        <f t="shared" si="71"/>
        <v>-8.06</v>
      </c>
      <c r="BI4300" s="106">
        <v>-8.06</v>
      </c>
    </row>
    <row r="4301" spans="1:208" x14ac:dyDescent="0.25">
      <c r="A4301" s="127">
        <v>45448</v>
      </c>
      <c r="B4301" s="24" t="s">
        <v>193</v>
      </c>
      <c r="C4301" s="21">
        <f t="shared" si="71"/>
        <v>-22.844999999999999</v>
      </c>
      <c r="BU4301" s="106">
        <v>-8.43</v>
      </c>
      <c r="CY4301" s="74">
        <v>-8.4149999999999991</v>
      </c>
      <c r="DE4301" s="74">
        <v>-6</v>
      </c>
    </row>
    <row r="4302" spans="1:208" x14ac:dyDescent="0.25">
      <c r="A4302" s="127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27">
        <v>45448</v>
      </c>
      <c r="B4303" s="24" t="s">
        <v>139</v>
      </c>
      <c r="C4303" s="21">
        <f t="shared" si="71"/>
        <v>-43.354999999999997</v>
      </c>
      <c r="BU4303" s="106">
        <v>-8.8149999999999995</v>
      </c>
      <c r="CA4303" s="106">
        <v>-9.0050000000000008</v>
      </c>
      <c r="CH4303" s="121">
        <v>-8.33</v>
      </c>
      <c r="CM4303" s="74">
        <v>-8.49</v>
      </c>
      <c r="CY4303" s="74">
        <v>-8.7149999999999999</v>
      </c>
    </row>
    <row r="4304" spans="1:208" x14ac:dyDescent="0.25">
      <c r="A4304" s="127">
        <v>45448</v>
      </c>
      <c r="B4304" s="24" t="s">
        <v>20</v>
      </c>
      <c r="C4304" s="21">
        <f t="shared" si="71"/>
        <v>-32.33</v>
      </c>
      <c r="CH4304" s="121">
        <v>-8.1</v>
      </c>
      <c r="CM4304" s="74">
        <v>-8.3249999999999993</v>
      </c>
      <c r="CS4304" s="74">
        <v>-7.5049999999999999</v>
      </c>
      <c r="GZ4304" s="106">
        <v>-8.4</v>
      </c>
    </row>
    <row r="4305" spans="1:230" x14ac:dyDescent="0.25">
      <c r="A4305" s="127">
        <v>45448</v>
      </c>
      <c r="B4305" s="24" t="s">
        <v>180</v>
      </c>
      <c r="C4305" s="21">
        <f t="shared" si="71"/>
        <v>-45.494999999999997</v>
      </c>
      <c r="GO4305" s="110">
        <v>-45.494999999999997</v>
      </c>
    </row>
    <row r="4306" spans="1:230" x14ac:dyDescent="0.25">
      <c r="A4306" s="127">
        <v>45448</v>
      </c>
      <c r="B4306" s="24" t="s">
        <v>17</v>
      </c>
      <c r="C4306" s="21">
        <f t="shared" si="71"/>
        <v>-8.0250000000000004</v>
      </c>
      <c r="BI4306" s="106">
        <v>-8.0250000000000004</v>
      </c>
    </row>
    <row r="4307" spans="1:230" x14ac:dyDescent="0.25">
      <c r="A4307" s="127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74">
        <v>-9</v>
      </c>
      <c r="BI4307" s="106">
        <v>-8.0950000000000006</v>
      </c>
      <c r="BO4307" s="74">
        <v>-9.3949999999999996</v>
      </c>
      <c r="BU4307" s="106">
        <v>-8.5</v>
      </c>
      <c r="CA4307" s="106">
        <v>-9.32</v>
      </c>
      <c r="CY4307" s="74">
        <v>-9.01</v>
      </c>
    </row>
    <row r="4308" spans="1:230" x14ac:dyDescent="0.25">
      <c r="A4308" s="127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27">
        <v>45448</v>
      </c>
      <c r="B4309" s="24" t="s">
        <v>197</v>
      </c>
      <c r="C4309" s="21">
        <f t="shared" si="71"/>
        <v>-99.02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27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27">
        <v>45417</v>
      </c>
      <c r="B4311" s="24" t="s">
        <v>19</v>
      </c>
      <c r="C4311" s="21">
        <f t="shared" si="71"/>
        <v>94.974999999999994</v>
      </c>
      <c r="BE4311" s="126">
        <v>26.2</v>
      </c>
      <c r="BY4311" s="42">
        <v>35.76</v>
      </c>
      <c r="CF4311" s="69">
        <v>33.015000000000001</v>
      </c>
    </row>
    <row r="4312" spans="1:230" x14ac:dyDescent="0.25">
      <c r="A4312" s="127">
        <v>45448</v>
      </c>
      <c r="B4312" s="24" t="s">
        <v>29</v>
      </c>
      <c r="C4312" s="21">
        <f t="shared" si="71"/>
        <v>-8.0250000000000004</v>
      </c>
      <c r="BI4312" s="106">
        <v>-8.0250000000000004</v>
      </c>
    </row>
    <row r="4313" spans="1:230" x14ac:dyDescent="0.25">
      <c r="A4313" s="127">
        <v>45448</v>
      </c>
      <c r="B4313" s="24" t="s">
        <v>31</v>
      </c>
      <c r="C4313" s="21">
        <f t="shared" si="71"/>
        <v>-107.435</v>
      </c>
      <c r="GO4313" s="110">
        <v>-58.58</v>
      </c>
      <c r="HH4313" s="106">
        <v>-48.854999999999997</v>
      </c>
    </row>
    <row r="4314" spans="1:230" x14ac:dyDescent="0.25">
      <c r="A4314" s="127">
        <v>45449</v>
      </c>
      <c r="B4314" s="24" t="s">
        <v>17</v>
      </c>
      <c r="C4314" s="21">
        <f t="shared" si="71"/>
        <v>-89.6</v>
      </c>
      <c r="AG4314" s="106">
        <v>-8.8450000000000006</v>
      </c>
      <c r="AN4314" s="74">
        <v>-8.9149999999999991</v>
      </c>
      <c r="AR4314" s="74">
        <v>-9.3049999999999997</v>
      </c>
      <c r="AW4314" s="74">
        <v>-5.2549999999999999</v>
      </c>
      <c r="BA4314" s="42">
        <v>-8.86</v>
      </c>
      <c r="BI4314" s="106">
        <v>-8.0250000000000004</v>
      </c>
      <c r="BO4314" s="74">
        <v>-9.2899999999999991</v>
      </c>
      <c r="BU4314" s="106">
        <v>-8.4550000000000001</v>
      </c>
      <c r="CA4314" s="106">
        <v>-6.79</v>
      </c>
      <c r="CF4314" s="69">
        <v>-7.65</v>
      </c>
      <c r="CS4314" s="74">
        <v>-8.2100000000000009</v>
      </c>
    </row>
    <row r="4315" spans="1:230" x14ac:dyDescent="0.25">
      <c r="A4315" s="127">
        <v>45449</v>
      </c>
      <c r="B4315" s="24" t="s">
        <v>184</v>
      </c>
      <c r="C4315" s="21">
        <f t="shared" si="71"/>
        <v>-195.45</v>
      </c>
      <c r="I4315" s="84">
        <v>-6.31</v>
      </c>
      <c r="BA4315" s="42">
        <v>-8.85</v>
      </c>
      <c r="BI4315" s="106">
        <v>-8.5350000000000001</v>
      </c>
      <c r="BO4315" s="74">
        <v>-39.090000000000003</v>
      </c>
      <c r="BU4315" s="106">
        <v>-25.524999999999999</v>
      </c>
      <c r="CF4315" s="69">
        <f>-25.48-16.92</f>
        <v>-42.4</v>
      </c>
      <c r="CM4315" s="74">
        <v>-16.739999999999998</v>
      </c>
      <c r="DP4315" s="74">
        <v>-23.66</v>
      </c>
      <c r="DU4315" s="106">
        <v>-24.34</v>
      </c>
    </row>
    <row r="4316" spans="1:230" x14ac:dyDescent="0.25">
      <c r="A4316" s="127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27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74">
        <v>-8.1649999999999991</v>
      </c>
    </row>
    <row r="4318" spans="1:230" x14ac:dyDescent="0.25">
      <c r="A4318" s="127">
        <v>45450</v>
      </c>
      <c r="B4318" s="24" t="s">
        <v>139</v>
      </c>
      <c r="C4318" s="21">
        <f t="shared" si="71"/>
        <v>-16.625</v>
      </c>
      <c r="CS4318" s="74">
        <v>-8.24</v>
      </c>
      <c r="CY4318" s="74">
        <v>-8.3849999999999998</v>
      </c>
    </row>
    <row r="4319" spans="1:230" x14ac:dyDescent="0.25">
      <c r="A4319" s="127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27">
        <v>45450</v>
      </c>
      <c r="B4320" s="24" t="s">
        <v>75</v>
      </c>
      <c r="C4320" s="21">
        <f t="shared" si="71"/>
        <v>-8.6950000000000003</v>
      </c>
      <c r="BO4320" s="74">
        <v>-8.6950000000000003</v>
      </c>
    </row>
    <row r="4321" spans="1:214" x14ac:dyDescent="0.25">
      <c r="A4321" s="127">
        <v>45450</v>
      </c>
      <c r="B4321" s="24" t="s">
        <v>113</v>
      </c>
      <c r="C4321" s="21">
        <f t="shared" si="71"/>
        <v>1006.7</v>
      </c>
      <c r="BI4321" s="106">
        <v>96.77</v>
      </c>
      <c r="BO4321" s="74">
        <v>95.284999999999997</v>
      </c>
      <c r="CM4321" s="74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0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27">
        <v>45450</v>
      </c>
      <c r="B4322" s="24" t="s">
        <v>113</v>
      </c>
      <c r="C4322" s="21">
        <f t="shared" si="71"/>
        <v>958.15</v>
      </c>
      <c r="AW4322" s="74">
        <v>136.66999999999999</v>
      </c>
      <c r="BI4322" s="106">
        <v>96.534999999999997</v>
      </c>
      <c r="BU4322" s="106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27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106">
        <v>-16.895</v>
      </c>
      <c r="CA4323" s="106">
        <v>-6.2549999999999999</v>
      </c>
      <c r="CF4323" s="69">
        <v>-8.4149999999999991</v>
      </c>
      <c r="DE4323" s="74">
        <v>-30.52</v>
      </c>
    </row>
    <row r="4324" spans="1:214" x14ac:dyDescent="0.25">
      <c r="A4324" s="127">
        <v>45451</v>
      </c>
      <c r="B4324" s="24" t="s">
        <v>156</v>
      </c>
      <c r="C4324" s="21">
        <f t="shared" si="71"/>
        <v>-42.335000000000001</v>
      </c>
      <c r="E4324" s="145">
        <v>-25.3</v>
      </c>
      <c r="F4324" s="145">
        <v>-17.035</v>
      </c>
    </row>
    <row r="4325" spans="1:214" x14ac:dyDescent="0.25">
      <c r="A4325" s="127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27">
        <v>45451</v>
      </c>
      <c r="B4326" s="24" t="s">
        <v>19</v>
      </c>
      <c r="C4326" s="21">
        <f t="shared" si="71"/>
        <v>309.685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27">
        <v>45453</v>
      </c>
      <c r="B4327" s="24" t="s">
        <v>152</v>
      </c>
      <c r="C4327" s="21">
        <f t="shared" si="71"/>
        <v>-827.45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106">
        <v>-96.79</v>
      </c>
      <c r="BO4327" s="74">
        <v>-61.88</v>
      </c>
      <c r="BU4327" s="106">
        <v>-67.84</v>
      </c>
      <c r="CM4327" s="74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27">
        <v>45453</v>
      </c>
      <c r="B4328" s="24" t="s">
        <v>133</v>
      </c>
      <c r="C4328" s="21">
        <f t="shared" si="71"/>
        <v>-6.04</v>
      </c>
      <c r="GD4328" s="115">
        <v>-6.04</v>
      </c>
    </row>
    <row r="4329" spans="1:214" x14ac:dyDescent="0.25">
      <c r="A4329" s="127">
        <v>45454</v>
      </c>
      <c r="B4329" s="24" t="s">
        <v>184</v>
      </c>
      <c r="C4329" s="21">
        <f t="shared" si="71"/>
        <v>-84.504999999999995</v>
      </c>
      <c r="AR4329" s="74">
        <v>-8.5050000000000008</v>
      </c>
      <c r="BA4329" s="42">
        <v>-17.7</v>
      </c>
      <c r="BI4329" s="106">
        <v>-16.094999999999999</v>
      </c>
      <c r="BU4329" s="106">
        <v>-16.934999999999999</v>
      </c>
      <c r="BZ4329" s="69">
        <v>-16.895</v>
      </c>
      <c r="CF4329" s="69">
        <v>-8.375</v>
      </c>
    </row>
    <row r="4330" spans="1:214" x14ac:dyDescent="0.25">
      <c r="A4330" s="127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74">
        <v>-33.405000000000001</v>
      </c>
    </row>
    <row r="4331" spans="1:214" x14ac:dyDescent="0.25">
      <c r="A4331" s="127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27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27">
        <v>45454</v>
      </c>
      <c r="B4333" s="24" t="s">
        <v>222</v>
      </c>
      <c r="C4333" s="21">
        <f t="shared" si="71"/>
        <v>-25.355</v>
      </c>
      <c r="AN4333" s="74">
        <v>-8.875</v>
      </c>
      <c r="BI4333" s="106">
        <v>-8.0299999999999994</v>
      </c>
      <c r="BU4333" s="106">
        <v>-8.4499999999999993</v>
      </c>
    </row>
    <row r="4334" spans="1:214" x14ac:dyDescent="0.25">
      <c r="A4334" s="127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27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27">
        <v>45455</v>
      </c>
      <c r="B4336" s="24" t="s">
        <v>147</v>
      </c>
      <c r="C4336" s="21">
        <f t="shared" si="71"/>
        <v>-34.119999999999997</v>
      </c>
      <c r="AR4336" s="74">
        <v>-9.0050000000000008</v>
      </c>
      <c r="BA4336" s="42">
        <v>-8.86</v>
      </c>
      <c r="BI4336" s="106">
        <v>-8.0250000000000004</v>
      </c>
      <c r="BO4336" s="74">
        <v>-8.23</v>
      </c>
    </row>
    <row r="4337" spans="1:208" x14ac:dyDescent="0.25">
      <c r="A4337" s="127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74">
        <v>-8.375</v>
      </c>
      <c r="CS4337" s="74">
        <v>-8.26</v>
      </c>
    </row>
    <row r="4338" spans="1:208" x14ac:dyDescent="0.25">
      <c r="A4338" s="127">
        <v>45456</v>
      </c>
      <c r="B4338" s="24" t="s">
        <v>79</v>
      </c>
      <c r="C4338" s="21">
        <f t="shared" si="72"/>
        <v>-15.97</v>
      </c>
      <c r="BO4338" s="74">
        <v>-15.97</v>
      </c>
    </row>
    <row r="4339" spans="1:208" x14ac:dyDescent="0.25">
      <c r="A4339" s="127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27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27">
        <v>45457</v>
      </c>
      <c r="B4341" s="24" t="s">
        <v>180</v>
      </c>
      <c r="C4341" s="21">
        <f t="shared" si="72"/>
        <v>-74.454999999999998</v>
      </c>
      <c r="GO4341" s="110">
        <v>-74.454999999999998</v>
      </c>
    </row>
    <row r="4342" spans="1:208" x14ac:dyDescent="0.25">
      <c r="A4342" s="127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27">
        <v>45464</v>
      </c>
      <c r="B4343" s="24" t="s">
        <v>127</v>
      </c>
      <c r="C4343" s="21">
        <f t="shared" si="72"/>
        <v>-16.84</v>
      </c>
      <c r="CR4343" s="69">
        <v>-8.44</v>
      </c>
      <c r="CY4343" s="74">
        <v>-8.4</v>
      </c>
    </row>
    <row r="4344" spans="1:208" x14ac:dyDescent="0.25">
      <c r="A4344" s="127">
        <v>45464</v>
      </c>
      <c r="B4344" s="24" t="s">
        <v>197</v>
      </c>
      <c r="C4344" s="21">
        <f t="shared" si="72"/>
        <v>-122.89</v>
      </c>
      <c r="AW4344" s="74">
        <v>-8.5299999999999994</v>
      </c>
      <c r="BI4344" s="106">
        <v>-16.079999999999998</v>
      </c>
      <c r="BO4344" s="74">
        <v>-8.0299999999999994</v>
      </c>
      <c r="BU4344" s="106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27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27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74">
        <v>-8.0399999999999991</v>
      </c>
      <c r="BU4346" s="106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27">
        <v>45468</v>
      </c>
      <c r="B4347" s="24" t="s">
        <v>184</v>
      </c>
      <c r="C4347" s="21">
        <f t="shared" si="72"/>
        <v>-100.495</v>
      </c>
      <c r="AC4347" s="74">
        <v>-8.0500000000000007</v>
      </c>
      <c r="AW4347" s="74">
        <v>-8.6150000000000002</v>
      </c>
      <c r="BI4347" s="106">
        <v>-8.0500000000000007</v>
      </c>
      <c r="BM4347" s="88">
        <v>-7.4</v>
      </c>
      <c r="BY4347" s="42">
        <v>-8.65</v>
      </c>
      <c r="CM4347" s="74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27">
        <v>45467</v>
      </c>
      <c r="B4348" s="24" t="s">
        <v>48</v>
      </c>
      <c r="C4348" s="21">
        <f t="shared" si="72"/>
        <v>104.32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27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27">
        <v>45468</v>
      </c>
      <c r="B4350" s="24" t="s">
        <v>79</v>
      </c>
      <c r="C4350" s="21">
        <f t="shared" si="72"/>
        <v>-30.25</v>
      </c>
      <c r="BE4350" s="126">
        <v>-12.1</v>
      </c>
      <c r="BY4350" s="42">
        <v>-18.149999999999999</v>
      </c>
    </row>
    <row r="4351" spans="1:208" x14ac:dyDescent="0.25">
      <c r="A4351" s="127">
        <v>45468</v>
      </c>
      <c r="B4351" s="24" t="s">
        <v>20</v>
      </c>
      <c r="C4351" s="21">
        <f t="shared" si="72"/>
        <v>-39.335000000000001</v>
      </c>
      <c r="BE4351" s="126">
        <v>-14.1</v>
      </c>
      <c r="BI4351" s="106">
        <v>-8.0449999999999999</v>
      </c>
      <c r="BY4351" s="42">
        <v>-8.64</v>
      </c>
      <c r="CM4351" s="74">
        <v>-8.5500000000000007</v>
      </c>
    </row>
    <row r="4352" spans="1:208" x14ac:dyDescent="0.25">
      <c r="A4352" s="127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74">
        <v>-8.56</v>
      </c>
      <c r="BI4352" s="106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74">
        <v>-8.58</v>
      </c>
    </row>
    <row r="4353" spans="1:224" x14ac:dyDescent="0.25">
      <c r="A4353" s="127">
        <v>45469</v>
      </c>
      <c r="B4353" s="24" t="s">
        <v>198</v>
      </c>
      <c r="C4353" s="21">
        <f t="shared" si="72"/>
        <v>-42.35</v>
      </c>
      <c r="AP4353" s="42">
        <v>-8.24</v>
      </c>
      <c r="AW4353" s="74">
        <v>-8.5250000000000004</v>
      </c>
      <c r="BI4353" s="106">
        <v>-8.0449999999999999</v>
      </c>
      <c r="BM4353" s="88">
        <v>-8.73</v>
      </c>
      <c r="BY4353" s="42">
        <v>-8.81</v>
      </c>
    </row>
    <row r="4354" spans="1:224" x14ac:dyDescent="0.25">
      <c r="A4354" s="127">
        <v>45469</v>
      </c>
      <c r="B4354" s="24" t="s">
        <v>152</v>
      </c>
      <c r="C4354" s="21">
        <f t="shared" si="72"/>
        <v>-58.55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27">
        <v>45469</v>
      </c>
      <c r="B4355" s="24" t="s">
        <v>33</v>
      </c>
      <c r="C4355" s="21">
        <f t="shared" si="72"/>
        <v>-17.065000000000001</v>
      </c>
      <c r="AV4355" s="69">
        <v>-8.4450000000000003</v>
      </c>
      <c r="BU4355" s="106">
        <v>-8.6199999999999992</v>
      </c>
    </row>
    <row r="4356" spans="1:224" x14ac:dyDescent="0.25">
      <c r="A4356" s="127">
        <v>45469</v>
      </c>
      <c r="B4356" s="24" t="s">
        <v>169</v>
      </c>
      <c r="C4356" s="21">
        <f t="shared" si="72"/>
        <v>-7.31</v>
      </c>
      <c r="D4356" s="145">
        <v>-7.31</v>
      </c>
    </row>
    <row r="4357" spans="1:224" x14ac:dyDescent="0.25">
      <c r="A4357" s="127">
        <v>45469</v>
      </c>
      <c r="B4357" s="24" t="s">
        <v>139</v>
      </c>
      <c r="C4357" s="21">
        <f t="shared" si="72"/>
        <v>-48.11</v>
      </c>
      <c r="BI4357" s="106">
        <v>-8.0549999999999997</v>
      </c>
      <c r="BM4357" s="88">
        <v>-7.1</v>
      </c>
      <c r="BS4357" s="42">
        <v>-8.8650000000000002</v>
      </c>
      <c r="BZ4357" s="69">
        <v>-8.5299999999999994</v>
      </c>
      <c r="CM4357" s="74">
        <v>-8</v>
      </c>
      <c r="CS4357" s="74">
        <v>-7.56</v>
      </c>
    </row>
    <row r="4358" spans="1:224" x14ac:dyDescent="0.25">
      <c r="A4358" s="127">
        <v>45469</v>
      </c>
      <c r="B4358" s="24" t="s">
        <v>193</v>
      </c>
      <c r="C4358" s="21">
        <f t="shared" si="72"/>
        <v>-14.47</v>
      </c>
      <c r="CE4358" s="42">
        <v>-9.01</v>
      </c>
      <c r="CM4358" s="74">
        <v>-5.46</v>
      </c>
    </row>
    <row r="4359" spans="1:224" x14ac:dyDescent="0.25">
      <c r="A4359" s="127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27">
        <v>45470</v>
      </c>
      <c r="B4360" s="24" t="s">
        <v>140</v>
      </c>
      <c r="C4360" s="21">
        <f t="shared" si="72"/>
        <v>-58.034999999999997</v>
      </c>
      <c r="D4360" s="145">
        <v>-58.034999999999997</v>
      </c>
    </row>
    <row r="4361" spans="1:224" x14ac:dyDescent="0.25">
      <c r="A4361" s="127">
        <v>45470</v>
      </c>
      <c r="B4361" s="24" t="s">
        <v>115</v>
      </c>
      <c r="C4361" s="21">
        <f t="shared" si="72"/>
        <v>43.56</v>
      </c>
      <c r="G4361" s="145">
        <v>43.56</v>
      </c>
    </row>
    <row r="4362" spans="1:224" x14ac:dyDescent="0.25">
      <c r="A4362" s="127">
        <v>45470</v>
      </c>
      <c r="B4362" s="24" t="s">
        <v>169</v>
      </c>
      <c r="C4362" s="21">
        <f t="shared" si="72"/>
        <v>-21.69</v>
      </c>
      <c r="G4362" s="145">
        <v>-21.69</v>
      </c>
    </row>
    <row r="4363" spans="1:224" x14ac:dyDescent="0.25">
      <c r="A4363" s="127">
        <v>45470</v>
      </c>
      <c r="B4363" s="24" t="s">
        <v>169</v>
      </c>
      <c r="C4363" s="21">
        <f t="shared" si="72"/>
        <v>-21.87</v>
      </c>
      <c r="G4363" s="145">
        <v>-21.87</v>
      </c>
    </row>
    <row r="4364" spans="1:224" x14ac:dyDescent="0.25">
      <c r="A4364" s="127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106">
        <v>-8.0500000000000007</v>
      </c>
      <c r="BM4364" s="88">
        <v>-17.73</v>
      </c>
    </row>
    <row r="4365" spans="1:224" x14ac:dyDescent="0.25">
      <c r="A4365" s="127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74">
        <v>-8</v>
      </c>
    </row>
    <row r="4366" spans="1:224" x14ac:dyDescent="0.25">
      <c r="A4366" s="127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106">
        <v>-8.4649999999999999</v>
      </c>
      <c r="GZ4366" s="106">
        <v>-15.72</v>
      </c>
    </row>
    <row r="4367" spans="1:224" x14ac:dyDescent="0.25">
      <c r="A4367" s="127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27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27">
        <v>45471</v>
      </c>
      <c r="B4369" s="24" t="s">
        <v>113</v>
      </c>
      <c r="C4369" s="21">
        <f t="shared" si="72"/>
        <v>826.19500000000005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27">
        <v>45471</v>
      </c>
      <c r="B4370" s="24" t="s">
        <v>48</v>
      </c>
      <c r="C4370" s="21">
        <f t="shared" si="72"/>
        <v>-33.630000000000003</v>
      </c>
      <c r="BI4370" s="106">
        <v>-16.09</v>
      </c>
      <c r="BS4370" s="42">
        <v>-17.54</v>
      </c>
    </row>
    <row r="4371" spans="1:221" x14ac:dyDescent="0.25">
      <c r="A4371" s="127">
        <v>45472</v>
      </c>
      <c r="B4371" s="24" t="s">
        <v>199</v>
      </c>
      <c r="C4371" s="21">
        <f t="shared" si="72"/>
        <v>-104.425</v>
      </c>
      <c r="BX4371" s="115">
        <v>-8.82</v>
      </c>
      <c r="CJ4371" s="115">
        <v>-8.3699999999999992</v>
      </c>
      <c r="DC4371" s="42">
        <v>-8.56</v>
      </c>
      <c r="DH4371" s="115">
        <v>-33.61</v>
      </c>
      <c r="DP4371" s="74">
        <v>-45.064999999999998</v>
      </c>
    </row>
    <row r="4372" spans="1:221" x14ac:dyDescent="0.25">
      <c r="A4372" s="127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27">
        <v>45474</v>
      </c>
      <c r="B4373" s="24" t="s">
        <v>115</v>
      </c>
      <c r="C4373" s="21">
        <f t="shared" si="72"/>
        <v>237.94</v>
      </c>
      <c r="BR4373" s="115">
        <v>65.995000000000005</v>
      </c>
      <c r="BX4373" s="115">
        <v>71.400000000000006</v>
      </c>
      <c r="CJ4373" s="115">
        <v>66.935000000000002</v>
      </c>
      <c r="DH4373" s="115">
        <v>33.61</v>
      </c>
    </row>
    <row r="4374" spans="1:221" x14ac:dyDescent="0.25">
      <c r="A4374" s="127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74">
        <v>-8.59</v>
      </c>
      <c r="CS4374" s="74">
        <v>-9.0649999999999995</v>
      </c>
    </row>
    <row r="4375" spans="1:221" x14ac:dyDescent="0.25">
      <c r="A4375" s="127">
        <v>45475</v>
      </c>
      <c r="B4375" s="29" t="s">
        <v>139</v>
      </c>
      <c r="C4375" s="21">
        <f t="shared" si="72"/>
        <v>-8.4</v>
      </c>
      <c r="CJ4375" s="115">
        <v>-8.4</v>
      </c>
    </row>
    <row r="4376" spans="1:221" x14ac:dyDescent="0.25">
      <c r="A4376" s="127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58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27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74">
        <v>207.94</v>
      </c>
      <c r="BC4378" s="74">
        <v>231.08500000000001</v>
      </c>
      <c r="BI4378" s="106">
        <v>112.77500000000001</v>
      </c>
      <c r="DU4378" s="106">
        <v>214.54499999999999</v>
      </c>
      <c r="EA4378" s="74">
        <v>314.83999999999997</v>
      </c>
      <c r="GO4378" s="110">
        <v>143.25</v>
      </c>
    </row>
    <row r="4379" spans="1:221" x14ac:dyDescent="0.25">
      <c r="A4379" s="127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27">
        <v>45475</v>
      </c>
      <c r="B4380" s="24" t="s">
        <v>138</v>
      </c>
      <c r="C4380" s="21">
        <f t="shared" si="72"/>
        <v>-24.27</v>
      </c>
      <c r="BC4380" s="74">
        <v>-16.16</v>
      </c>
      <c r="BI4380" s="106">
        <v>-8.11</v>
      </c>
    </row>
    <row r="4381" spans="1:221" x14ac:dyDescent="0.25">
      <c r="A4381" s="127">
        <v>45475</v>
      </c>
      <c r="B4381" s="24" t="s">
        <v>75</v>
      </c>
      <c r="C4381" s="21">
        <f t="shared" si="72"/>
        <v>-16.21</v>
      </c>
      <c r="BC4381" s="74">
        <v>-8.1050000000000004</v>
      </c>
      <c r="BI4381" s="106">
        <v>-8.1050000000000004</v>
      </c>
    </row>
    <row r="4382" spans="1:221" x14ac:dyDescent="0.25">
      <c r="A4382" s="127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27">
        <v>45476</v>
      </c>
      <c r="B4383" s="24" t="s">
        <v>147</v>
      </c>
      <c r="C4383" s="21">
        <f t="shared" si="72"/>
        <v>-25.35</v>
      </c>
      <c r="BI4383" s="106">
        <v>-8.0150000000000006</v>
      </c>
      <c r="BX4383" s="115">
        <v>-8.7949999999999999</v>
      </c>
      <c r="BY4383" s="42">
        <v>-8.5399999999999991</v>
      </c>
    </row>
    <row r="4384" spans="1:221" x14ac:dyDescent="0.25">
      <c r="A4384" s="127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27">
        <v>45476</v>
      </c>
      <c r="B4385" s="24" t="s">
        <v>152</v>
      </c>
      <c r="C4385" s="21">
        <f t="shared" si="72"/>
        <v>-528.91</v>
      </c>
      <c r="BI4385" s="106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27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27">
        <v>45476</v>
      </c>
      <c r="B4387" s="24" t="s">
        <v>139</v>
      </c>
      <c r="C4387" s="21">
        <f t="shared" si="72"/>
        <v>-8.52</v>
      </c>
      <c r="BC4387" s="74">
        <v>-8.52</v>
      </c>
    </row>
    <row r="4388" spans="1:214" x14ac:dyDescent="0.25">
      <c r="A4388" s="127">
        <v>45476</v>
      </c>
      <c r="B4388" s="24" t="s">
        <v>127</v>
      </c>
      <c r="C4388" s="21">
        <f t="shared" si="72"/>
        <v>-33.090000000000003</v>
      </c>
      <c r="BC4388" s="74">
        <v>-15.9</v>
      </c>
      <c r="BX4388" s="115">
        <v>-8.83</v>
      </c>
      <c r="CJ4388" s="115">
        <v>-8.36</v>
      </c>
    </row>
    <row r="4389" spans="1:214" x14ac:dyDescent="0.25">
      <c r="A4389" s="127">
        <v>45476</v>
      </c>
      <c r="B4389" s="24" t="s">
        <v>17</v>
      </c>
      <c r="C4389" s="21">
        <f t="shared" si="72"/>
        <v>-24.44</v>
      </c>
      <c r="AR4389" s="74">
        <v>-7.89</v>
      </c>
      <c r="BI4389" s="106">
        <v>-8.1199999999999992</v>
      </c>
      <c r="BR4389" s="115">
        <v>-8.43</v>
      </c>
    </row>
    <row r="4390" spans="1:214" x14ac:dyDescent="0.25">
      <c r="A4390" s="127">
        <v>45477</v>
      </c>
      <c r="B4390" s="24" t="s">
        <v>193</v>
      </c>
      <c r="C4390" s="21">
        <f t="shared" si="72"/>
        <v>-16.125</v>
      </c>
      <c r="CM4390" s="74">
        <v>-8.5749999999999993</v>
      </c>
      <c r="CS4390" s="74">
        <v>-7.55</v>
      </c>
    </row>
    <row r="4391" spans="1:214" x14ac:dyDescent="0.25">
      <c r="A4391" s="127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27">
        <v>45478</v>
      </c>
      <c r="B4392" s="24" t="s">
        <v>79</v>
      </c>
      <c r="C4392" s="21">
        <f t="shared" si="72"/>
        <v>-8.8000000000000007</v>
      </c>
      <c r="BC4392" s="74">
        <v>-8.8000000000000007</v>
      </c>
    </row>
    <row r="4393" spans="1:214" x14ac:dyDescent="0.25">
      <c r="A4393" s="127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27">
        <v>45478</v>
      </c>
      <c r="B4394" s="24" t="s">
        <v>184</v>
      </c>
      <c r="C4394" s="21">
        <f t="shared" si="72"/>
        <v>-117.605</v>
      </c>
      <c r="Z4394" s="79">
        <v>-16.84</v>
      </c>
      <c r="AN4394" s="74">
        <v>-8.7949999999999999</v>
      </c>
      <c r="AR4394" s="74">
        <v>-8.5250000000000004</v>
      </c>
      <c r="BC4394" s="74">
        <v>-16.085000000000001</v>
      </c>
      <c r="BI4394" s="106">
        <v>-8.1150000000000002</v>
      </c>
      <c r="BR4394" s="115">
        <v>-16.84</v>
      </c>
      <c r="BX4394" s="115">
        <v>-16.965</v>
      </c>
      <c r="BY4394" s="42">
        <v>-8.48</v>
      </c>
      <c r="CJ4394" s="115">
        <v>-8.3350000000000009</v>
      </c>
      <c r="CM4394" s="74">
        <v>-8.625</v>
      </c>
    </row>
    <row r="4395" spans="1:214" x14ac:dyDescent="0.25">
      <c r="A4395" s="127">
        <v>45478</v>
      </c>
      <c r="B4395" s="24" t="s">
        <v>39</v>
      </c>
      <c r="C4395" s="21">
        <f t="shared" si="72"/>
        <v>-41.104999999999997</v>
      </c>
      <c r="BI4395" s="106">
        <v>-8.0950000000000006</v>
      </c>
      <c r="BR4395" s="115">
        <v>-8</v>
      </c>
      <c r="BX4395" s="115">
        <v>-9</v>
      </c>
      <c r="BY4395" s="42">
        <v>-8.4499999999999993</v>
      </c>
      <c r="CS4395" s="74">
        <v>-7.56</v>
      </c>
    </row>
    <row r="4396" spans="1:214" x14ac:dyDescent="0.25">
      <c r="A4396" s="127">
        <v>45481</v>
      </c>
      <c r="B4396" s="24" t="s">
        <v>201</v>
      </c>
      <c r="C4396" s="21">
        <f t="shared" si="72"/>
        <v>16.010000000000002</v>
      </c>
      <c r="D4396" s="145">
        <v>-7.49</v>
      </c>
      <c r="AD4396" s="115">
        <v>7.4</v>
      </c>
      <c r="AW4396" s="74">
        <v>16.100000000000001</v>
      </c>
    </row>
    <row r="4397" spans="1:214" x14ac:dyDescent="0.25">
      <c r="A4397" s="127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27">
        <v>45481</v>
      </c>
      <c r="B4398" s="24" t="s">
        <v>184</v>
      </c>
      <c r="C4398" s="21">
        <f t="shared" si="72"/>
        <v>-142.5</v>
      </c>
      <c r="AN4398" s="74">
        <v>-9</v>
      </c>
      <c r="AR4398" s="74">
        <v>-8.09</v>
      </c>
      <c r="AW4398" s="74">
        <v>-16.100000000000001</v>
      </c>
      <c r="BC4398" s="74">
        <v>-33.365000000000002</v>
      </c>
      <c r="BR4398" s="115">
        <v>-16.395</v>
      </c>
      <c r="CM4398" s="74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27">
        <v>45482</v>
      </c>
      <c r="B4399" s="24" t="s">
        <v>68</v>
      </c>
      <c r="C4399" s="21">
        <f t="shared" si="72"/>
        <v>-32.375</v>
      </c>
      <c r="BC4399" s="74">
        <v>-32.375</v>
      </c>
    </row>
    <row r="4400" spans="1:214" x14ac:dyDescent="0.25">
      <c r="A4400" s="127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27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27">
        <v>45482</v>
      </c>
      <c r="B4402" s="24" t="s">
        <v>20</v>
      </c>
      <c r="C4402" s="21">
        <f t="shared" si="73"/>
        <v>-33.305</v>
      </c>
      <c r="AR4402" s="74">
        <v>-7.72</v>
      </c>
      <c r="BI4402" s="106">
        <v>-8.1850000000000005</v>
      </c>
      <c r="BR4402" s="115">
        <v>-8.43</v>
      </c>
      <c r="BX4402" s="115">
        <v>-8.9700000000000006</v>
      </c>
    </row>
    <row r="4403" spans="1:212" x14ac:dyDescent="0.25">
      <c r="A4403" s="127">
        <v>45482</v>
      </c>
      <c r="B4403" s="24" t="s">
        <v>75</v>
      </c>
      <c r="C4403" s="21">
        <f t="shared" si="73"/>
        <v>-16.565000000000001</v>
      </c>
      <c r="CS4403" s="74">
        <v>-8.19</v>
      </c>
      <c r="CY4403" s="74">
        <v>-8.375</v>
      </c>
    </row>
    <row r="4404" spans="1:212" x14ac:dyDescent="0.25">
      <c r="A4404" s="127">
        <v>45482</v>
      </c>
      <c r="B4404" s="24" t="s">
        <v>196</v>
      </c>
      <c r="C4404" s="21">
        <f t="shared" si="73"/>
        <v>-7.34</v>
      </c>
      <c r="R4404" s="115">
        <v>2</v>
      </c>
      <c r="HD4404" s="92">
        <v>-9.34</v>
      </c>
    </row>
    <row r="4405" spans="1:212" x14ac:dyDescent="0.25">
      <c r="A4405" s="127">
        <v>45482</v>
      </c>
      <c r="B4405" s="29" t="s">
        <v>140</v>
      </c>
      <c r="C4405" s="21">
        <f t="shared" si="73"/>
        <v>0</v>
      </c>
    </row>
    <row r="4406" spans="1:212" x14ac:dyDescent="0.25">
      <c r="A4406" s="127">
        <v>45482</v>
      </c>
      <c r="B4406" s="24" t="s">
        <v>48</v>
      </c>
      <c r="C4406" s="21">
        <f t="shared" si="73"/>
        <v>-0.12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27">
        <v>45483</v>
      </c>
      <c r="B4407" s="24" t="s">
        <v>180</v>
      </c>
      <c r="C4407" s="21">
        <f t="shared" si="73"/>
        <v>-113.97499999999999</v>
      </c>
      <c r="GO4407" s="110">
        <v>-113.97499999999999</v>
      </c>
    </row>
    <row r="4408" spans="1:212" x14ac:dyDescent="0.25">
      <c r="A4408" s="127">
        <v>45483</v>
      </c>
      <c r="B4408" s="24" t="s">
        <v>202</v>
      </c>
      <c r="C4408" s="21">
        <f t="shared" si="73"/>
        <v>-28.815000000000001</v>
      </c>
      <c r="E4408" s="145">
        <v>-28.815000000000001</v>
      </c>
    </row>
    <row r="4409" spans="1:212" x14ac:dyDescent="0.25">
      <c r="A4409" s="127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74">
        <v>-17.155000000000001</v>
      </c>
    </row>
    <row r="4410" spans="1:212" x14ac:dyDescent="0.25">
      <c r="A4410" s="127">
        <v>45484</v>
      </c>
      <c r="B4410" s="24" t="s">
        <v>139</v>
      </c>
      <c r="C4410" s="21">
        <f t="shared" si="73"/>
        <v>-16.940000000000001</v>
      </c>
      <c r="Z4410" s="79">
        <v>-8.44</v>
      </c>
      <c r="AC4410" s="74">
        <v>-8.5</v>
      </c>
    </row>
    <row r="4411" spans="1:212" x14ac:dyDescent="0.25">
      <c r="A4411" s="127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27">
        <v>45485</v>
      </c>
      <c r="B4412" s="24" t="s">
        <v>79</v>
      </c>
      <c r="C4412" s="21">
        <f t="shared" si="73"/>
        <v>0</v>
      </c>
    </row>
    <row r="4413" spans="1:212" x14ac:dyDescent="0.25">
      <c r="A4413" s="127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27">
        <v>45485</v>
      </c>
      <c r="B4414" s="24" t="s">
        <v>64</v>
      </c>
      <c r="C4414" s="21">
        <f t="shared" si="73"/>
        <v>104.24</v>
      </c>
      <c r="AW4414" s="74">
        <v>104.24</v>
      </c>
    </row>
    <row r="4415" spans="1:212" x14ac:dyDescent="0.25">
      <c r="A4415" s="127">
        <v>45486</v>
      </c>
      <c r="B4415" s="24" t="s">
        <v>113</v>
      </c>
      <c r="C4415" s="21">
        <f t="shared" si="73"/>
        <v>907.48</v>
      </c>
      <c r="BI4415" s="106">
        <v>205.56</v>
      </c>
      <c r="BO4415" s="74">
        <v>98.33</v>
      </c>
      <c r="BU4415" s="106">
        <v>83.375</v>
      </c>
      <c r="CA4415" s="106">
        <v>99.564999999999998</v>
      </c>
      <c r="CG4415" s="106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27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27">
        <v>45489</v>
      </c>
      <c r="B4417" s="24" t="s">
        <v>25</v>
      </c>
      <c r="C4417" s="21">
        <f t="shared" si="73"/>
        <v>-16.625</v>
      </c>
      <c r="AW4417" s="74">
        <v>-8.5399999999999991</v>
      </c>
      <c r="BO4417" s="74">
        <v>-8.0850000000000009</v>
      </c>
    </row>
    <row r="4418" spans="1:216" x14ac:dyDescent="0.25">
      <c r="A4418" s="127">
        <v>45489</v>
      </c>
      <c r="B4418" s="24" t="s">
        <v>20</v>
      </c>
      <c r="C4418" s="21">
        <f t="shared" si="73"/>
        <v>-34.255000000000003</v>
      </c>
      <c r="CA4418" s="106">
        <v>-8.7349999999999994</v>
      </c>
      <c r="CG4418" s="106">
        <v>-8.34</v>
      </c>
      <c r="CM4418" s="74">
        <v>-8.5449999999999999</v>
      </c>
      <c r="CS4418" s="74">
        <v>-8.6349999999999998</v>
      </c>
    </row>
    <row r="4419" spans="1:216" x14ac:dyDescent="0.25">
      <c r="A4419" s="127">
        <v>45489</v>
      </c>
      <c r="B4419" s="24" t="s">
        <v>75</v>
      </c>
      <c r="C4419" s="21">
        <f t="shared" si="73"/>
        <v>-8.1300000000000008</v>
      </c>
      <c r="BC4419" s="74">
        <v>-8.1300000000000008</v>
      </c>
    </row>
    <row r="4420" spans="1:216" x14ac:dyDescent="0.25">
      <c r="A4420" s="127">
        <v>45489</v>
      </c>
      <c r="B4420" s="24" t="s">
        <v>31</v>
      </c>
      <c r="C4420" s="21">
        <f t="shared" si="73"/>
        <v>-63.685000000000002</v>
      </c>
      <c r="GO4420" s="110">
        <v>-29.274999999999999</v>
      </c>
      <c r="HH4420" s="106">
        <v>-34.409999999999997</v>
      </c>
    </row>
    <row r="4421" spans="1:216" x14ac:dyDescent="0.25">
      <c r="A4421" s="127">
        <v>45489</v>
      </c>
      <c r="B4421" s="24" t="s">
        <v>139</v>
      </c>
      <c r="C4421" s="21">
        <f t="shared" si="73"/>
        <v>-25.055</v>
      </c>
      <c r="BU4421" s="106">
        <v>-8.1999999999999993</v>
      </c>
      <c r="CA4421" s="106">
        <v>-8.5500000000000007</v>
      </c>
      <c r="CG4421" s="106">
        <v>-8.3049999999999997</v>
      </c>
    </row>
    <row r="4422" spans="1:216" x14ac:dyDescent="0.25">
      <c r="A4422" s="127">
        <v>45490</v>
      </c>
      <c r="B4422" s="24" t="s">
        <v>48</v>
      </c>
      <c r="C4422" s="21">
        <f t="shared" si="73"/>
        <v>29.114999999999998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27">
        <v>45490</v>
      </c>
      <c r="B4423" s="24" t="s">
        <v>17</v>
      </c>
      <c r="C4423" s="21">
        <f t="shared" si="73"/>
        <v>-41.72</v>
      </c>
      <c r="AC4423" s="74">
        <v>-8.49</v>
      </c>
      <c r="AW4423" s="74">
        <v>-8.0500000000000007</v>
      </c>
      <c r="BI4423" s="106">
        <v>-8.4250000000000007</v>
      </c>
      <c r="BO4423" s="74">
        <v>-8.0549999999999997</v>
      </c>
      <c r="BU4423" s="106">
        <v>-8.6999999999999993</v>
      </c>
    </row>
    <row r="4424" spans="1:216" x14ac:dyDescent="0.25">
      <c r="A4424" s="127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27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74">
        <v>-8.0500000000000007</v>
      </c>
      <c r="BI4425" s="106">
        <v>-33.89</v>
      </c>
      <c r="BO4425" s="74">
        <v>-16.145</v>
      </c>
      <c r="BU4425" s="106">
        <v>-33.03</v>
      </c>
      <c r="CA4425" s="106">
        <v>-24.594999999999999</v>
      </c>
      <c r="CG4425" s="106">
        <v>-8.81</v>
      </c>
      <c r="CM4425" s="74">
        <v>-8.6549999999999994</v>
      </c>
      <c r="CS4425" s="74">
        <v>-14.18</v>
      </c>
    </row>
    <row r="4426" spans="1:216" x14ac:dyDescent="0.25">
      <c r="A4426" s="127">
        <v>45490</v>
      </c>
      <c r="B4426" s="24" t="s">
        <v>169</v>
      </c>
      <c r="C4426" s="21">
        <f t="shared" si="73"/>
        <v>-92.734999999999999</v>
      </c>
      <c r="E4426" s="145">
        <v>-59.634999999999998</v>
      </c>
      <c r="F4426" s="145">
        <v>-33.1</v>
      </c>
    </row>
    <row r="4427" spans="1:216" x14ac:dyDescent="0.25">
      <c r="A4427" s="127">
        <v>45490</v>
      </c>
      <c r="B4427" s="24" t="s">
        <v>193</v>
      </c>
      <c r="C4427" s="21">
        <f t="shared" si="73"/>
        <v>-8.11</v>
      </c>
      <c r="CY4427" s="74">
        <v>-8.11</v>
      </c>
    </row>
    <row r="4428" spans="1:216" x14ac:dyDescent="0.25">
      <c r="A4428" s="127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27">
        <v>45490</v>
      </c>
      <c r="B4429" s="24" t="s">
        <v>203</v>
      </c>
      <c r="C4429" s="21">
        <f t="shared" si="73"/>
        <v>-33.9</v>
      </c>
      <c r="AL4429" s="42">
        <v>-8.02</v>
      </c>
      <c r="AR4429" s="74">
        <v>-7.86</v>
      </c>
      <c r="AW4429" s="74">
        <v>-8.9499999999999993</v>
      </c>
      <c r="BC4429" s="74">
        <v>-8.1349999999999998</v>
      </c>
      <c r="BG4429" s="42">
        <v>-6.92</v>
      </c>
      <c r="BI4429" s="106">
        <v>-7.5</v>
      </c>
      <c r="BM4429" s="88">
        <v>-16.61</v>
      </c>
      <c r="BU4429" s="106">
        <v>-16.895</v>
      </c>
      <c r="CA4429" s="106">
        <v>-14.4</v>
      </c>
      <c r="CE4429" s="42">
        <v>-9.01</v>
      </c>
      <c r="CG4429" s="106">
        <f>-8.45-8.315-8.3</f>
        <v>-25.065000000000001</v>
      </c>
      <c r="CM4429" s="74">
        <v>-17.14</v>
      </c>
      <c r="CS4429" s="74">
        <v>-16.975000000000001</v>
      </c>
      <c r="DM4429" s="150">
        <v>16.59</v>
      </c>
      <c r="DR4429" s="46">
        <v>9.73</v>
      </c>
      <c r="EC4429" s="126">
        <v>10.15</v>
      </c>
      <c r="EI4429" s="150">
        <v>16.91</v>
      </c>
      <c r="EM4429" s="150">
        <v>8.74</v>
      </c>
      <c r="EQ4429" s="46">
        <v>24.9</v>
      </c>
      <c r="EU4429" s="126">
        <v>17.010000000000002</v>
      </c>
      <c r="EX4429" s="251">
        <v>13.35</v>
      </c>
      <c r="FD4429" s="126">
        <v>12.2</v>
      </c>
    </row>
    <row r="4430" spans="1:216" x14ac:dyDescent="0.25">
      <c r="A4430" s="127">
        <v>45491</v>
      </c>
      <c r="B4430" s="24" t="s">
        <v>58</v>
      </c>
      <c r="C4430" s="21">
        <f t="shared" si="73"/>
        <v>-7.9</v>
      </c>
      <c r="BR4430" s="115">
        <v>-7.9</v>
      </c>
    </row>
    <row r="4431" spans="1:216" x14ac:dyDescent="0.25">
      <c r="A4431" s="127">
        <v>45491</v>
      </c>
      <c r="B4431" s="24" t="s">
        <v>204</v>
      </c>
      <c r="C4431" s="21">
        <f t="shared" si="73"/>
        <v>-16.62</v>
      </c>
      <c r="AW4431" s="74">
        <v>-8</v>
      </c>
      <c r="BM4431" s="88">
        <v>-8.6199999999999992</v>
      </c>
    </row>
    <row r="4432" spans="1:216" x14ac:dyDescent="0.25">
      <c r="A4432" s="127">
        <v>45491</v>
      </c>
      <c r="B4432" s="24" t="s">
        <v>17</v>
      </c>
      <c r="C4432" s="21">
        <f t="shared" si="73"/>
        <v>-116.8</v>
      </c>
      <c r="AL4432" s="42">
        <v>-7.45</v>
      </c>
      <c r="AR4432" s="74">
        <v>-8.1950000000000003</v>
      </c>
      <c r="AW4432" s="74">
        <v>-16.149999999999999</v>
      </c>
      <c r="BI4432" s="106">
        <v>-17.164999999999999</v>
      </c>
      <c r="BO4432" s="74">
        <v>-16.524999999999999</v>
      </c>
      <c r="BU4432" s="106">
        <v>-8.3849999999999998</v>
      </c>
      <c r="CA4432" s="106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27">
        <v>45492</v>
      </c>
      <c r="B4433" s="24" t="s">
        <v>25</v>
      </c>
      <c r="C4433" s="21">
        <f t="shared" si="73"/>
        <v>-25.77</v>
      </c>
      <c r="BU4433" s="106">
        <v>-8.1649999999999991</v>
      </c>
      <c r="CA4433" s="106">
        <v>-9.25</v>
      </c>
      <c r="CJ4433" s="115">
        <v>-8.3550000000000004</v>
      </c>
    </row>
    <row r="4434" spans="1:231" x14ac:dyDescent="0.25">
      <c r="A4434" s="127">
        <v>45492</v>
      </c>
      <c r="B4434" s="24" t="s">
        <v>75</v>
      </c>
      <c r="C4434" s="21">
        <f t="shared" si="73"/>
        <v>-8.0150000000000006</v>
      </c>
      <c r="BC4434" s="74">
        <v>-8.0150000000000006</v>
      </c>
    </row>
    <row r="4435" spans="1:231" x14ac:dyDescent="0.25">
      <c r="A4435" s="127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27">
        <v>45492</v>
      </c>
      <c r="B4436" s="24" t="s">
        <v>115</v>
      </c>
      <c r="C4436" s="21">
        <f t="shared" si="73"/>
        <v>129.22999999999999</v>
      </c>
      <c r="D4436" s="145">
        <v>67.825000000000003</v>
      </c>
      <c r="E4436" s="145">
        <v>61.405000000000001</v>
      </c>
    </row>
    <row r="4437" spans="1:231" x14ac:dyDescent="0.25">
      <c r="A4437" s="127">
        <v>45493</v>
      </c>
      <c r="B4437" s="24" t="s">
        <v>137</v>
      </c>
      <c r="C4437" s="21">
        <f t="shared" si="73"/>
        <v>-43.034999999999997</v>
      </c>
      <c r="AL4437" s="42">
        <v>-7.98</v>
      </c>
      <c r="AW4437" s="74">
        <v>-8.5</v>
      </c>
      <c r="BO4437" s="74">
        <v>-8.2449999999999992</v>
      </c>
      <c r="BX4437" s="115">
        <v>-10.02</v>
      </c>
      <c r="CG4437" s="106">
        <v>-8.2899999999999991</v>
      </c>
    </row>
    <row r="4438" spans="1:231" x14ac:dyDescent="0.25">
      <c r="A4438" s="127">
        <v>45493</v>
      </c>
      <c r="B4438" s="24" t="s">
        <v>113</v>
      </c>
      <c r="C4438" s="21">
        <f t="shared" si="73"/>
        <v>949.01</v>
      </c>
      <c r="AW4438" s="74">
        <v>96.685000000000002</v>
      </c>
      <c r="BC4438" s="74">
        <v>116.27500000000001</v>
      </c>
      <c r="BO4438" s="74">
        <v>67.400000000000006</v>
      </c>
      <c r="BU4438" s="106">
        <v>84.954999999999998</v>
      </c>
      <c r="CA4438" s="106">
        <v>97.62</v>
      </c>
      <c r="CG4438" s="106">
        <v>116.91500000000001</v>
      </c>
      <c r="CM4438" s="74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27">
        <v>45495</v>
      </c>
      <c r="B4439" s="24" t="s">
        <v>193</v>
      </c>
      <c r="C4439" s="21">
        <f t="shared" si="73"/>
        <v>-7.165</v>
      </c>
      <c r="BU4439" s="106">
        <v>-7.165</v>
      </c>
    </row>
    <row r="4440" spans="1:231" x14ac:dyDescent="0.25">
      <c r="A4440" s="127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27">
        <v>45495</v>
      </c>
      <c r="B4441" s="24" t="s">
        <v>184</v>
      </c>
      <c r="C4441" s="21">
        <f t="shared" si="73"/>
        <v>-56.62</v>
      </c>
      <c r="AW4441" s="74">
        <v>-8.34</v>
      </c>
      <c r="BC4441" s="74">
        <v>-33.119999999999997</v>
      </c>
      <c r="BU4441" s="106">
        <v>-8.1850000000000005</v>
      </c>
      <c r="CA4441" s="106">
        <v>-6.9749999999999996</v>
      </c>
    </row>
    <row r="4442" spans="1:231" x14ac:dyDescent="0.25">
      <c r="A4442" s="127">
        <v>45495</v>
      </c>
      <c r="B4442" s="24" t="s">
        <v>17</v>
      </c>
      <c r="C4442" s="21">
        <f t="shared" si="73"/>
        <v>-16.64</v>
      </c>
      <c r="CA4442" s="106">
        <v>-16.64</v>
      </c>
    </row>
    <row r="4443" spans="1:231" x14ac:dyDescent="0.25">
      <c r="A4443" s="127">
        <v>45496</v>
      </c>
      <c r="B4443" s="24" t="s">
        <v>139</v>
      </c>
      <c r="C4443" s="21">
        <f t="shared" si="73"/>
        <v>-16.899999999999999</v>
      </c>
      <c r="BO4443" s="74">
        <v>-8.375</v>
      </c>
      <c r="CG4443" s="106">
        <v>-8.5250000000000004</v>
      </c>
    </row>
    <row r="4444" spans="1:231" x14ac:dyDescent="0.25">
      <c r="A4444" s="127">
        <v>45496</v>
      </c>
      <c r="B4444" s="24" t="s">
        <v>20</v>
      </c>
      <c r="C4444" s="21">
        <f t="shared" si="73"/>
        <v>-23.495000000000001</v>
      </c>
      <c r="BI4444" s="106">
        <v>-8.15</v>
      </c>
      <c r="BO4444" s="74">
        <v>-7.8949999999999996</v>
      </c>
      <c r="BU4444" s="106">
        <v>-7.45</v>
      </c>
    </row>
    <row r="4445" spans="1:231" x14ac:dyDescent="0.25">
      <c r="A4445" s="127">
        <v>45496</v>
      </c>
      <c r="B4445" s="24" t="s">
        <v>147</v>
      </c>
      <c r="C4445" s="21">
        <f t="shared" si="73"/>
        <v>-33.729999999999997</v>
      </c>
      <c r="BC4445" s="74">
        <v>-8.32</v>
      </c>
      <c r="BO4445" s="74">
        <v>-8.5299999999999994</v>
      </c>
      <c r="CG4445" s="106">
        <v>-8.2899999999999991</v>
      </c>
      <c r="CM4445" s="74">
        <v>-8.59</v>
      </c>
    </row>
    <row r="4446" spans="1:231" x14ac:dyDescent="0.25">
      <c r="A4446" s="127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27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74">
        <v>-8.2449999999999992</v>
      </c>
    </row>
    <row r="4448" spans="1:231" x14ac:dyDescent="0.25">
      <c r="A4448" s="127">
        <v>45496</v>
      </c>
      <c r="B4448" s="24" t="s">
        <v>115</v>
      </c>
      <c r="C4448" s="21">
        <f t="shared" si="73"/>
        <v>42.774999999999999</v>
      </c>
      <c r="E4448" s="145">
        <v>42.774999999999999</v>
      </c>
    </row>
    <row r="4449" spans="1:208" x14ac:dyDescent="0.25">
      <c r="A4449" s="127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27">
        <v>45498</v>
      </c>
      <c r="B4450" s="24" t="s">
        <v>200</v>
      </c>
      <c r="C4450" s="21">
        <f t="shared" si="73"/>
        <v>-33.57</v>
      </c>
      <c r="CG4450" s="106">
        <v>-33.57</v>
      </c>
    </row>
    <row r="4451" spans="1:208" x14ac:dyDescent="0.25">
      <c r="A4451" s="127">
        <v>45499</v>
      </c>
      <c r="B4451" s="24" t="s">
        <v>138</v>
      </c>
      <c r="C4451" s="21">
        <f t="shared" si="73"/>
        <v>-15.895</v>
      </c>
      <c r="AL4451" s="42">
        <v>-8.01</v>
      </c>
      <c r="AR4451" s="74">
        <v>-7.8849999999999998</v>
      </c>
    </row>
    <row r="4452" spans="1:208" x14ac:dyDescent="0.25">
      <c r="A4452" s="127">
        <v>45499</v>
      </c>
      <c r="B4452" s="24" t="s">
        <v>20</v>
      </c>
      <c r="C4452" s="21">
        <f t="shared" si="73"/>
        <v>-16.579999999999998</v>
      </c>
      <c r="AW4452" s="74">
        <v>-8.23</v>
      </c>
      <c r="BC4452" s="74">
        <v>-8.35</v>
      </c>
    </row>
    <row r="4453" spans="1:208" x14ac:dyDescent="0.25">
      <c r="A4453" s="127">
        <v>45499</v>
      </c>
      <c r="B4453" s="24" t="s">
        <v>184</v>
      </c>
      <c r="C4453" s="21">
        <f t="shared" si="73"/>
        <v>-108.1</v>
      </c>
      <c r="AW4453" s="74">
        <v>-7.58</v>
      </c>
      <c r="BI4453" s="106">
        <v>-17.920000000000002</v>
      </c>
      <c r="BO4453" s="74">
        <v>-17.055</v>
      </c>
      <c r="BU4453" s="106">
        <v>-14.99</v>
      </c>
      <c r="CA4453" s="106">
        <v>-16.95</v>
      </c>
      <c r="CG4453" s="106">
        <v>-8.3800000000000008</v>
      </c>
      <c r="CM4453" s="74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27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27">
        <v>45500</v>
      </c>
      <c r="B4455" s="24" t="s">
        <v>20</v>
      </c>
      <c r="C4455" s="21">
        <f t="shared" si="73"/>
        <v>-33.255000000000003</v>
      </c>
      <c r="BU4455" s="106">
        <v>-8.14</v>
      </c>
      <c r="CG4455" s="106">
        <v>-8.4049999999999994</v>
      </c>
      <c r="CM4455" s="74">
        <v>-8.1999999999999993</v>
      </c>
      <c r="CS4455" s="74">
        <v>-8.51</v>
      </c>
    </row>
    <row r="4456" spans="1:208" x14ac:dyDescent="0.25">
      <c r="A4456" s="127">
        <v>45500</v>
      </c>
      <c r="B4456" s="24" t="s">
        <v>184</v>
      </c>
      <c r="C4456" s="21">
        <f t="shared" si="73"/>
        <v>-24.875</v>
      </c>
      <c r="CM4456" s="74">
        <f>-8.24-8.245</f>
        <v>-16.484999999999999</v>
      </c>
      <c r="EA4456" s="74">
        <v>-8.39</v>
      </c>
    </row>
    <row r="4457" spans="1:208" x14ac:dyDescent="0.25">
      <c r="A4457" s="127">
        <v>45500</v>
      </c>
      <c r="B4457" s="24" t="s">
        <v>222</v>
      </c>
      <c r="C4457" s="21">
        <f t="shared" si="73"/>
        <v>-9.3049999999999997</v>
      </c>
      <c r="CA4457" s="106">
        <v>-9.3049999999999997</v>
      </c>
    </row>
    <row r="4458" spans="1:208" x14ac:dyDescent="0.25">
      <c r="A4458" s="127">
        <v>45502</v>
      </c>
      <c r="B4458" s="24" t="s">
        <v>184</v>
      </c>
      <c r="C4458" s="21">
        <f t="shared" si="73"/>
        <v>-38.6</v>
      </c>
      <c r="BI4458" s="106">
        <v>-8.9600000000000009</v>
      </c>
      <c r="BO4458" s="74">
        <v>-8.3849999999999998</v>
      </c>
      <c r="BU4458" s="106">
        <v>-5.3150000000000004</v>
      </c>
      <c r="CA4458" s="106">
        <v>-7.6950000000000003</v>
      </c>
      <c r="CM4458" s="74">
        <v>-8.2449999999999992</v>
      </c>
    </row>
    <row r="4459" spans="1:208" x14ac:dyDescent="0.25">
      <c r="A4459" s="127">
        <v>45502</v>
      </c>
      <c r="B4459" s="24" t="s">
        <v>48</v>
      </c>
      <c r="C4459" s="21">
        <f t="shared" si="73"/>
        <v>-64.965000000000003</v>
      </c>
      <c r="AC4459" s="74">
        <f>-8.515-8.545</f>
        <v>-17.059999999999999</v>
      </c>
      <c r="AW4459" s="74">
        <f>-8.365-7.125</f>
        <v>-15.49</v>
      </c>
      <c r="CA4459" s="106">
        <v>-32.414999999999999</v>
      </c>
    </row>
    <row r="4460" spans="1:208" x14ac:dyDescent="0.25">
      <c r="A4460" s="127">
        <v>45502</v>
      </c>
      <c r="B4460" s="24" t="s">
        <v>17</v>
      </c>
      <c r="C4460" s="21">
        <f t="shared" si="73"/>
        <v>-8.4849999999999994</v>
      </c>
      <c r="BO4460" s="74">
        <v>-8.4849999999999994</v>
      </c>
    </row>
    <row r="4461" spans="1:208" x14ac:dyDescent="0.25">
      <c r="A4461" s="127">
        <v>45502</v>
      </c>
      <c r="B4461" s="24" t="s">
        <v>188</v>
      </c>
      <c r="C4461" s="21">
        <f t="shared" si="73"/>
        <v>-25.785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27">
        <v>45503</v>
      </c>
      <c r="B4462" s="24" t="s">
        <v>75</v>
      </c>
      <c r="C4462" s="21">
        <f t="shared" si="73"/>
        <v>-8.0950000000000006</v>
      </c>
      <c r="BU4462" s="106">
        <v>-8.0950000000000006</v>
      </c>
    </row>
    <row r="4463" spans="1:208" x14ac:dyDescent="0.25">
      <c r="A4463" s="127">
        <v>45503</v>
      </c>
      <c r="B4463" s="24" t="s">
        <v>20</v>
      </c>
      <c r="C4463" s="21">
        <f t="shared" si="73"/>
        <v>-50.63</v>
      </c>
      <c r="AR4463" s="74">
        <v>-7.875</v>
      </c>
      <c r="BI4463" s="106">
        <v>-8.98</v>
      </c>
      <c r="CM4463" s="74">
        <v>-8.2200000000000006</v>
      </c>
      <c r="GZ4463" s="106">
        <v>-25.555</v>
      </c>
    </row>
    <row r="4464" spans="1:208" x14ac:dyDescent="0.25">
      <c r="A4464" s="127">
        <v>45503</v>
      </c>
      <c r="B4464" s="24" t="s">
        <v>138</v>
      </c>
      <c r="C4464" s="21">
        <f t="shared" si="73"/>
        <v>-24.56</v>
      </c>
      <c r="CG4464" s="106">
        <v>-8.41</v>
      </c>
      <c r="CM4464" s="74">
        <v>-8.2149999999999999</v>
      </c>
      <c r="CS4464" s="74">
        <v>-7.9349999999999996</v>
      </c>
    </row>
    <row r="4465" spans="1:226" x14ac:dyDescent="0.25">
      <c r="A4465" s="127">
        <v>45503</v>
      </c>
      <c r="B4465" s="24" t="s">
        <v>197</v>
      </c>
      <c r="C4465" s="21">
        <f t="shared" ref="C4465:C4528" si="74">SUM(D4465:JT4465)</f>
        <v>-99.09</v>
      </c>
      <c r="BC4465" s="74">
        <v>-8.2750000000000004</v>
      </c>
      <c r="BI4465" s="106">
        <v>-17.074999999999999</v>
      </c>
      <c r="BU4465" s="106">
        <v>-15.63</v>
      </c>
      <c r="CA4465" s="106">
        <v>-16.425000000000001</v>
      </c>
      <c r="CG4465" s="106">
        <v>-8.39</v>
      </c>
      <c r="CM4465" s="74">
        <v>-16.47</v>
      </c>
      <c r="CS4465" s="74">
        <v>-16.824999999999999</v>
      </c>
    </row>
    <row r="4466" spans="1:226" x14ac:dyDescent="0.25">
      <c r="A4466" s="127">
        <v>45503</v>
      </c>
      <c r="B4466" s="24" t="s">
        <v>29</v>
      </c>
      <c r="C4466" s="21">
        <f t="shared" si="74"/>
        <v>-8.93</v>
      </c>
      <c r="BI4466" s="106">
        <v>-8.93</v>
      </c>
    </row>
    <row r="4467" spans="1:226" x14ac:dyDescent="0.25">
      <c r="A4467" s="127">
        <v>45503</v>
      </c>
      <c r="B4467" s="24" t="s">
        <v>68</v>
      </c>
      <c r="C4467" s="21">
        <f t="shared" si="74"/>
        <v>-64.605000000000004</v>
      </c>
      <c r="BC4467" s="74">
        <v>-8.2650000000000006</v>
      </c>
      <c r="BI4467" s="106">
        <v>-22.56</v>
      </c>
      <c r="BO4467" s="74">
        <v>-24.78</v>
      </c>
      <c r="CS4467" s="74">
        <v>-9</v>
      </c>
    </row>
    <row r="4468" spans="1:226" x14ac:dyDescent="0.25">
      <c r="A4468" s="127">
        <v>45503</v>
      </c>
      <c r="B4468" s="24" t="s">
        <v>139</v>
      </c>
      <c r="C4468" s="21">
        <f t="shared" si="74"/>
        <v>-8.2449999999999992</v>
      </c>
      <c r="CG4468" s="106">
        <v>-8.2449999999999992</v>
      </c>
    </row>
    <row r="4469" spans="1:226" x14ac:dyDescent="0.25">
      <c r="A4469" s="127">
        <v>45503</v>
      </c>
      <c r="B4469" s="24" t="s">
        <v>130</v>
      </c>
      <c r="C4469" s="21">
        <f t="shared" si="74"/>
        <v>-8.25</v>
      </c>
      <c r="BO4469" s="74">
        <v>-8.25</v>
      </c>
    </row>
    <row r="4470" spans="1:226" x14ac:dyDescent="0.25">
      <c r="A4470" s="127">
        <v>45503</v>
      </c>
      <c r="B4470" s="24" t="s">
        <v>39</v>
      </c>
      <c r="C4470" s="21">
        <f t="shared" si="74"/>
        <v>-34.125</v>
      </c>
      <c r="BC4470" s="74">
        <f>-8.28-8.37</f>
        <v>-16.649999999999999</v>
      </c>
      <c r="BI4470" s="106">
        <v>-8.9499999999999993</v>
      </c>
      <c r="BO4470" s="74">
        <v>-8.5250000000000004</v>
      </c>
    </row>
    <row r="4471" spans="1:226" x14ac:dyDescent="0.25">
      <c r="A4471" s="127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27">
        <v>45504</v>
      </c>
      <c r="B4472" s="24" t="s">
        <v>48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27">
        <v>45505</v>
      </c>
      <c r="B4473" s="24" t="s">
        <v>193</v>
      </c>
      <c r="C4473" s="21">
        <f t="shared" si="74"/>
        <v>-4.9649999999999999</v>
      </c>
      <c r="BU4473" s="106">
        <v>-4.9649999999999999</v>
      </c>
    </row>
    <row r="4474" spans="1:226" x14ac:dyDescent="0.25">
      <c r="A4474" s="127">
        <v>45506</v>
      </c>
      <c r="B4474" s="24" t="s">
        <v>214</v>
      </c>
      <c r="C4474" s="21">
        <f t="shared" si="74"/>
        <v>-200.51</v>
      </c>
      <c r="AW4474" s="74">
        <v>-24.29</v>
      </c>
      <c r="BC4474" s="74">
        <v>-16.664999999999999</v>
      </c>
      <c r="BI4474" s="106">
        <v>-35.505000000000003</v>
      </c>
      <c r="CA4474" s="106">
        <v>-14.865</v>
      </c>
      <c r="CG4474" s="106">
        <v>-33.14</v>
      </c>
      <c r="CJ4474" s="115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27">
        <v>45506</v>
      </c>
      <c r="B4475" s="24" t="s">
        <v>184</v>
      </c>
      <c r="C4475" s="21">
        <f t="shared" si="74"/>
        <v>-52.115000000000002</v>
      </c>
      <c r="CJ4475" s="115">
        <v>-8.4049999999999994</v>
      </c>
      <c r="CK4475" s="42">
        <v>-43.71</v>
      </c>
    </row>
    <row r="4476" spans="1:226" x14ac:dyDescent="0.25">
      <c r="A4476" s="127">
        <v>45506</v>
      </c>
      <c r="B4476" s="24" t="s">
        <v>20</v>
      </c>
      <c r="C4476" s="21">
        <f t="shared" si="74"/>
        <v>-16.010000000000002</v>
      </c>
      <c r="AC4476" s="74">
        <v>-8.6199999999999992</v>
      </c>
      <c r="BM4476" s="88">
        <v>-7.39</v>
      </c>
    </row>
    <row r="4477" spans="1:226" x14ac:dyDescent="0.25">
      <c r="A4477" s="127">
        <v>45506</v>
      </c>
      <c r="B4477" s="24" t="s">
        <v>127</v>
      </c>
      <c r="C4477" s="21">
        <f t="shared" si="74"/>
        <v>-16.305</v>
      </c>
      <c r="AW4477" s="74">
        <v>-7.95</v>
      </c>
      <c r="BC4477" s="74">
        <v>-8.3550000000000004</v>
      </c>
    </row>
    <row r="4478" spans="1:226" x14ac:dyDescent="0.25">
      <c r="A4478" s="127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27">
        <v>45507</v>
      </c>
      <c r="B4479" s="24" t="s">
        <v>20</v>
      </c>
      <c r="C4479" s="21">
        <f t="shared" si="74"/>
        <v>0</v>
      </c>
    </row>
    <row r="4480" spans="1:226" x14ac:dyDescent="0.25">
      <c r="A4480" s="127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27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27">
        <v>45509</v>
      </c>
      <c r="B4482" s="24" t="s">
        <v>133</v>
      </c>
      <c r="C4482" s="21">
        <f t="shared" si="74"/>
        <v>-34.024999999999999</v>
      </c>
      <c r="AR4482" s="74">
        <v>-34.024999999999999</v>
      </c>
    </row>
    <row r="4483" spans="1:208" x14ac:dyDescent="0.25">
      <c r="A4483" s="127">
        <v>45510</v>
      </c>
      <c r="B4483" s="24" t="s">
        <v>20</v>
      </c>
      <c r="C4483" s="21">
        <f t="shared" si="74"/>
        <v>-53.575000000000003</v>
      </c>
      <c r="CC4483" s="126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27">
        <v>45510</v>
      </c>
      <c r="B4484" s="24" t="s">
        <v>33</v>
      </c>
      <c r="C4484" s="21">
        <f t="shared" si="74"/>
        <v>-17.324999999999999</v>
      </c>
      <c r="BC4484" s="74">
        <v>-8.2750000000000004</v>
      </c>
      <c r="BI4484" s="106">
        <v>-9.0500000000000007</v>
      </c>
    </row>
    <row r="4485" spans="1:208" x14ac:dyDescent="0.25">
      <c r="A4485" s="127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27">
        <v>45510</v>
      </c>
      <c r="B4486" s="24" t="s">
        <v>48</v>
      </c>
      <c r="C4486" s="21">
        <f t="shared" si="74"/>
        <v>89.42</v>
      </c>
      <c r="BY4486" s="42">
        <f>36.08</f>
        <v>36.08</v>
      </c>
      <c r="CE4486" s="42">
        <f>35.41+8.79+9.14</f>
        <v>53.34</v>
      </c>
    </row>
    <row r="4487" spans="1:208" x14ac:dyDescent="0.25">
      <c r="A4487" s="127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74">
        <v>-16.265000000000001</v>
      </c>
    </row>
    <row r="4488" spans="1:208" x14ac:dyDescent="0.25">
      <c r="A4488" s="127">
        <v>45511</v>
      </c>
      <c r="B4488" s="24" t="s">
        <v>113</v>
      </c>
      <c r="C4488" s="21">
        <f t="shared" si="74"/>
        <v>1055.25</v>
      </c>
      <c r="AW4488" s="74">
        <v>96.74</v>
      </c>
      <c r="BC4488" s="74">
        <v>145.01499999999999</v>
      </c>
      <c r="BO4488" s="74">
        <v>68.185000000000002</v>
      </c>
      <c r="BU4488" s="106">
        <v>80.06</v>
      </c>
      <c r="CA4488" s="106">
        <v>95.78</v>
      </c>
      <c r="CM4488" s="74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27">
        <v>45511</v>
      </c>
      <c r="B4489" s="24" t="s">
        <v>192</v>
      </c>
      <c r="C4489" s="21">
        <f t="shared" si="74"/>
        <v>-68.900000000000006</v>
      </c>
      <c r="DK4489" s="74">
        <v>-68.900000000000006</v>
      </c>
    </row>
    <row r="4490" spans="1:208" x14ac:dyDescent="0.25">
      <c r="A4490" s="127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27">
        <v>45511</v>
      </c>
      <c r="B4491" s="24" t="s">
        <v>139</v>
      </c>
      <c r="C4491" s="21">
        <f t="shared" si="74"/>
        <v>-16.465</v>
      </c>
      <c r="CY4491" s="74">
        <f>-8.24-8.225</f>
        <v>-16.465</v>
      </c>
    </row>
    <row r="4492" spans="1:208" x14ac:dyDescent="0.25">
      <c r="A4492" s="127">
        <v>45511</v>
      </c>
      <c r="B4492" s="24" t="s">
        <v>214</v>
      </c>
      <c r="C4492" s="21">
        <f t="shared" si="74"/>
        <v>-64.094999999999999</v>
      </c>
      <c r="BO4492" s="74">
        <v>-25.585000000000001</v>
      </c>
      <c r="BU4492" s="106">
        <v>-24.065000000000001</v>
      </c>
      <c r="DK4492" s="74">
        <v>-14.445</v>
      </c>
    </row>
    <row r="4493" spans="1:208" x14ac:dyDescent="0.25">
      <c r="A4493" s="127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27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106">
        <v>-32.704999999999998</v>
      </c>
      <c r="CE4494" s="42">
        <v>-72.599999999999994</v>
      </c>
      <c r="CM4494" s="74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27">
        <v>45512</v>
      </c>
      <c r="B4495" s="24" t="s">
        <v>184</v>
      </c>
      <c r="C4495" s="21">
        <f t="shared" si="74"/>
        <v>-97.85</v>
      </c>
      <c r="L4495" s="69">
        <v>-2.1</v>
      </c>
      <c r="AW4495" s="74">
        <v>-24.835000000000001</v>
      </c>
      <c r="BC4495" s="74">
        <v>-6.7649999999999997</v>
      </c>
      <c r="BO4495" s="74">
        <v>-17.015000000000001</v>
      </c>
      <c r="BU4495" s="106">
        <v>-24.015000000000001</v>
      </c>
      <c r="CA4495" s="106">
        <v>-7.18</v>
      </c>
      <c r="CM4495" s="74">
        <v>-15.94</v>
      </c>
    </row>
    <row r="4496" spans="1:208" x14ac:dyDescent="0.25">
      <c r="A4496" s="127">
        <v>45512</v>
      </c>
      <c r="B4496" s="24" t="s">
        <v>193</v>
      </c>
      <c r="C4496" s="21">
        <f t="shared" si="74"/>
        <v>-21.65</v>
      </c>
      <c r="BU4496" s="106">
        <v>-5.0199999999999996</v>
      </c>
      <c r="CM4496" s="74">
        <v>-8.3000000000000007</v>
      </c>
      <c r="CY4496" s="74">
        <v>-8.33</v>
      </c>
    </row>
    <row r="4497" spans="1:224" x14ac:dyDescent="0.25">
      <c r="A4497" s="127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27">
        <v>45512</v>
      </c>
      <c r="B4498" s="24" t="s">
        <v>48</v>
      </c>
      <c r="C4498" s="21">
        <f t="shared" si="74"/>
        <v>179.05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27">
        <v>45512</v>
      </c>
      <c r="B4499" s="24" t="s">
        <v>147</v>
      </c>
      <c r="C4499" s="21">
        <f t="shared" si="74"/>
        <v>-48.8</v>
      </c>
      <c r="AR4499" s="74">
        <v>-7.86</v>
      </c>
      <c r="AW4499" s="74">
        <v>-8.24</v>
      </c>
      <c r="BG4499" s="42">
        <v>-8.35</v>
      </c>
      <c r="BO4499" s="74">
        <v>-8.52</v>
      </c>
      <c r="BU4499" s="106">
        <v>-8</v>
      </c>
      <c r="CA4499" s="106">
        <v>-7.83</v>
      </c>
    </row>
    <row r="4500" spans="1:224" x14ac:dyDescent="0.25">
      <c r="A4500" s="127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27">
        <v>45513</v>
      </c>
      <c r="B4501" s="24" t="s">
        <v>184</v>
      </c>
      <c r="C4501" s="21">
        <f t="shared" si="74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74">
        <v>-7.99</v>
      </c>
      <c r="CN4501" s="121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27">
        <v>45513</v>
      </c>
      <c r="B4502" s="24" t="s">
        <v>188</v>
      </c>
      <c r="C4502" s="21">
        <f t="shared" si="74"/>
        <v>-23.88</v>
      </c>
      <c r="BO4502" s="74">
        <v>-8.5299999999999994</v>
      </c>
      <c r="BU4502" s="106">
        <v>-8</v>
      </c>
      <c r="CQ4502" s="42">
        <v>-7.35</v>
      </c>
    </row>
    <row r="4503" spans="1:224" x14ac:dyDescent="0.25">
      <c r="A4503" s="127">
        <v>45513</v>
      </c>
      <c r="B4503" s="24" t="s">
        <v>29</v>
      </c>
      <c r="C4503" s="21">
        <f t="shared" si="74"/>
        <v>-8.5350000000000001</v>
      </c>
      <c r="BO4503" s="74">
        <v>-8.5350000000000001</v>
      </c>
    </row>
    <row r="4504" spans="1:224" x14ac:dyDescent="0.25">
      <c r="A4504" s="127">
        <v>45513</v>
      </c>
      <c r="B4504" s="24" t="s">
        <v>20</v>
      </c>
      <c r="C4504" s="21">
        <f t="shared" si="74"/>
        <v>-32.49</v>
      </c>
      <c r="BC4504" s="74">
        <v>-8.17</v>
      </c>
      <c r="CE4504" s="42">
        <v>-9.08</v>
      </c>
      <c r="CN4504" s="121">
        <v>-7.95</v>
      </c>
      <c r="CQ4504" s="42">
        <v>-7.29</v>
      </c>
    </row>
    <row r="4505" spans="1:224" x14ac:dyDescent="0.25">
      <c r="A4505" s="127">
        <v>45513</v>
      </c>
      <c r="B4505" s="24" t="s">
        <v>25</v>
      </c>
      <c r="C4505" s="21">
        <f t="shared" si="74"/>
        <v>-42.145000000000003</v>
      </c>
      <c r="BC4505" s="74">
        <v>-8.2850000000000001</v>
      </c>
      <c r="BG4505" s="42">
        <v>-7.9</v>
      </c>
      <c r="CA4505" s="106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27">
        <v>45513</v>
      </c>
      <c r="B4506" s="24" t="s">
        <v>138</v>
      </c>
      <c r="C4506" s="21">
        <f t="shared" si="74"/>
        <v>-7.99</v>
      </c>
      <c r="BU4506" s="106">
        <v>-7.99</v>
      </c>
    </row>
    <row r="4507" spans="1:224" x14ac:dyDescent="0.25">
      <c r="A4507" s="127">
        <v>45513</v>
      </c>
      <c r="B4507" s="24" t="s">
        <v>139</v>
      </c>
      <c r="C4507" s="21">
        <f t="shared" si="74"/>
        <v>-16.765000000000001</v>
      </c>
      <c r="BU4507" s="106">
        <v>-7.99</v>
      </c>
      <c r="CA4507" s="106">
        <v>-8.7750000000000004</v>
      </c>
    </row>
    <row r="4508" spans="1:224" x14ac:dyDescent="0.25">
      <c r="A4508" s="127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27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27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27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27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-30.135000000000002</v>
      </c>
    </row>
    <row r="4513" spans="1:197" x14ac:dyDescent="0.25">
      <c r="A4513" s="127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27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27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27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27">
        <v>45517</v>
      </c>
      <c r="B4517" s="24" t="s">
        <v>113</v>
      </c>
      <c r="C4517" s="21">
        <f t="shared" si="74"/>
        <v>991.11500000000001</v>
      </c>
      <c r="AW4517" s="74">
        <v>66.355000000000004</v>
      </c>
      <c r="CM4517" s="74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27">
        <v>45518</v>
      </c>
      <c r="B4518" s="24" t="s">
        <v>214</v>
      </c>
      <c r="C4518" s="21">
        <f t="shared" si="74"/>
        <v>-83.32</v>
      </c>
      <c r="AR4518" s="74">
        <v>-7.86</v>
      </c>
      <c r="BC4518" s="74">
        <v>-16.059999999999999</v>
      </c>
      <c r="CA4518" s="106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27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74">
        <v>-33.055</v>
      </c>
    </row>
    <row r="4520" spans="1:197" x14ac:dyDescent="0.25">
      <c r="A4520" s="127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27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27">
        <v>45519</v>
      </c>
      <c r="B4522" s="24" t="s">
        <v>127</v>
      </c>
      <c r="C4522" s="21">
        <f t="shared" si="74"/>
        <v>-24.99</v>
      </c>
      <c r="DK4522" s="74">
        <v>-8.4</v>
      </c>
      <c r="DM4522" s="150">
        <f>-8.19-8.4</f>
        <v>-16.59</v>
      </c>
    </row>
    <row r="4523" spans="1:197" x14ac:dyDescent="0.25">
      <c r="A4523" s="127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0">
        <v>-7.07</v>
      </c>
    </row>
    <row r="4524" spans="1:197" x14ac:dyDescent="0.25">
      <c r="A4524" s="127">
        <v>45520</v>
      </c>
      <c r="B4524" s="24" t="s">
        <v>29</v>
      </c>
      <c r="C4524" s="21">
        <f t="shared" si="74"/>
        <v>-2</v>
      </c>
      <c r="R4524" s="115">
        <v>-2</v>
      </c>
    </row>
    <row r="4525" spans="1:197" x14ac:dyDescent="0.25">
      <c r="A4525" s="127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27">
        <v>45520</v>
      </c>
      <c r="B4526" s="24" t="s">
        <v>113</v>
      </c>
      <c r="C4526" s="21">
        <f t="shared" si="74"/>
        <v>735.51</v>
      </c>
      <c r="AN4526" s="74">
        <v>68.88</v>
      </c>
      <c r="AR4526" s="74">
        <v>66.495000000000005</v>
      </c>
      <c r="BI4526" s="106">
        <f>115.56+83.28</f>
        <v>198.84</v>
      </c>
      <c r="BO4526" s="74">
        <v>208.03</v>
      </c>
      <c r="CA4526" s="106">
        <v>95.6</v>
      </c>
      <c r="CG4526" s="106">
        <v>97.665000000000006</v>
      </c>
    </row>
    <row r="4527" spans="1:197" x14ac:dyDescent="0.25">
      <c r="A4527" s="127">
        <v>45520</v>
      </c>
      <c r="B4527" s="24" t="s">
        <v>113</v>
      </c>
      <c r="C4527" s="21">
        <f t="shared" si="74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0">
        <v>158.07499999999999</v>
      </c>
    </row>
    <row r="4528" spans="1:197" x14ac:dyDescent="0.25">
      <c r="A4528" s="127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106">
        <v>-8.6199999999999992</v>
      </c>
      <c r="CF4528" s="69">
        <v>-8.41</v>
      </c>
      <c r="CY4528" s="74">
        <v>-8.9</v>
      </c>
    </row>
    <row r="4529" spans="1:249" x14ac:dyDescent="0.25">
      <c r="A4529" s="127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74">
        <v>-8.8550000000000004</v>
      </c>
      <c r="AW4529" s="74">
        <v>-7.89</v>
      </c>
      <c r="BI4529" s="106">
        <v>-8.2249999999999996</v>
      </c>
      <c r="BO4529" s="74">
        <v>-8.2349999999999994</v>
      </c>
      <c r="BT4529" s="69">
        <v>-8.5449999999999999</v>
      </c>
      <c r="CG4529" s="106">
        <v>-8.0500000000000007</v>
      </c>
    </row>
    <row r="4530" spans="1:249" x14ac:dyDescent="0.25">
      <c r="A4530" s="127">
        <v>45523</v>
      </c>
      <c r="B4530" s="24" t="s">
        <v>48</v>
      </c>
      <c r="C4530" s="21">
        <f t="shared" si="75"/>
        <v>-107.11499999999999</v>
      </c>
      <c r="Z4530" s="79">
        <v>-8.4</v>
      </c>
      <c r="AW4530" s="74">
        <f>-31.97-32.24</f>
        <v>-64.209999999999994</v>
      </c>
      <c r="BO4530" s="74">
        <v>-34.505000000000003</v>
      </c>
    </row>
    <row r="4531" spans="1:249" x14ac:dyDescent="0.25">
      <c r="A4531" s="127">
        <v>45523</v>
      </c>
      <c r="B4531" s="24" t="s">
        <v>32</v>
      </c>
      <c r="C4531" s="21">
        <f t="shared" si="75"/>
        <v>-165.26499999999999</v>
      </c>
      <c r="AW4531" s="74">
        <v>-31.51</v>
      </c>
      <c r="BI4531" s="106">
        <v>-33.125</v>
      </c>
      <c r="BO4531" s="74">
        <v>-34.53</v>
      </c>
      <c r="CA4531" s="106">
        <v>-33.174999999999997</v>
      </c>
      <c r="CM4531" s="74">
        <v>-32.924999999999997</v>
      </c>
    </row>
    <row r="4532" spans="1:249" x14ac:dyDescent="0.25">
      <c r="A4532" s="127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74">
        <v>-25.47</v>
      </c>
      <c r="CA4532" s="106">
        <v>-16.105</v>
      </c>
      <c r="CG4532" s="106">
        <v>-16.094999999999999</v>
      </c>
      <c r="CY4532" s="74">
        <v>-16.545000000000002</v>
      </c>
      <c r="DK4532" s="74">
        <v>-16.57</v>
      </c>
    </row>
    <row r="4533" spans="1:249" x14ac:dyDescent="0.25">
      <c r="A4533" s="127">
        <v>45523</v>
      </c>
      <c r="B4533" s="24" t="s">
        <v>133</v>
      </c>
      <c r="C4533" s="21">
        <f t="shared" si="75"/>
        <v>-134.30000000000001</v>
      </c>
      <c r="AR4533" s="74">
        <v>-33.195</v>
      </c>
      <c r="BI4533" s="106">
        <v>-33.47</v>
      </c>
      <c r="CY4533" s="74">
        <v>-33.07</v>
      </c>
      <c r="DE4533" s="74">
        <v>-34.564999999999998</v>
      </c>
    </row>
    <row r="4534" spans="1:249" x14ac:dyDescent="0.25">
      <c r="A4534" s="127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49" x14ac:dyDescent="0.25">
      <c r="A4535" s="127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49" x14ac:dyDescent="0.25">
      <c r="A4536" s="127">
        <v>45523</v>
      </c>
      <c r="B4536" s="24" t="s">
        <v>184</v>
      </c>
      <c r="C4536" s="21">
        <f t="shared" si="75"/>
        <v>-363.83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106">
        <f>-32.915-32.97-33.435</f>
        <v>-99.32</v>
      </c>
      <c r="BO4536" s="74">
        <f>-34.67-35.25</f>
        <v>-69.92</v>
      </c>
      <c r="CA4536" s="106">
        <v>-30.18</v>
      </c>
      <c r="CG4536" s="106">
        <f>-32.225-33.235</f>
        <v>-65.459999999999994</v>
      </c>
    </row>
    <row r="4537" spans="1:249" s="176" customFormat="1" x14ac:dyDescent="0.25">
      <c r="A4537" s="173">
        <v>45524</v>
      </c>
      <c r="B4537" s="174" t="s">
        <v>99</v>
      </c>
      <c r="C4537" s="175">
        <f t="shared" si="75"/>
        <v>54.924999999999997</v>
      </c>
      <c r="D4537" s="357">
        <v>-0.1</v>
      </c>
      <c r="E4537" s="357"/>
      <c r="F4537" s="145"/>
      <c r="I4537" s="176">
        <v>11.08</v>
      </c>
      <c r="K4537" s="178"/>
      <c r="L4537" s="179">
        <v>0.03</v>
      </c>
      <c r="M4537" s="358"/>
      <c r="N4537" s="178"/>
      <c r="O4537" s="375"/>
      <c r="P4537" s="179">
        <v>-2</v>
      </c>
      <c r="Q4537" s="179"/>
      <c r="R4537" s="177"/>
      <c r="S4537" s="179"/>
      <c r="T4537" s="178"/>
      <c r="U4537" s="179"/>
      <c r="V4537" s="74"/>
      <c r="W4537" s="179"/>
      <c r="X4537" s="178"/>
      <c r="Y4537" s="179"/>
      <c r="Z4537" s="79"/>
      <c r="AA4537" s="178"/>
      <c r="AB4537" s="179"/>
      <c r="AC4537" s="74"/>
      <c r="AD4537" s="177"/>
      <c r="AE4537" s="178"/>
      <c r="AF4537" s="179"/>
      <c r="AG4537" s="292"/>
      <c r="AH4537" s="179"/>
      <c r="AI4537" s="179"/>
      <c r="AJ4537" s="179"/>
      <c r="AL4537" s="178"/>
      <c r="AM4537" s="69"/>
      <c r="AN4537" s="74">
        <v>1.1000000000000001</v>
      </c>
      <c r="AO4537" s="358"/>
      <c r="AP4537" s="178"/>
      <c r="AQ4537" s="69"/>
      <c r="AR4537" s="74"/>
      <c r="AS4537" s="179"/>
      <c r="AT4537" s="177"/>
      <c r="AU4537" s="178"/>
      <c r="AV4537" s="179"/>
      <c r="AW4537" s="74">
        <v>19.72</v>
      </c>
      <c r="AX4537" s="179"/>
      <c r="AY4537" s="292"/>
      <c r="AZ4537" s="177"/>
      <c r="BA4537" s="178"/>
      <c r="BB4537" s="69"/>
      <c r="BC4537" s="74"/>
      <c r="BD4537" s="179"/>
      <c r="BE4537" s="179"/>
      <c r="BF4537" s="177"/>
      <c r="BG4537" s="178"/>
      <c r="BH4537" s="69"/>
      <c r="BI4537" s="106"/>
      <c r="BJ4537" s="179"/>
      <c r="BK4537" s="179"/>
      <c r="BL4537" s="115"/>
      <c r="BM4537" s="178"/>
      <c r="BN4537" s="69"/>
      <c r="BO4537" s="74"/>
      <c r="BP4537" s="179"/>
      <c r="BQ4537" s="179"/>
      <c r="BR4537" s="115"/>
      <c r="BS4537" s="178"/>
      <c r="BT4537" s="69"/>
      <c r="BU4537" s="106"/>
      <c r="BV4537" s="179"/>
      <c r="BW4537" s="179"/>
      <c r="BX4537" s="115"/>
      <c r="BY4537" s="178"/>
      <c r="BZ4537" s="179"/>
      <c r="CA4537" s="106">
        <v>2.0299999999999998</v>
      </c>
      <c r="CB4537" s="179"/>
      <c r="CC4537" s="179"/>
      <c r="CD4537" s="115"/>
      <c r="CE4537" s="178"/>
      <c r="CF4537" s="69"/>
      <c r="CG4537" s="106">
        <v>5.0000000000000001E-3</v>
      </c>
      <c r="CH4537" s="179"/>
      <c r="CI4537" s="179"/>
      <c r="CJ4537" s="177"/>
      <c r="CK4537" s="178"/>
      <c r="CL4537" s="179"/>
      <c r="CM4537" s="74"/>
      <c r="CN4537" s="179"/>
      <c r="CO4537" s="179"/>
      <c r="CP4537" s="177"/>
      <c r="CQ4537" s="178"/>
      <c r="CR4537" s="179"/>
      <c r="CS4537" s="74"/>
      <c r="CT4537" s="179"/>
      <c r="CU4537" s="292"/>
      <c r="CV4537" s="177"/>
      <c r="CW4537" s="178"/>
      <c r="CX4537" s="179"/>
      <c r="CY4537" s="74">
        <v>0.66</v>
      </c>
      <c r="CZ4537" s="179"/>
      <c r="DA4537" s="179"/>
      <c r="DB4537" s="177"/>
      <c r="DC4537" s="178"/>
      <c r="DD4537" s="179"/>
      <c r="DE4537" s="74">
        <v>-1</v>
      </c>
      <c r="DF4537" s="179"/>
      <c r="DG4537" s="292"/>
      <c r="DH4537" s="177"/>
      <c r="DI4537" s="178"/>
      <c r="DJ4537" s="179"/>
      <c r="DK4537" s="74">
        <v>8.2850000000000001</v>
      </c>
      <c r="DL4537" s="179"/>
      <c r="DM4537" s="177"/>
      <c r="DN4537" s="178"/>
      <c r="DO4537" s="179"/>
      <c r="DP4537" s="74">
        <v>1.4</v>
      </c>
      <c r="DQ4537" s="179"/>
      <c r="DR4537" s="177"/>
      <c r="DS4537" s="178"/>
      <c r="DT4537" s="179"/>
      <c r="DU4537" s="106"/>
      <c r="DV4537" s="179"/>
      <c r="DW4537" s="126"/>
      <c r="DX4537" s="177"/>
      <c r="DY4537" s="178">
        <v>32.28</v>
      </c>
      <c r="DZ4537" s="179"/>
      <c r="EA4537" s="74"/>
      <c r="EB4537" s="179"/>
      <c r="EC4537" s="126"/>
      <c r="ED4537" s="177"/>
      <c r="EE4537" s="178"/>
      <c r="EF4537" s="179"/>
      <c r="EG4537" s="179"/>
      <c r="EH4537" s="179"/>
      <c r="EI4537" s="177"/>
      <c r="EJ4537" s="178"/>
      <c r="EK4537" s="179"/>
      <c r="EL4537" s="179"/>
      <c r="EM4537" s="177"/>
      <c r="EN4537" s="355"/>
      <c r="EO4537" s="292"/>
      <c r="EP4537" s="179"/>
      <c r="EQ4537" s="46"/>
      <c r="ER4537" s="178"/>
      <c r="ES4537" s="179"/>
      <c r="ET4537" s="179"/>
      <c r="EU4537" s="292"/>
      <c r="EW4537" s="178"/>
      <c r="EX4537" s="178"/>
      <c r="EY4537" s="178"/>
      <c r="EZ4537" s="177"/>
      <c r="FA4537" s="355"/>
      <c r="FB4537" s="179"/>
      <c r="FC4537" s="179"/>
      <c r="FD4537" s="292"/>
      <c r="FF4537" s="178"/>
      <c r="FG4537" s="179">
        <v>-0.01</v>
      </c>
      <c r="FH4537" s="358"/>
      <c r="FI4537" s="178"/>
      <c r="FJ4537" s="179"/>
      <c r="FK4537" s="179"/>
      <c r="FL4537" s="177"/>
      <c r="FM4537" s="178"/>
      <c r="FN4537" s="177"/>
      <c r="FO4537" s="357"/>
      <c r="FQ4537" s="178"/>
      <c r="FR4537" s="179"/>
      <c r="FS4537" s="179">
        <v>0.54</v>
      </c>
      <c r="FT4537" s="177"/>
      <c r="FU4537" s="178"/>
      <c r="FV4537" s="179"/>
      <c r="FW4537" s="177"/>
      <c r="FX4537" s="178"/>
      <c r="FY4537" s="179"/>
      <c r="FZ4537" s="177"/>
      <c r="GA4537" s="178"/>
      <c r="GB4537" s="179"/>
      <c r="GC4537" s="179"/>
      <c r="GD4537" s="177"/>
      <c r="GE4537" s="178"/>
      <c r="GF4537" s="177"/>
      <c r="GH4537" s="179"/>
      <c r="GI4537" s="355"/>
      <c r="GJ4537" s="205"/>
      <c r="GK4537" s="79"/>
      <c r="GL4537" s="178"/>
      <c r="GM4537" s="177"/>
      <c r="GO4537" s="357"/>
      <c r="GP4537" s="178"/>
      <c r="GQ4537" s="92"/>
      <c r="GT4537" s="176">
        <v>-0.03</v>
      </c>
      <c r="GV4537" s="178"/>
      <c r="GW4537" s="177"/>
      <c r="GX4537" s="179"/>
      <c r="GY4537" s="178"/>
      <c r="GZ4537" s="292">
        <v>-7.9649999999999999</v>
      </c>
      <c r="HA4537" s="177"/>
      <c r="HB4537" s="179"/>
      <c r="HC4537" s="178"/>
      <c r="HD4537" s="177"/>
      <c r="HE4537" s="178"/>
      <c r="HF4537" s="177"/>
      <c r="HG4537" s="178"/>
      <c r="HH4537" s="179"/>
      <c r="HI4537" s="177"/>
      <c r="HJ4537" s="177"/>
      <c r="HL4537" s="178"/>
      <c r="HM4537" s="179"/>
      <c r="HN4537" s="177"/>
      <c r="HO4537" s="178"/>
      <c r="HP4537" s="177"/>
      <c r="HQ4537" s="178"/>
      <c r="HR4537" s="358"/>
      <c r="HS4537" s="176">
        <v>-7.85</v>
      </c>
      <c r="HU4537" s="178"/>
      <c r="HV4537" s="358">
        <v>-10.1</v>
      </c>
      <c r="HW4537" s="178"/>
      <c r="HX4537" s="177"/>
      <c r="HZ4537" s="178"/>
      <c r="IA4537" s="177"/>
      <c r="IB4537" s="178"/>
      <c r="IC4537" s="177">
        <v>8.75</v>
      </c>
      <c r="ID4537" s="178"/>
      <c r="IE4537" s="177"/>
      <c r="IG4537" s="176">
        <v>-0.94</v>
      </c>
      <c r="IH4537" s="178">
        <v>-0.96</v>
      </c>
      <c r="II4537" s="178"/>
      <c r="IJ4537" s="291"/>
      <c r="IM4537" s="357"/>
      <c r="IN4537" s="355"/>
      <c r="IO4537" s="177"/>
    </row>
    <row r="4538" spans="1:249" x14ac:dyDescent="0.25">
      <c r="A4538" s="127">
        <v>45524</v>
      </c>
      <c r="B4538" s="24" t="s">
        <v>20</v>
      </c>
      <c r="C4538" s="21">
        <f t="shared" si="75"/>
        <v>-33.799999999999997</v>
      </c>
      <c r="BI4538" s="106">
        <v>-8.2449999999999992</v>
      </c>
      <c r="BO4538" s="74">
        <v>-8.6549999999999994</v>
      </c>
      <c r="CM4538" s="74">
        <v>-7.96</v>
      </c>
      <c r="CQ4538" s="42">
        <v>-8.94</v>
      </c>
    </row>
    <row r="4539" spans="1:249" x14ac:dyDescent="0.25">
      <c r="A4539" s="127">
        <v>45524</v>
      </c>
      <c r="B4539" s="24" t="s">
        <v>75</v>
      </c>
      <c r="C4539" s="21">
        <f t="shared" si="75"/>
        <v>-26.035</v>
      </c>
      <c r="AG4539" s="106">
        <v>-8.61</v>
      </c>
      <c r="BO4539" s="74">
        <v>-9.3550000000000004</v>
      </c>
      <c r="CA4539" s="106">
        <v>-8.07</v>
      </c>
    </row>
    <row r="4540" spans="1:249" x14ac:dyDescent="0.25">
      <c r="A4540" s="127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106">
        <v>-16.454999999999998</v>
      </c>
      <c r="CG4540" s="106">
        <v>-8.0649999999999995</v>
      </c>
    </row>
    <row r="4541" spans="1:249" x14ac:dyDescent="0.25">
      <c r="A4541" s="127">
        <v>45524</v>
      </c>
      <c r="B4541" s="24" t="s">
        <v>202</v>
      </c>
      <c r="C4541" s="21">
        <f t="shared" si="75"/>
        <v>-17.52</v>
      </c>
      <c r="E4541" s="145">
        <f>-8.75-8.77</f>
        <v>-17.52</v>
      </c>
    </row>
    <row r="4542" spans="1:249" x14ac:dyDescent="0.25">
      <c r="A4542" s="127">
        <v>45525</v>
      </c>
      <c r="B4542" s="24" t="s">
        <v>59</v>
      </c>
      <c r="C4542" s="21">
        <f t="shared" si="75"/>
        <v>-42.67</v>
      </c>
      <c r="CM4542" s="74">
        <f>-8.24-8.255</f>
        <v>-16.495000000000001</v>
      </c>
      <c r="CQ4542" s="42">
        <v>-9</v>
      </c>
      <c r="CY4542" s="74">
        <f>-8.28-8.895</f>
        <v>-17.175000000000001</v>
      </c>
    </row>
    <row r="4543" spans="1:249" x14ac:dyDescent="0.25">
      <c r="A4543" s="127">
        <v>45525</v>
      </c>
      <c r="B4543" s="24" t="s">
        <v>184</v>
      </c>
      <c r="C4543" s="21">
        <f t="shared" si="75"/>
        <v>-33.880000000000003</v>
      </c>
      <c r="CY4543" s="74">
        <v>-8.2100000000000009</v>
      </c>
      <c r="EA4543" s="74">
        <v>-25.67</v>
      </c>
    </row>
    <row r="4544" spans="1:249" x14ac:dyDescent="0.25">
      <c r="A4544" s="127">
        <v>45526</v>
      </c>
      <c r="B4544" s="24" t="s">
        <v>184</v>
      </c>
      <c r="C4544" s="21">
        <f t="shared" si="75"/>
        <v>-57.87</v>
      </c>
      <c r="AW4544" s="74">
        <v>-16.03</v>
      </c>
      <c r="BC4544" s="74">
        <v>-16.079999999999998</v>
      </c>
      <c r="CA4544" s="106">
        <v>-8.07</v>
      </c>
      <c r="CQ4544" s="42">
        <v>-17.690000000000001</v>
      </c>
    </row>
    <row r="4545" spans="1:208" x14ac:dyDescent="0.25">
      <c r="A4545" s="127">
        <v>45526</v>
      </c>
      <c r="B4545" s="24" t="s">
        <v>48</v>
      </c>
      <c r="C4545" s="21">
        <f t="shared" si="75"/>
        <v>-41.49</v>
      </c>
      <c r="AW4545" s="74">
        <v>-33.024999999999999</v>
      </c>
      <c r="GZ4545" s="106">
        <v>-8.4649999999999999</v>
      </c>
    </row>
    <row r="4546" spans="1:208" x14ac:dyDescent="0.25">
      <c r="A4546" s="127">
        <v>45527</v>
      </c>
      <c r="B4546" s="24" t="s">
        <v>197</v>
      </c>
      <c r="C4546" s="21">
        <f t="shared" si="75"/>
        <v>-84.59</v>
      </c>
      <c r="BO4546" s="74">
        <v>-17.36</v>
      </c>
      <c r="CF4546" s="69">
        <v>-16.670000000000002</v>
      </c>
      <c r="CM4546" s="74">
        <v>-23.97</v>
      </c>
      <c r="CQ4546" s="42">
        <v>-26.59</v>
      </c>
    </row>
    <row r="4547" spans="1:208" x14ac:dyDescent="0.25">
      <c r="A4547" s="127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27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74">
        <v>-8.5299999999999994</v>
      </c>
      <c r="CA4548" s="106">
        <v>-7.8250000000000002</v>
      </c>
      <c r="GZ4548" s="106">
        <v>-30.32</v>
      </c>
    </row>
    <row r="4549" spans="1:208" x14ac:dyDescent="0.25">
      <c r="A4549" s="127">
        <v>45530</v>
      </c>
      <c r="B4549" s="24" t="s">
        <v>203</v>
      </c>
      <c r="C4549" s="21">
        <f t="shared" si="75"/>
        <v>52.47</v>
      </c>
      <c r="DR4549" s="46">
        <v>8.8000000000000007</v>
      </c>
      <c r="EI4549" s="150">
        <v>9.2799999999999994</v>
      </c>
      <c r="EU4549" s="126">
        <v>8.6</v>
      </c>
      <c r="EV4549" s="170">
        <v>13.55</v>
      </c>
      <c r="FD4549" s="126">
        <v>12.24</v>
      </c>
    </row>
    <row r="4550" spans="1:208" x14ac:dyDescent="0.25">
      <c r="A4550" s="127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74">
        <v>-8.61</v>
      </c>
      <c r="AR4550" s="74">
        <v>-6.58</v>
      </c>
      <c r="AW4550" s="74">
        <v>-15.904999999999999</v>
      </c>
      <c r="BC4550" s="74">
        <v>-16.715</v>
      </c>
      <c r="BY4550" s="42">
        <v>-9.14</v>
      </c>
      <c r="CM4550" s="74">
        <v>-8.2200000000000006</v>
      </c>
    </row>
    <row r="4551" spans="1:208" x14ac:dyDescent="0.25">
      <c r="A4551" s="127">
        <v>45530</v>
      </c>
      <c r="B4551" s="29" t="s">
        <v>203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27">
        <v>45500</v>
      </c>
      <c r="B4552" s="24" t="s">
        <v>113</v>
      </c>
      <c r="C4552" s="21">
        <f t="shared" si="75"/>
        <v>698.72</v>
      </c>
      <c r="AC4552" s="74">
        <v>63.32</v>
      </c>
      <c r="BC4552" s="74">
        <v>64.465000000000003</v>
      </c>
      <c r="BI4552" s="106">
        <v>82.325000000000003</v>
      </c>
      <c r="BO4552" s="74">
        <v>98.704999999999998</v>
      </c>
      <c r="BU4552" s="106">
        <v>132.30500000000001</v>
      </c>
      <c r="CA4552" s="106">
        <v>69.06</v>
      </c>
      <c r="CG4552" s="106">
        <v>32.729999999999997</v>
      </c>
      <c r="CM4552" s="74">
        <v>67.784999999999997</v>
      </c>
      <c r="GK4552" s="79">
        <v>29.76</v>
      </c>
      <c r="GZ4552" s="106">
        <v>58.265000000000001</v>
      </c>
    </row>
    <row r="4553" spans="1:208" x14ac:dyDescent="0.25">
      <c r="A4553" s="127">
        <v>45500</v>
      </c>
      <c r="B4553" s="24" t="s">
        <v>32</v>
      </c>
      <c r="C4553" s="21">
        <f t="shared" si="75"/>
        <v>-198.065</v>
      </c>
      <c r="BI4553" s="106">
        <v>-33.325000000000003</v>
      </c>
      <c r="BO4553" s="74">
        <v>-65.8</v>
      </c>
      <c r="BU4553" s="106">
        <v>-66.209999999999994</v>
      </c>
      <c r="CG4553" s="106">
        <v>-32.729999999999997</v>
      </c>
    </row>
    <row r="4554" spans="1:208" x14ac:dyDescent="0.25">
      <c r="A4554" s="127">
        <v>45500</v>
      </c>
      <c r="B4554" s="24" t="s">
        <v>184</v>
      </c>
      <c r="C4554" s="21">
        <f t="shared" si="75"/>
        <v>-606.92499999999995</v>
      </c>
      <c r="BC4554" s="74">
        <v>-64.465000000000003</v>
      </c>
      <c r="BU4554" s="106">
        <v>-33.36</v>
      </c>
      <c r="CA4554" s="106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-42.604999999999997</v>
      </c>
      <c r="EG4554" s="74">
        <v>-102.36499999999999</v>
      </c>
    </row>
    <row r="4555" spans="1:208" x14ac:dyDescent="0.25">
      <c r="A4555" s="127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27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27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27">
        <v>45500</v>
      </c>
      <c r="B4558" s="24" t="s">
        <v>122</v>
      </c>
      <c r="C4558" s="21">
        <f t="shared" si="75"/>
        <v>0</v>
      </c>
    </row>
    <row r="4559" spans="1:208" x14ac:dyDescent="0.25">
      <c r="A4559" s="127">
        <v>45500</v>
      </c>
      <c r="B4559" s="24" t="s">
        <v>138</v>
      </c>
      <c r="C4559" s="21">
        <f t="shared" si="75"/>
        <v>-24.82</v>
      </c>
      <c r="AC4559" s="74">
        <v>-8.56</v>
      </c>
      <c r="AW4559" s="74">
        <v>-7.8</v>
      </c>
      <c r="BI4559" s="106">
        <v>-8.4600000000000009</v>
      </c>
    </row>
    <row r="4560" spans="1:208" x14ac:dyDescent="0.25">
      <c r="A4560" s="127">
        <v>45500</v>
      </c>
      <c r="B4560" s="24" t="s">
        <v>75</v>
      </c>
      <c r="C4560" s="21">
        <f t="shared" si="75"/>
        <v>-8.31</v>
      </c>
      <c r="CA4560" s="106">
        <v>-8.31</v>
      </c>
    </row>
    <row r="4561" spans="1:212" x14ac:dyDescent="0.25">
      <c r="A4561" s="127">
        <v>45501</v>
      </c>
      <c r="B4561" s="24" t="s">
        <v>20</v>
      </c>
      <c r="C4561" s="21">
        <f t="shared" si="75"/>
        <v>-16.03</v>
      </c>
      <c r="BI4561" s="106">
        <v>-8.42</v>
      </c>
      <c r="BU4561" s="106">
        <v>-7.61</v>
      </c>
    </row>
    <row r="4562" spans="1:212" x14ac:dyDescent="0.25">
      <c r="A4562" s="127">
        <v>45501</v>
      </c>
      <c r="B4562" s="24" t="s">
        <v>197</v>
      </c>
      <c r="C4562" s="21">
        <f t="shared" si="75"/>
        <v>-34.549999999999997</v>
      </c>
      <c r="BU4562" s="106">
        <v>-16.965</v>
      </c>
      <c r="CA4562" s="106">
        <v>-17.585000000000001</v>
      </c>
    </row>
    <row r="4563" spans="1:212" x14ac:dyDescent="0.25">
      <c r="A4563" s="127">
        <v>45501</v>
      </c>
      <c r="B4563" s="24" t="s">
        <v>184</v>
      </c>
      <c r="C4563" s="21">
        <f t="shared" si="75"/>
        <v>-76.194999999999993</v>
      </c>
      <c r="AW4563" s="74">
        <v>-15.965</v>
      </c>
      <c r="BI4563" s="106">
        <v>-16.850000000000001</v>
      </c>
      <c r="CM4563" s="74">
        <v>-35.064999999999998</v>
      </c>
      <c r="CY4563" s="74">
        <v>-8.3149999999999995</v>
      </c>
    </row>
    <row r="4564" spans="1:212" x14ac:dyDescent="0.25">
      <c r="A4564" s="127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27">
        <v>45501</v>
      </c>
      <c r="B4565" s="24" t="s">
        <v>48</v>
      </c>
      <c r="C4565" s="21">
        <f t="shared" si="75"/>
        <v>-31.055</v>
      </c>
      <c r="AW4565" s="74">
        <v>-31.055</v>
      </c>
    </row>
    <row r="4566" spans="1:212" x14ac:dyDescent="0.25">
      <c r="A4566" s="127">
        <v>45533</v>
      </c>
      <c r="B4566" s="24" t="s">
        <v>138</v>
      </c>
      <c r="C4566" s="21">
        <f t="shared" si="75"/>
        <v>-33.53</v>
      </c>
      <c r="AG4566" s="106">
        <v>-8.61</v>
      </c>
      <c r="AN4566" s="74">
        <v>-8.61</v>
      </c>
      <c r="AR4566" s="74">
        <v>-8.39</v>
      </c>
      <c r="AW4566" s="74">
        <v>-7.92</v>
      </c>
    </row>
    <row r="4567" spans="1:212" x14ac:dyDescent="0.25">
      <c r="A4567" s="127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27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27">
        <v>45534</v>
      </c>
      <c r="B4569" s="24" t="s">
        <v>214</v>
      </c>
      <c r="C4569" s="21">
        <f t="shared" si="75"/>
        <v>-16.864999999999998</v>
      </c>
      <c r="P4569" s="106">
        <v>-8.26</v>
      </c>
      <c r="AG4569" s="106">
        <v>-8.6050000000000004</v>
      </c>
    </row>
    <row r="4570" spans="1:212" x14ac:dyDescent="0.25">
      <c r="A4570" s="127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-8.2799999999999994</v>
      </c>
      <c r="U4570" s="69">
        <v>-4.1100000000000003</v>
      </c>
    </row>
    <row r="4571" spans="1:212" x14ac:dyDescent="0.25">
      <c r="A4571" s="127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27">
        <v>45537</v>
      </c>
      <c r="B4572" s="24" t="s">
        <v>193</v>
      </c>
      <c r="C4572" s="21">
        <f t="shared" si="75"/>
        <v>-8.24</v>
      </c>
      <c r="CM4572" s="74">
        <v>-8.24</v>
      </c>
    </row>
    <row r="4573" spans="1:212" x14ac:dyDescent="0.25">
      <c r="A4573" s="127">
        <v>45538</v>
      </c>
      <c r="B4573" s="24" t="s">
        <v>127</v>
      </c>
      <c r="C4573" s="21">
        <f t="shared" si="75"/>
        <v>-15.13</v>
      </c>
      <c r="AX4573" s="121">
        <v>-15.13</v>
      </c>
    </row>
    <row r="4574" spans="1:212" x14ac:dyDescent="0.25">
      <c r="A4574" s="127">
        <v>45538</v>
      </c>
      <c r="B4574" s="24" t="s">
        <v>20</v>
      </c>
      <c r="C4574" s="21">
        <f t="shared" si="75"/>
        <v>-62.734999999999999</v>
      </c>
      <c r="AW4574" s="74">
        <v>-8.0399999999999991</v>
      </c>
      <c r="BO4574" s="74">
        <v>-8.2149999999999999</v>
      </c>
      <c r="BU4574" s="106">
        <v>-8.33</v>
      </c>
      <c r="CQ4574" s="42">
        <v>-8.92</v>
      </c>
      <c r="GZ4574" s="106">
        <v>-29.23</v>
      </c>
    </row>
    <row r="4575" spans="1:212" x14ac:dyDescent="0.25">
      <c r="A4575" s="127">
        <v>45538</v>
      </c>
      <c r="B4575" s="24" t="s">
        <v>29</v>
      </c>
      <c r="C4575" s="21">
        <f t="shared" si="75"/>
        <v>-16.555</v>
      </c>
      <c r="BO4575" s="74">
        <v>-8.2100000000000009</v>
      </c>
      <c r="CA4575" s="106">
        <v>-8.3450000000000006</v>
      </c>
    </row>
    <row r="4576" spans="1:212" x14ac:dyDescent="0.25">
      <c r="A4576" s="127">
        <v>45538</v>
      </c>
      <c r="B4576" s="24" t="s">
        <v>75</v>
      </c>
      <c r="C4576" s="21">
        <f t="shared" si="75"/>
        <v>-8.1850000000000005</v>
      </c>
      <c r="BI4576" s="106">
        <v>-8.1850000000000005</v>
      </c>
    </row>
    <row r="4577" spans="1:221" x14ac:dyDescent="0.25">
      <c r="A4577" s="127">
        <v>45538</v>
      </c>
      <c r="B4577" s="24" t="s">
        <v>25</v>
      </c>
      <c r="C4577" s="21">
        <f t="shared" si="75"/>
        <v>-24.535</v>
      </c>
      <c r="BA4577" s="42">
        <v>-8.94</v>
      </c>
      <c r="BI4577" s="106">
        <v>-7.085</v>
      </c>
      <c r="CL4577" s="69">
        <v>-8.51</v>
      </c>
    </row>
    <row r="4578" spans="1:221" x14ac:dyDescent="0.25">
      <c r="A4578" s="127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27">
        <v>45540</v>
      </c>
      <c r="B4579" s="24" t="s">
        <v>146</v>
      </c>
      <c r="C4579" s="21">
        <f t="shared" si="75"/>
        <v>1018.125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27">
        <v>45540</v>
      </c>
      <c r="B4580" s="24" t="s">
        <v>190</v>
      </c>
      <c r="C4580" s="21">
        <f t="shared" si="75"/>
        <v>-133.99</v>
      </c>
      <c r="DK4580" s="74">
        <v>-133.99</v>
      </c>
    </row>
    <row r="4581" spans="1:221" x14ac:dyDescent="0.25">
      <c r="A4581" s="127">
        <v>45540</v>
      </c>
      <c r="B4581" s="24" t="s">
        <v>184</v>
      </c>
      <c r="C4581" s="21">
        <f t="shared" si="75"/>
        <v>-51.825000000000003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27">
        <v>45540</v>
      </c>
      <c r="B4582" s="24" t="s">
        <v>68</v>
      </c>
      <c r="C4582" s="21">
        <f t="shared" si="75"/>
        <v>-67.015000000000001</v>
      </c>
      <c r="BB4582" s="69">
        <v>-34.034999999999997</v>
      </c>
      <c r="BH4582" s="69">
        <v>-32.979999999999997</v>
      </c>
    </row>
    <row r="4583" spans="1:221" x14ac:dyDescent="0.25">
      <c r="A4583" s="127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27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27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27">
        <v>45540</v>
      </c>
      <c r="B4586" s="24" t="s">
        <v>180</v>
      </c>
      <c r="C4586" s="21">
        <f t="shared" si="75"/>
        <v>-87.344999999999999</v>
      </c>
      <c r="GO4586" s="110">
        <v>-87.344999999999999</v>
      </c>
    </row>
    <row r="4587" spans="1:221" x14ac:dyDescent="0.25">
      <c r="A4587" s="127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-14.505000000000001</v>
      </c>
    </row>
    <row r="4588" spans="1:221" x14ac:dyDescent="0.25">
      <c r="A4588" s="127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74">
        <v>67.677999999999997</v>
      </c>
      <c r="AW4588" s="74">
        <v>65.394999999999996</v>
      </c>
      <c r="BC4588" s="74">
        <v>96.775000000000006</v>
      </c>
      <c r="BU4588" s="106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27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106">
        <v>64.334999999999994</v>
      </c>
      <c r="CA4589" s="106">
        <v>66.555000000000007</v>
      </c>
      <c r="CG4589" s="106">
        <v>65.435000000000002</v>
      </c>
    </row>
    <row r="4590" spans="1:221" x14ac:dyDescent="0.25">
      <c r="A4590" s="127">
        <v>45540</v>
      </c>
      <c r="B4590" s="24" t="s">
        <v>64</v>
      </c>
      <c r="C4590" s="21">
        <f t="shared" si="75"/>
        <v>0</v>
      </c>
    </row>
    <row r="4591" spans="1:221" x14ac:dyDescent="0.25">
      <c r="A4591" s="127">
        <v>45540</v>
      </c>
      <c r="B4591" s="24" t="s">
        <v>184</v>
      </c>
      <c r="C4591" s="21">
        <f t="shared" si="75"/>
        <v>-682.75</v>
      </c>
      <c r="Z4591" s="79">
        <v>-17.094999999999999</v>
      </c>
      <c r="AW4591" s="74">
        <v>-32.58</v>
      </c>
      <c r="BC4591" s="74">
        <v>-64.459999999999994</v>
      </c>
      <c r="BI4591" s="106">
        <f>-32.195-32.14</f>
        <v>-64.334999999999994</v>
      </c>
      <c r="BN4591" s="69">
        <v>-34.200000000000003</v>
      </c>
      <c r="BU4591" s="106">
        <v>-33.435000000000002</v>
      </c>
      <c r="CA4591" s="106">
        <v>-33.32</v>
      </c>
      <c r="CG4591" s="106">
        <v>-65.435000000000002</v>
      </c>
      <c r="CM4591" s="74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-102.36</v>
      </c>
    </row>
    <row r="4592" spans="1:221" x14ac:dyDescent="0.25">
      <c r="A4592" s="127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27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27">
        <v>45541</v>
      </c>
      <c r="B4594" s="24" t="s">
        <v>25</v>
      </c>
      <c r="C4594" s="21">
        <f t="shared" si="76"/>
        <v>-25.38</v>
      </c>
      <c r="BU4594" s="106">
        <v>-8.35</v>
      </c>
      <c r="BZ4594" s="69">
        <v>-8.57</v>
      </c>
      <c r="CF4594" s="69">
        <v>-8.4600000000000009</v>
      </c>
    </row>
    <row r="4595" spans="1:199" x14ac:dyDescent="0.25">
      <c r="A4595" s="127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106">
        <v>-8.3550000000000004</v>
      </c>
    </row>
    <row r="4596" spans="1:199" x14ac:dyDescent="0.25">
      <c r="A4596" s="127">
        <v>45541</v>
      </c>
      <c r="B4596" s="24" t="s">
        <v>214</v>
      </c>
      <c r="C4596" s="21">
        <f t="shared" si="76"/>
        <v>-50.255000000000003</v>
      </c>
      <c r="V4596" s="74">
        <v>-7.9550000000000001</v>
      </c>
      <c r="Z4596" s="79">
        <v>-8.42</v>
      </c>
      <c r="BO4596" s="74">
        <f>-8.235-8.245</f>
        <v>-16.48</v>
      </c>
      <c r="CR4596" s="69">
        <f>-8.71-8.69</f>
        <v>-17.399999999999999</v>
      </c>
    </row>
    <row r="4597" spans="1:199" x14ac:dyDescent="0.25">
      <c r="A4597" s="127">
        <v>45541</v>
      </c>
      <c r="B4597" s="24" t="s">
        <v>152</v>
      </c>
      <c r="C4597" s="21">
        <f t="shared" si="76"/>
        <v>-199.64</v>
      </c>
      <c r="AC4597" s="74">
        <f>-32.25-8.555-8.515-8.16-7.07</f>
        <v>-64.55</v>
      </c>
      <c r="AN4597" s="74">
        <f>-34.45-34.415</f>
        <v>-68.864999999999995</v>
      </c>
      <c r="CY4597" s="74">
        <v>-33.049999999999997</v>
      </c>
      <c r="DK4597" s="74">
        <v>-33.174999999999997</v>
      </c>
    </row>
    <row r="4598" spans="1:199" x14ac:dyDescent="0.25">
      <c r="A4598" s="127">
        <v>45541</v>
      </c>
      <c r="B4598" s="24" t="s">
        <v>203</v>
      </c>
      <c r="C4598" s="21">
        <f t="shared" si="76"/>
        <v>-77.174999999999997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27">
        <v>45544</v>
      </c>
      <c r="B4599" s="24" t="s">
        <v>184</v>
      </c>
      <c r="C4599" s="21">
        <f t="shared" si="76"/>
        <v>-101.645</v>
      </c>
      <c r="AR4599" s="74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</v>
      </c>
      <c r="CF4599" s="69">
        <f>-16.94-16.96</f>
        <v>-33.9</v>
      </c>
    </row>
    <row r="4600" spans="1:199" x14ac:dyDescent="0.25">
      <c r="A4600" s="127">
        <v>45544</v>
      </c>
      <c r="B4600" s="24" t="s">
        <v>193</v>
      </c>
      <c r="C4600" s="21">
        <f t="shared" si="76"/>
        <v>-33.524999999999999</v>
      </c>
      <c r="BU4600" s="106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27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27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106">
        <v>-8.3699999999999992</v>
      </c>
      <c r="BZ4602" s="69">
        <v>-8.57</v>
      </c>
    </row>
    <row r="4603" spans="1:199" x14ac:dyDescent="0.25">
      <c r="A4603" s="127">
        <v>45544</v>
      </c>
      <c r="B4603" s="24" t="s">
        <v>146</v>
      </c>
      <c r="C4603" s="21">
        <f t="shared" si="76"/>
        <v>-9.92</v>
      </c>
      <c r="GD4603" s="115">
        <v>-9.92</v>
      </c>
    </row>
    <row r="4604" spans="1:199" x14ac:dyDescent="0.25">
      <c r="A4604" s="127">
        <v>45545</v>
      </c>
      <c r="B4604" s="24" t="s">
        <v>184</v>
      </c>
      <c r="C4604" s="21">
        <f t="shared" si="76"/>
        <v>-45.835000000000001</v>
      </c>
      <c r="AG4604" s="106">
        <v>-8.6</v>
      </c>
      <c r="AW4604" s="74">
        <f>-8.09-8.225-4</f>
        <v>-20.315000000000001</v>
      </c>
      <c r="BH4604" s="69">
        <v>-8.51</v>
      </c>
      <c r="BN4604" s="69">
        <v>-8.41</v>
      </c>
    </row>
    <row r="4605" spans="1:199" x14ac:dyDescent="0.25">
      <c r="A4605" s="127">
        <v>45545</v>
      </c>
      <c r="B4605" s="24" t="s">
        <v>75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27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27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27">
        <v>45545</v>
      </c>
      <c r="B4608" s="24" t="s">
        <v>202</v>
      </c>
      <c r="C4608" s="21">
        <f t="shared" si="76"/>
        <v>-25.824999999999999</v>
      </c>
      <c r="E4608" s="145">
        <v>-25.824999999999999</v>
      </c>
    </row>
    <row r="4609" spans="1:208" x14ac:dyDescent="0.25">
      <c r="A4609" s="127">
        <v>45545</v>
      </c>
      <c r="B4609" s="24" t="s">
        <v>32</v>
      </c>
      <c r="C4609" s="21">
        <f t="shared" si="76"/>
        <v>-24.195</v>
      </c>
      <c r="BB4609" s="69">
        <v>-34.034999999999997</v>
      </c>
      <c r="CA4609" s="106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6">
        <v>12.55</v>
      </c>
      <c r="FH4609" s="46">
        <v>13.75</v>
      </c>
      <c r="FL4609" s="46">
        <v>22.1</v>
      </c>
      <c r="FW4609" s="150">
        <v>23.85</v>
      </c>
      <c r="GF4609" s="150">
        <v>21.45</v>
      </c>
    </row>
    <row r="4610" spans="1:208" x14ac:dyDescent="0.25">
      <c r="A4610" s="127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27">
        <v>45547</v>
      </c>
      <c r="B4611" s="24" t="s">
        <v>133</v>
      </c>
      <c r="C4611" s="21">
        <f t="shared" si="76"/>
        <v>-100.425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27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106">
        <v>145.005</v>
      </c>
      <c r="BU4612" s="106">
        <f>113.575+66.035</f>
        <v>179.61</v>
      </c>
      <c r="CG4612" s="106">
        <v>102.26</v>
      </c>
      <c r="CY4612" s="74">
        <v>64.765000000000001</v>
      </c>
      <c r="DU4612" s="106">
        <v>34.15</v>
      </c>
    </row>
    <row r="4613" spans="1:208" x14ac:dyDescent="0.25">
      <c r="A4613" s="127">
        <v>45549</v>
      </c>
      <c r="B4613" s="24" t="s">
        <v>113</v>
      </c>
      <c r="C4613" s="21">
        <f t="shared" si="76"/>
        <v>906.79</v>
      </c>
      <c r="AN4613" s="74">
        <v>97.6</v>
      </c>
      <c r="AR4613" s="74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27">
        <v>45549</v>
      </c>
      <c r="B4614" s="24" t="s">
        <v>113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0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27">
        <v>45549</v>
      </c>
      <c r="B4615" s="24" t="s">
        <v>113</v>
      </c>
      <c r="C4615" s="21">
        <f t="shared" si="76"/>
        <v>932.71500000000003</v>
      </c>
      <c r="AN4615" s="74">
        <v>97.745000000000005</v>
      </c>
      <c r="AR4615" s="74">
        <f>109.145+109.65</f>
        <v>218.79499999999999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27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74">
        <v>-8.1549999999999994</v>
      </c>
    </row>
    <row r="4617" spans="1:208" x14ac:dyDescent="0.25">
      <c r="A4617" s="127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27">
        <v>45549</v>
      </c>
      <c r="B4618" s="24" t="s">
        <v>184</v>
      </c>
      <c r="C4618" s="21">
        <f t="shared" si="76"/>
        <v>-67.355000000000004</v>
      </c>
      <c r="BU4618" s="106">
        <v>-16.600000000000001</v>
      </c>
      <c r="CL4618" s="69">
        <v>-33.99</v>
      </c>
      <c r="CS4618" s="74">
        <v>-16.765000000000001</v>
      </c>
    </row>
    <row r="4619" spans="1:208" x14ac:dyDescent="0.25">
      <c r="A4619" s="127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27">
        <v>45549</v>
      </c>
      <c r="B4620" s="24" t="s">
        <v>20</v>
      </c>
      <c r="C4620" s="21">
        <f t="shared" si="76"/>
        <v>-16.454999999999998</v>
      </c>
      <c r="BU4620" s="106">
        <v>-16.454999999999998</v>
      </c>
    </row>
    <row r="4621" spans="1:208" x14ac:dyDescent="0.25">
      <c r="A4621" s="127">
        <v>45551</v>
      </c>
      <c r="B4621" s="24" t="s">
        <v>184</v>
      </c>
      <c r="C4621" s="21">
        <f t="shared" si="76"/>
        <v>-133.27000000000001</v>
      </c>
      <c r="BI4621" s="106">
        <v>-32.204999999999998</v>
      </c>
      <c r="DU4621" s="106">
        <v>-34.15</v>
      </c>
      <c r="EA4621" s="74">
        <v>-66.915000000000006</v>
      </c>
    </row>
    <row r="4622" spans="1:208" x14ac:dyDescent="0.25">
      <c r="A4622" s="127">
        <v>45551</v>
      </c>
      <c r="B4622" s="24" t="s">
        <v>133</v>
      </c>
      <c r="C4622" s="21">
        <f t="shared" si="76"/>
        <v>-115.815</v>
      </c>
      <c r="BU4622" s="106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27">
        <v>45551</v>
      </c>
      <c r="B4623" s="24" t="s">
        <v>184</v>
      </c>
      <c r="C4623" s="21">
        <f t="shared" si="76"/>
        <v>-66.260000000000005</v>
      </c>
      <c r="BU4623" s="106">
        <v>-33.314999999999998</v>
      </c>
      <c r="CS4623" s="74">
        <v>-32.945</v>
      </c>
    </row>
    <row r="4624" spans="1:208" x14ac:dyDescent="0.25">
      <c r="A4624" s="127">
        <v>45551</v>
      </c>
      <c r="B4624" s="24" t="s">
        <v>138</v>
      </c>
      <c r="C4624" s="21">
        <f t="shared" si="76"/>
        <v>-40.71</v>
      </c>
      <c r="AW4624" s="74">
        <v>-8.0749999999999993</v>
      </c>
      <c r="BC4624" s="74">
        <v>-16.155000000000001</v>
      </c>
      <c r="BI4624" s="106">
        <v>-8.0749999999999993</v>
      </c>
      <c r="BN4624" s="69">
        <v>-8.4049999999999994</v>
      </c>
    </row>
    <row r="4625" spans="1:214" x14ac:dyDescent="0.25">
      <c r="A4625" s="127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27">
        <v>45552</v>
      </c>
      <c r="B4626" s="24" t="s">
        <v>184</v>
      </c>
      <c r="C4626" s="21">
        <f t="shared" si="76"/>
        <v>-159.04499999999999</v>
      </c>
      <c r="AN4626" s="74">
        <v>-16.37</v>
      </c>
      <c r="BI4626" s="106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0">
        <v>-8.44</v>
      </c>
    </row>
    <row r="4627" spans="1:214" x14ac:dyDescent="0.25">
      <c r="A4627" s="127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27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27">
        <v>45552</v>
      </c>
      <c r="B4629" s="24" t="s">
        <v>193</v>
      </c>
      <c r="C4629" s="21">
        <f t="shared" si="76"/>
        <v>-8.32</v>
      </c>
      <c r="Z4629" s="79">
        <v>-2.44</v>
      </c>
      <c r="BI4629" s="106">
        <v>-2.2200000000000002</v>
      </c>
      <c r="BN4629" s="69">
        <v>-3.66</v>
      </c>
    </row>
    <row r="4630" spans="1:214" x14ac:dyDescent="0.25">
      <c r="A4630" s="127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0">
        <v>-17.75</v>
      </c>
    </row>
    <row r="4631" spans="1:214" x14ac:dyDescent="0.25">
      <c r="A4631" s="127">
        <v>45555</v>
      </c>
      <c r="B4631" s="24" t="s">
        <v>20</v>
      </c>
      <c r="C4631" s="21">
        <f t="shared" si="76"/>
        <v>-58.34</v>
      </c>
      <c r="AR4631" s="74">
        <v>-8.375</v>
      </c>
      <c r="AW4631" s="74">
        <v>-8.1050000000000004</v>
      </c>
      <c r="BC4631" s="74">
        <v>-8.01</v>
      </c>
      <c r="BI4631" s="106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27">
        <v>45555</v>
      </c>
      <c r="B4632" s="24" t="s">
        <v>200</v>
      </c>
      <c r="C4632" s="21">
        <f t="shared" si="76"/>
        <v>-24.28</v>
      </c>
      <c r="BI4632" s="106">
        <v>-16.14</v>
      </c>
      <c r="BU4632" s="106">
        <v>-8.14</v>
      </c>
    </row>
    <row r="4633" spans="1:214" x14ac:dyDescent="0.25">
      <c r="A4633" s="127">
        <v>45555</v>
      </c>
      <c r="B4633" s="24" t="s">
        <v>44</v>
      </c>
      <c r="C4633" s="21">
        <f t="shared" si="76"/>
        <v>-218.77099999999999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27">
        <v>45555</v>
      </c>
      <c r="B4634" s="24" t="s">
        <v>184</v>
      </c>
      <c r="C4634" s="21">
        <f t="shared" si="76"/>
        <v>-117.255</v>
      </c>
      <c r="AW4634" s="74">
        <v>-8.17</v>
      </c>
      <c r="BI4634" s="106">
        <f>-8.055-8.07</f>
        <v>-16.125</v>
      </c>
      <c r="BU4634" s="106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27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74">
        <v>-7.9950000000000001</v>
      </c>
      <c r="BI4635" s="106">
        <v>-8.0649999999999995</v>
      </c>
    </row>
    <row r="4636" spans="1:214" x14ac:dyDescent="0.25">
      <c r="A4636" s="127">
        <v>45555</v>
      </c>
      <c r="B4636" s="24" t="s">
        <v>29</v>
      </c>
      <c r="C4636" s="21">
        <f t="shared" si="76"/>
        <v>-25.66</v>
      </c>
      <c r="BN4636" s="69">
        <v>-8.56</v>
      </c>
      <c r="BU4636" s="106">
        <v>-8.56</v>
      </c>
      <c r="BZ4636" s="69">
        <v>-8.5399999999999991</v>
      </c>
    </row>
    <row r="4637" spans="1:214" x14ac:dyDescent="0.25">
      <c r="A4637" s="127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27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27">
        <v>45559</v>
      </c>
      <c r="B4639" s="24" t="s">
        <v>184</v>
      </c>
      <c r="C4639" s="21">
        <f t="shared" si="76"/>
        <v>-67.325000000000003</v>
      </c>
      <c r="AW4639" s="74">
        <v>-8.18</v>
      </c>
      <c r="BC4639" s="74">
        <v>-8.02</v>
      </c>
      <c r="BI4639" s="106">
        <v>-8.0649999999999995</v>
      </c>
      <c r="BM4639" s="88">
        <v>-8.65</v>
      </c>
      <c r="BU4639" s="106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27">
        <v>45559</v>
      </c>
      <c r="B4640" s="24" t="s">
        <v>79</v>
      </c>
      <c r="C4640" s="21">
        <f t="shared" si="76"/>
        <v>-32.805</v>
      </c>
      <c r="CS4640" s="74">
        <v>-16.29</v>
      </c>
      <c r="CY4640" s="74">
        <v>-16.515000000000001</v>
      </c>
    </row>
    <row r="4641" spans="1:238" x14ac:dyDescent="0.25">
      <c r="A4641" s="127">
        <v>45559</v>
      </c>
      <c r="B4641" s="24" t="s">
        <v>75</v>
      </c>
      <c r="C4641" s="21">
        <f t="shared" si="76"/>
        <v>-25.484999999999999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27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27">
        <v>45559</v>
      </c>
      <c r="B4643" s="24" t="s">
        <v>48</v>
      </c>
      <c r="C4643" s="21">
        <f t="shared" si="76"/>
        <v>174.22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27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27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27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27">
        <v>45560</v>
      </c>
      <c r="B4647" s="24" t="s">
        <v>130</v>
      </c>
      <c r="C4647" s="21">
        <f t="shared" si="76"/>
        <v>-16.614999999999998</v>
      </c>
      <c r="DK4647" s="74">
        <v>-16.614999999999998</v>
      </c>
    </row>
    <row r="4648" spans="1:238" x14ac:dyDescent="0.25">
      <c r="A4648" s="127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27">
        <v>45561</v>
      </c>
      <c r="B4649" s="24" t="s">
        <v>190</v>
      </c>
      <c r="C4649" s="21">
        <f t="shared" si="76"/>
        <v>-104.58</v>
      </c>
      <c r="BC4649" s="74">
        <v>-7.93</v>
      </c>
      <c r="BI4649" s="106">
        <v>-16.13</v>
      </c>
      <c r="BM4649" s="88">
        <v>-17.03</v>
      </c>
      <c r="BU4649" s="106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27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74">
        <v>-8.4600000000000009</v>
      </c>
    </row>
    <row r="4651" spans="1:238" x14ac:dyDescent="0.25">
      <c r="A4651" s="127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106">
        <v>-8.7750000000000004</v>
      </c>
      <c r="CY4651" s="74">
        <v>-8.2799999999999994</v>
      </c>
    </row>
    <row r="4652" spans="1:238" x14ac:dyDescent="0.25">
      <c r="A4652" s="127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27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27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27">
        <v>45561</v>
      </c>
      <c r="B4655" s="24" t="s">
        <v>115</v>
      </c>
      <c r="C4655" s="21">
        <f t="shared" si="76"/>
        <v>-23.85</v>
      </c>
      <c r="FW4655" s="150">
        <v>-23.85</v>
      </c>
    </row>
    <row r="4656" spans="1:238" x14ac:dyDescent="0.25">
      <c r="A4656" s="127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27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27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27">
        <v>45562</v>
      </c>
      <c r="B4659" s="24" t="s">
        <v>39</v>
      </c>
      <c r="C4659" s="21">
        <f t="shared" si="77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27">
        <v>45562</v>
      </c>
      <c r="B4660" s="24" t="s">
        <v>184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27">
        <v>45562</v>
      </c>
      <c r="B4661" s="24" t="s">
        <v>64</v>
      </c>
      <c r="C4661" s="21">
        <f t="shared" si="77"/>
        <v>-2.99</v>
      </c>
      <c r="FZ4661" s="115">
        <v>-2.99</v>
      </c>
    </row>
    <row r="4662" spans="1:233" x14ac:dyDescent="0.25">
      <c r="A4662" s="127">
        <v>45562</v>
      </c>
      <c r="B4662" s="24" t="s">
        <v>139</v>
      </c>
      <c r="C4662" s="21">
        <f t="shared" si="77"/>
        <v>-16.945</v>
      </c>
      <c r="BU4662" s="106">
        <v>-8.14</v>
      </c>
      <c r="CG4662" s="106">
        <v>-8.8049999999999997</v>
      </c>
    </row>
    <row r="4663" spans="1:233" x14ac:dyDescent="0.25">
      <c r="A4663" s="127">
        <v>45563</v>
      </c>
      <c r="B4663" s="24" t="s">
        <v>204</v>
      </c>
      <c r="C4663" s="21">
        <f t="shared" si="77"/>
        <v>-25.475000000000001</v>
      </c>
      <c r="BM4663" s="88">
        <v>-8.66</v>
      </c>
      <c r="BU4663" s="106">
        <v>-8.1549999999999994</v>
      </c>
      <c r="BY4663" s="42">
        <v>-8.66</v>
      </c>
    </row>
    <row r="4664" spans="1:233" x14ac:dyDescent="0.25">
      <c r="A4664" s="127">
        <v>45565</v>
      </c>
      <c r="B4664" s="24" t="s">
        <v>64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27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27">
        <v>45566</v>
      </c>
      <c r="B4666" s="24" t="s">
        <v>33</v>
      </c>
      <c r="C4666" s="21">
        <f t="shared" si="77"/>
        <v>-8.06</v>
      </c>
      <c r="AW4666" s="74">
        <v>-8.06</v>
      </c>
    </row>
    <row r="4667" spans="1:233" x14ac:dyDescent="0.25">
      <c r="A4667" s="127">
        <v>45566</v>
      </c>
      <c r="B4667" s="24" t="s">
        <v>20</v>
      </c>
      <c r="C4667" s="21">
        <f t="shared" si="77"/>
        <v>-15.994999999999999</v>
      </c>
      <c r="AX4667" s="121">
        <v>-7.56</v>
      </c>
      <c r="BH4667" s="69">
        <v>-8.4350000000000005</v>
      </c>
    </row>
    <row r="4668" spans="1:233" x14ac:dyDescent="0.25">
      <c r="A4668" s="127">
        <v>45566</v>
      </c>
      <c r="B4668" s="24" t="s">
        <v>75</v>
      </c>
      <c r="C4668" s="21">
        <f t="shared" si="77"/>
        <v>-17.09</v>
      </c>
      <c r="BC4668" s="74">
        <v>-8.08</v>
      </c>
      <c r="CK4668" s="42">
        <v>-9.01</v>
      </c>
    </row>
    <row r="4669" spans="1:233" x14ac:dyDescent="0.25">
      <c r="A4669" s="127">
        <v>45566</v>
      </c>
      <c r="B4669" s="24" t="s">
        <v>50</v>
      </c>
      <c r="C4669" s="21">
        <f t="shared" si="77"/>
        <v>-290.27</v>
      </c>
      <c r="EU4669" s="126">
        <v>-25.61</v>
      </c>
      <c r="FD4669" s="126">
        <v>-37.590000000000003</v>
      </c>
      <c r="HV4669" s="92">
        <v>-99.25</v>
      </c>
      <c r="HY4669" s="38">
        <v>-127.82</v>
      </c>
    </row>
    <row r="4670" spans="1:233" x14ac:dyDescent="0.25">
      <c r="A4670" s="127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74">
        <v>-16.100000000000001</v>
      </c>
    </row>
    <row r="4671" spans="1:233" x14ac:dyDescent="0.25">
      <c r="A4671" s="127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27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27">
        <v>45568</v>
      </c>
      <c r="B4673" s="24" t="s">
        <v>79</v>
      </c>
      <c r="C4673" s="21">
        <f t="shared" si="77"/>
        <v>-21.215</v>
      </c>
      <c r="BH4673" s="69">
        <v>-8.48</v>
      </c>
      <c r="BI4673" s="106">
        <v>-7.9349999999999996</v>
      </c>
      <c r="BN4673" s="69">
        <v>-4.8</v>
      </c>
    </row>
    <row r="4674" spans="1:199" x14ac:dyDescent="0.25">
      <c r="A4674" s="127">
        <v>45568</v>
      </c>
      <c r="B4674" s="24" t="s">
        <v>20</v>
      </c>
      <c r="C4674" s="21">
        <f t="shared" si="77"/>
        <v>-8.0950000000000006</v>
      </c>
      <c r="BC4674" s="74">
        <v>-8.0950000000000006</v>
      </c>
    </row>
    <row r="4675" spans="1:199" x14ac:dyDescent="0.25">
      <c r="A4675" s="127">
        <v>45568</v>
      </c>
      <c r="B4675" s="24" t="s">
        <v>152</v>
      </c>
      <c r="C4675" s="21">
        <f t="shared" si="77"/>
        <v>0</v>
      </c>
    </row>
    <row r="4676" spans="1:199" x14ac:dyDescent="0.25">
      <c r="A4676" s="127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27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27">
        <v>45569</v>
      </c>
      <c r="B4678" s="24" t="s">
        <v>19</v>
      </c>
      <c r="C4678" s="21">
        <f t="shared" si="77"/>
        <v>0</v>
      </c>
    </row>
    <row r="4679" spans="1:199" x14ac:dyDescent="0.25">
      <c r="A4679" s="127">
        <v>45569</v>
      </c>
      <c r="B4679" s="24" t="s">
        <v>214</v>
      </c>
      <c r="C4679" s="21">
        <f t="shared" si="77"/>
        <v>-91.984999999999999</v>
      </c>
      <c r="AN4679" s="74">
        <v>-10.44</v>
      </c>
      <c r="BC4679" s="74">
        <v>-32.365000000000002</v>
      </c>
      <c r="BG4679" s="42">
        <f>-8.79-8.78-8.8</f>
        <v>-26.37</v>
      </c>
      <c r="BI4679" s="106">
        <v>-5.86</v>
      </c>
      <c r="CG4679" s="106">
        <v>-8.7550000000000008</v>
      </c>
      <c r="DE4679" s="74">
        <v>-8.1950000000000003</v>
      </c>
    </row>
    <row r="4680" spans="1:199" x14ac:dyDescent="0.25">
      <c r="A4680" s="127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27">
        <v>45570</v>
      </c>
      <c r="B4681" s="24" t="s">
        <v>146</v>
      </c>
      <c r="C4681" s="21">
        <f t="shared" si="77"/>
        <v>1212.7149999999999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27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27">
        <v>45572</v>
      </c>
      <c r="B4683" s="24" t="s">
        <v>190</v>
      </c>
      <c r="C4683" s="21">
        <f t="shared" si="77"/>
        <v>0</v>
      </c>
    </row>
    <row r="4684" spans="1:199" x14ac:dyDescent="0.25">
      <c r="A4684" s="127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27">
        <v>45573</v>
      </c>
      <c r="B4685" s="24" t="s">
        <v>75</v>
      </c>
      <c r="C4685" s="21">
        <f t="shared" si="77"/>
        <v>-50.65</v>
      </c>
      <c r="AR4685" s="74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27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27">
        <v>45573</v>
      </c>
      <c r="B4687" s="24" t="s">
        <v>180</v>
      </c>
      <c r="C4687" s="21">
        <f t="shared" si="77"/>
        <v>-94.045000000000002</v>
      </c>
      <c r="GO4687" s="110">
        <v>-94.045000000000002</v>
      </c>
    </row>
    <row r="4688" spans="1:199" x14ac:dyDescent="0.25">
      <c r="A4688" s="127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74">
        <v>-8.0449999999999999</v>
      </c>
    </row>
    <row r="4689" spans="1:208" x14ac:dyDescent="0.25">
      <c r="A4689" s="127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27">
        <v>45573</v>
      </c>
      <c r="B4690" s="24" t="s">
        <v>29</v>
      </c>
      <c r="C4690" s="21">
        <f t="shared" si="77"/>
        <v>-33.29</v>
      </c>
      <c r="AN4690" s="74">
        <v>-8.17</v>
      </c>
      <c r="AR4690" s="74">
        <v>-8.3800000000000008</v>
      </c>
      <c r="AW4690" s="74">
        <v>-8.56</v>
      </c>
      <c r="BC4690" s="74">
        <v>-8.18</v>
      </c>
    </row>
    <row r="4691" spans="1:208" x14ac:dyDescent="0.25">
      <c r="A4691" s="127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27">
        <v>45574</v>
      </c>
      <c r="B4692" s="24" t="s">
        <v>33</v>
      </c>
      <c r="C4692" s="21">
        <f t="shared" si="77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27">
        <v>45575</v>
      </c>
      <c r="B4693" s="24" t="s">
        <v>152</v>
      </c>
      <c r="C4693" s="21">
        <f t="shared" si="77"/>
        <v>0</v>
      </c>
    </row>
    <row r="4694" spans="1:208" x14ac:dyDescent="0.25">
      <c r="A4694" s="127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27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27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27">
        <v>45576</v>
      </c>
      <c r="B4697" s="24" t="s">
        <v>138</v>
      </c>
      <c r="C4697" s="21">
        <f t="shared" si="77"/>
        <v>-157.685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27">
        <v>45576</v>
      </c>
      <c r="B4698" s="24" t="s">
        <v>184</v>
      </c>
      <c r="C4698" s="21">
        <f t="shared" si="77"/>
        <v>-49.45</v>
      </c>
      <c r="DK4698" s="74">
        <v>-49.45</v>
      </c>
    </row>
    <row r="4699" spans="1:208" x14ac:dyDescent="0.25">
      <c r="A4699" s="127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27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27">
        <v>45577</v>
      </c>
      <c r="B4701" s="24" t="s">
        <v>113</v>
      </c>
      <c r="C4701" s="21">
        <f t="shared" si="77"/>
        <v>1032.3050000000001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106">
        <v>97.31</v>
      </c>
      <c r="BO4701" s="74">
        <v>103.96</v>
      </c>
      <c r="BU4701" s="106">
        <v>64.86</v>
      </c>
      <c r="CG4701" s="106">
        <v>104.675</v>
      </c>
      <c r="CM4701" s="74">
        <v>128.93</v>
      </c>
      <c r="CS4701" s="74">
        <v>46.564999999999998</v>
      </c>
      <c r="DU4701" s="106">
        <v>88.61</v>
      </c>
    </row>
    <row r="4702" spans="1:208" x14ac:dyDescent="0.25">
      <c r="A4702" s="127">
        <v>45577</v>
      </c>
      <c r="B4702" s="24" t="s">
        <v>214</v>
      </c>
      <c r="C4702" s="21">
        <f t="shared" si="77"/>
        <v>-101.545</v>
      </c>
      <c r="BC4702" s="74">
        <v>-33.534999999999997</v>
      </c>
      <c r="BO4702" s="74">
        <v>-34.505000000000003</v>
      </c>
      <c r="CG4702" s="106">
        <v>-17.32</v>
      </c>
      <c r="CM4702" s="74">
        <v>-16.184999999999999</v>
      </c>
    </row>
    <row r="4703" spans="1:208" x14ac:dyDescent="0.25">
      <c r="A4703" s="127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106">
        <v>-8.48</v>
      </c>
      <c r="CG4703" s="106">
        <v>-8.7349999999999994</v>
      </c>
      <c r="CM4703" s="74">
        <v>-8.0850000000000009</v>
      </c>
    </row>
    <row r="4704" spans="1:208" x14ac:dyDescent="0.25">
      <c r="A4704" s="127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27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27">
        <v>45580</v>
      </c>
      <c r="B4706" s="24" t="s">
        <v>188</v>
      </c>
      <c r="C4706" s="21">
        <f t="shared" si="77"/>
        <v>-8.5250000000000004</v>
      </c>
      <c r="BC4706" s="74">
        <v>-8.5250000000000004</v>
      </c>
    </row>
    <row r="4707" spans="1:214" x14ac:dyDescent="0.25">
      <c r="A4707" s="127">
        <v>45580</v>
      </c>
      <c r="B4707" s="24" t="s">
        <v>169</v>
      </c>
      <c r="C4707" s="21">
        <f t="shared" si="77"/>
        <v>-76.454999999999998</v>
      </c>
      <c r="D4707" s="145">
        <v>-16.305</v>
      </c>
      <c r="E4707" s="145">
        <v>-35.115000000000002</v>
      </c>
      <c r="F4707" s="145">
        <v>-25.035</v>
      </c>
    </row>
    <row r="4708" spans="1:214" x14ac:dyDescent="0.25">
      <c r="A4708" s="127">
        <v>45580</v>
      </c>
      <c r="B4708" s="24" t="s">
        <v>138</v>
      </c>
      <c r="C4708" s="21">
        <f t="shared" si="77"/>
        <v>-16.655000000000001</v>
      </c>
      <c r="BC4708" s="74">
        <v>-16.655000000000001</v>
      </c>
    </row>
    <row r="4709" spans="1:214" x14ac:dyDescent="0.25">
      <c r="A4709" s="127">
        <v>45580</v>
      </c>
      <c r="B4709" s="24" t="s">
        <v>25</v>
      </c>
      <c r="C4709" s="21">
        <f t="shared" si="77"/>
        <v>-16.875</v>
      </c>
      <c r="CG4709" s="106">
        <v>-8.7750000000000004</v>
      </c>
      <c r="CM4709" s="74">
        <v>-8.1</v>
      </c>
    </row>
    <row r="4710" spans="1:214" x14ac:dyDescent="0.25">
      <c r="A4710" s="127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74">
        <v>-69.454999999999998</v>
      </c>
      <c r="BT4710" s="69">
        <v>-101.67</v>
      </c>
      <c r="BZ4710" s="69">
        <v>-99.754999999999995</v>
      </c>
    </row>
    <row r="4711" spans="1:214" x14ac:dyDescent="0.25">
      <c r="A4711" s="127">
        <v>45580</v>
      </c>
      <c r="B4711" s="24" t="s">
        <v>32</v>
      </c>
      <c r="C4711" s="21">
        <f t="shared" si="77"/>
        <v>25.31</v>
      </c>
      <c r="EI4711" s="150">
        <v>8.2899999999999991</v>
      </c>
      <c r="EM4711" s="150">
        <f>8.51*2</f>
        <v>17.02</v>
      </c>
    </row>
    <row r="4712" spans="1:214" x14ac:dyDescent="0.25">
      <c r="A4712" s="127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27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27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27">
        <v>45581</v>
      </c>
      <c r="B4715" s="24" t="s">
        <v>197</v>
      </c>
      <c r="C4715" s="21">
        <f t="shared" si="77"/>
        <v>-74.180000000000007</v>
      </c>
      <c r="BU4715" s="106">
        <v>-24.375</v>
      </c>
      <c r="BZ4715" s="69">
        <v>-16.805</v>
      </c>
      <c r="CF4715" s="69">
        <v>-16.850000000000001</v>
      </c>
      <c r="CM4715" s="74">
        <v>-16.149999999999999</v>
      </c>
    </row>
    <row r="4716" spans="1:214" x14ac:dyDescent="0.25">
      <c r="A4716" s="127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27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106">
        <f>-8.105-8.105</f>
        <v>-16.21</v>
      </c>
      <c r="BN4717" s="69">
        <f>-8.41-8.41</f>
        <v>-16.82</v>
      </c>
      <c r="BU4717" s="106">
        <f>-8.08-8.125</f>
        <v>-16.204999999999998</v>
      </c>
      <c r="BZ4717" s="69">
        <v>-8.41</v>
      </c>
    </row>
    <row r="4718" spans="1:214" x14ac:dyDescent="0.25">
      <c r="A4718" s="127">
        <v>45581</v>
      </c>
      <c r="B4718" s="24" t="s">
        <v>64</v>
      </c>
      <c r="C4718" s="21">
        <f t="shared" si="77"/>
        <v>34.07</v>
      </c>
      <c r="AW4718" s="74">
        <v>34.07</v>
      </c>
    </row>
    <row r="4719" spans="1:214" x14ac:dyDescent="0.25">
      <c r="A4719" s="127">
        <v>45583</v>
      </c>
      <c r="B4719" s="24" t="s">
        <v>140</v>
      </c>
      <c r="C4719" s="21">
        <f t="shared" si="77"/>
        <v>-48.545000000000002</v>
      </c>
      <c r="D4719" s="145">
        <v>-48.545000000000002</v>
      </c>
    </row>
    <row r="4720" spans="1:214" x14ac:dyDescent="0.25">
      <c r="A4720" s="127">
        <v>45583</v>
      </c>
      <c r="B4720" s="24" t="s">
        <v>20</v>
      </c>
      <c r="C4720" s="21">
        <f t="shared" si="77"/>
        <v>-25.21</v>
      </c>
      <c r="N4720" s="42">
        <v>-8.59</v>
      </c>
      <c r="BI4720" s="106">
        <v>-8.1349999999999998</v>
      </c>
      <c r="BT4720" s="69">
        <v>-8.4849999999999994</v>
      </c>
    </row>
    <row r="4721" spans="1:168" x14ac:dyDescent="0.25">
      <c r="A4721" s="127">
        <v>45583</v>
      </c>
      <c r="B4721" s="24" t="s">
        <v>202</v>
      </c>
      <c r="C4721" s="21">
        <f t="shared" ref="C4721:C4784" si="78">SUM(D4721:JT4721)</f>
        <v>-25.72</v>
      </c>
      <c r="E4721" s="145">
        <v>-25.72</v>
      </c>
    </row>
    <row r="4722" spans="1:168" x14ac:dyDescent="0.25">
      <c r="A4722" s="127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27">
        <v>45583</v>
      </c>
      <c r="B4723" s="24" t="s">
        <v>214</v>
      </c>
      <c r="C4723" s="21">
        <f t="shared" si="78"/>
        <v>-99.49</v>
      </c>
      <c r="BI4723" s="106">
        <v>-32.465000000000003</v>
      </c>
      <c r="BU4723" s="106">
        <v>-32.26</v>
      </c>
      <c r="CG4723" s="106">
        <v>-34.765000000000001</v>
      </c>
    </row>
    <row r="4724" spans="1:168" x14ac:dyDescent="0.25">
      <c r="A4724" s="127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27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27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27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106">
        <v>-16.23</v>
      </c>
    </row>
    <row r="4728" spans="1:168" x14ac:dyDescent="0.25">
      <c r="A4728" s="127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27">
        <v>45587</v>
      </c>
      <c r="B4729" s="24" t="s">
        <v>204</v>
      </c>
      <c r="C4729" s="21">
        <f t="shared" si="78"/>
        <v>-8.4749999999999996</v>
      </c>
      <c r="AR4729" s="74">
        <v>-8.4749999999999996</v>
      </c>
    </row>
    <row r="4730" spans="1:168" x14ac:dyDescent="0.25">
      <c r="A4730" s="127">
        <v>45587</v>
      </c>
      <c r="B4730" s="24" t="s">
        <v>79</v>
      </c>
      <c r="C4730" s="21">
        <f t="shared" si="78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27">
        <v>45587</v>
      </c>
      <c r="B4731" s="24" t="s">
        <v>25</v>
      </c>
      <c r="C4731" s="21">
        <f t="shared" si="78"/>
        <v>-49.645000000000003</v>
      </c>
      <c r="DK4731" s="74">
        <v>-49.645000000000003</v>
      </c>
    </row>
    <row r="4732" spans="1:168" x14ac:dyDescent="0.25">
      <c r="A4732" s="127">
        <v>45587</v>
      </c>
      <c r="B4732" s="24" t="s">
        <v>146</v>
      </c>
      <c r="C4732" s="21">
        <f t="shared" si="78"/>
        <v>0</v>
      </c>
    </row>
    <row r="4733" spans="1:168" x14ac:dyDescent="0.25">
      <c r="A4733" s="127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27">
        <v>45589</v>
      </c>
      <c r="B4734" s="24" t="s">
        <v>32</v>
      </c>
      <c r="C4734" s="21">
        <f t="shared" si="78"/>
        <v>-0.28499999999999998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74">
        <v>-8.1150000000000002</v>
      </c>
    </row>
    <row r="4735" spans="1:168" x14ac:dyDescent="0.25">
      <c r="A4735" s="127">
        <v>45589</v>
      </c>
      <c r="B4735" s="24" t="s">
        <v>171</v>
      </c>
      <c r="C4735" s="21">
        <f t="shared" si="78"/>
        <v>-24.754999999999999</v>
      </c>
      <c r="CY4735" s="74">
        <v>-24.754999999999999</v>
      </c>
    </row>
    <row r="4736" spans="1:168" x14ac:dyDescent="0.25">
      <c r="A4736" s="127">
        <v>45589</v>
      </c>
      <c r="B4736" s="24" t="s">
        <v>203</v>
      </c>
      <c r="C4736" s="21">
        <f t="shared" si="78"/>
        <v>-25.48</v>
      </c>
      <c r="EF4736" s="69">
        <f>-8.53-8.495-8.455</f>
        <v>-25.48</v>
      </c>
    </row>
    <row r="4737" spans="1:237" x14ac:dyDescent="0.25">
      <c r="A4737" s="127">
        <v>45590</v>
      </c>
      <c r="B4737" s="24" t="s">
        <v>138</v>
      </c>
      <c r="C4737" s="21">
        <f t="shared" si="78"/>
        <v>-107.125</v>
      </c>
      <c r="AW4737" s="74">
        <v>-18.34</v>
      </c>
      <c r="BC4737" s="74">
        <v>-16.489999999999998</v>
      </c>
      <c r="BI4737" s="106">
        <v>-16.510000000000002</v>
      </c>
      <c r="BT4737" s="69">
        <v>-16.670000000000002</v>
      </c>
      <c r="CF4737" s="69">
        <v>-8.4649999999999999</v>
      </c>
      <c r="CM4737" s="74">
        <v>-16.114999999999998</v>
      </c>
      <c r="CS4737" s="74">
        <v>-14.535</v>
      </c>
    </row>
    <row r="4738" spans="1:237" x14ac:dyDescent="0.25">
      <c r="A4738" s="127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27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27">
        <v>45590</v>
      </c>
      <c r="B4740" s="24" t="s">
        <v>204</v>
      </c>
      <c r="C4740" s="21">
        <f t="shared" si="78"/>
        <v>-7.9</v>
      </c>
      <c r="AW4740" s="74">
        <v>-7.9</v>
      </c>
    </row>
    <row r="4741" spans="1:237" x14ac:dyDescent="0.25">
      <c r="A4741" s="127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74">
        <v>-8.0749999999999993</v>
      </c>
    </row>
    <row r="4742" spans="1:237" x14ac:dyDescent="0.25">
      <c r="A4742" s="127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27">
        <v>45593</v>
      </c>
      <c r="B4743" s="24" t="s">
        <v>139</v>
      </c>
      <c r="C4743" s="21">
        <f t="shared" si="78"/>
        <v>-24.565000000000001</v>
      </c>
      <c r="CG4743" s="106">
        <v>-8.7899999999999991</v>
      </c>
      <c r="CM4743" s="74">
        <v>-7.4550000000000001</v>
      </c>
      <c r="CS4743" s="74">
        <v>-8.32</v>
      </c>
    </row>
    <row r="4744" spans="1:237" x14ac:dyDescent="0.25">
      <c r="A4744" s="127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27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27">
        <v>45596</v>
      </c>
      <c r="B4746" s="24" t="s">
        <v>113</v>
      </c>
      <c r="C4746" s="21">
        <f t="shared" si="78"/>
        <v>1120.2349999999999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106">
        <v>209.58</v>
      </c>
      <c r="BO4746" s="74">
        <v>173.06</v>
      </c>
      <c r="CM4746" s="74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27">
        <v>45596</v>
      </c>
      <c r="B4747" s="24" t="s">
        <v>113</v>
      </c>
      <c r="C4747" s="21">
        <f t="shared" si="78"/>
        <v>134.41999999999999</v>
      </c>
      <c r="BC4747" s="74">
        <v>63.44</v>
      </c>
      <c r="CA4747" s="106">
        <v>65.185000000000002</v>
      </c>
      <c r="HM4747" s="106">
        <v>5.7949999999999999</v>
      </c>
    </row>
    <row r="4748" spans="1:237" x14ac:dyDescent="0.25">
      <c r="A4748" s="127">
        <v>45596</v>
      </c>
      <c r="B4748" s="24" t="s">
        <v>68</v>
      </c>
      <c r="C4748" s="21">
        <f t="shared" si="78"/>
        <v>-64.424999999999997</v>
      </c>
      <c r="BC4748" s="74">
        <v>-32.185000000000002</v>
      </c>
      <c r="BI4748" s="106">
        <v>-32.24</v>
      </c>
    </row>
    <row r="4749" spans="1:237" x14ac:dyDescent="0.25">
      <c r="A4749" s="127">
        <v>45596</v>
      </c>
      <c r="B4749" s="24" t="s">
        <v>197</v>
      </c>
      <c r="C4749" s="21">
        <f t="shared" si="78"/>
        <v>-84.614999999999995</v>
      </c>
      <c r="AC4749" s="74">
        <v>-8.57</v>
      </c>
      <c r="AG4749" s="106">
        <v>-8.5850000000000009</v>
      </c>
      <c r="AN4749" s="74">
        <v>-8.7550000000000008</v>
      </c>
      <c r="AR4749" s="74">
        <v>-8.4849999999999994</v>
      </c>
      <c r="AW4749" s="74">
        <v>-8.42</v>
      </c>
      <c r="BC4749" s="74">
        <v>-8.11</v>
      </c>
      <c r="BI4749" s="106">
        <v>-16.38</v>
      </c>
      <c r="BS4749" s="42">
        <v>-17.309999999999999</v>
      </c>
    </row>
    <row r="4750" spans="1:237" x14ac:dyDescent="0.25">
      <c r="A4750" s="127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74">
        <v>-8.4350000000000005</v>
      </c>
      <c r="BC4750" s="74">
        <v>-7.1050000000000004</v>
      </c>
      <c r="BI4750" s="106">
        <v>-8.0150000000000006</v>
      </c>
      <c r="BS4750" s="42">
        <v>-8.64</v>
      </c>
    </row>
    <row r="4751" spans="1:237" x14ac:dyDescent="0.25">
      <c r="A4751" s="127">
        <v>45596</v>
      </c>
      <c r="B4751" s="24" t="s">
        <v>139</v>
      </c>
      <c r="C4751" s="21">
        <f t="shared" si="78"/>
        <v>-16.934999999999999</v>
      </c>
      <c r="BS4751" s="42">
        <v>-8.64</v>
      </c>
      <c r="CA4751" s="106">
        <v>-8.2949999999999999</v>
      </c>
    </row>
    <row r="4752" spans="1:237" x14ac:dyDescent="0.25">
      <c r="A4752" s="127">
        <v>45596</v>
      </c>
      <c r="B4752" s="24" t="s">
        <v>138</v>
      </c>
      <c r="C4752" s="21">
        <f t="shared" si="78"/>
        <v>-32.994999999999997</v>
      </c>
      <c r="BO4752" s="74">
        <v>-17.344999999999999</v>
      </c>
      <c r="CA4752" s="106">
        <v>-15.65</v>
      </c>
    </row>
    <row r="4753" spans="1:199" x14ac:dyDescent="0.25">
      <c r="A4753" s="127">
        <v>45596</v>
      </c>
      <c r="B4753" s="24" t="s">
        <v>29</v>
      </c>
      <c r="C4753" s="21">
        <f t="shared" si="78"/>
        <v>-8.7650000000000006</v>
      </c>
      <c r="CG4753" s="106">
        <v>-8.7650000000000006</v>
      </c>
    </row>
    <row r="4754" spans="1:199" x14ac:dyDescent="0.25">
      <c r="A4754" s="127">
        <v>45596</v>
      </c>
      <c r="B4754" s="24" t="s">
        <v>48</v>
      </c>
      <c r="C4754" s="21">
        <f t="shared" si="78"/>
        <v>-83.305000000000007</v>
      </c>
      <c r="CM4754" s="74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27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27">
        <v>45596</v>
      </c>
      <c r="B4756" s="24" t="s">
        <v>115</v>
      </c>
      <c r="C4756" s="21">
        <f t="shared" si="78"/>
        <v>53.85</v>
      </c>
      <c r="E4756" s="145">
        <v>53.85</v>
      </c>
    </row>
    <row r="4757" spans="1:199" x14ac:dyDescent="0.25">
      <c r="A4757" s="127">
        <v>45596</v>
      </c>
      <c r="B4757" s="24" t="s">
        <v>48</v>
      </c>
      <c r="C4757" s="21">
        <f t="shared" si="78"/>
        <v>165.79</v>
      </c>
      <c r="BA4757" s="42">
        <v>96.79</v>
      </c>
      <c r="BS4757" s="42">
        <v>69</v>
      </c>
    </row>
    <row r="4758" spans="1:199" x14ac:dyDescent="0.25">
      <c r="A4758" s="127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27">
        <v>45596</v>
      </c>
      <c r="B4759" s="24" t="s">
        <v>214</v>
      </c>
      <c r="C4759" s="21">
        <f t="shared" si="78"/>
        <v>-101.73</v>
      </c>
      <c r="BO4759" s="74">
        <v>-34.634999999999998</v>
      </c>
      <c r="BS4759" s="42">
        <v>-34.409999999999997</v>
      </c>
      <c r="CA4759" s="106">
        <v>-32.685000000000002</v>
      </c>
    </row>
    <row r="4760" spans="1:199" x14ac:dyDescent="0.25">
      <c r="A4760" s="127">
        <v>45596</v>
      </c>
      <c r="B4760" s="24" t="s">
        <v>202</v>
      </c>
      <c r="C4760" s="21">
        <f t="shared" si="78"/>
        <v>-25.704999999999998</v>
      </c>
      <c r="D4760" s="145">
        <v>-8.69</v>
      </c>
      <c r="E4760" s="145">
        <v>-17.015000000000001</v>
      </c>
    </row>
    <row r="4761" spans="1:199" x14ac:dyDescent="0.25">
      <c r="A4761" s="127">
        <v>45596</v>
      </c>
      <c r="B4761" s="24" t="s">
        <v>204</v>
      </c>
      <c r="C4761" s="21">
        <f t="shared" si="78"/>
        <v>-8.5549999999999997</v>
      </c>
      <c r="CA4761" s="106">
        <v>-8.5549999999999997</v>
      </c>
    </row>
    <row r="4762" spans="1:199" x14ac:dyDescent="0.25">
      <c r="A4762" s="127">
        <v>45596</v>
      </c>
      <c r="B4762" s="24" t="s">
        <v>75</v>
      </c>
      <c r="C4762" s="21">
        <f t="shared" si="78"/>
        <v>-50.05</v>
      </c>
      <c r="AN4762" s="74">
        <v>-8.69</v>
      </c>
      <c r="AR4762" s="74">
        <v>-8.4499999999999993</v>
      </c>
      <c r="BC4762" s="74">
        <v>-7.98</v>
      </c>
      <c r="BI4762" s="106">
        <v>-8.09</v>
      </c>
      <c r="BO4762" s="74">
        <v>-8.67</v>
      </c>
      <c r="CM4762" s="74">
        <v>-8.17</v>
      </c>
    </row>
    <row r="4763" spans="1:199" x14ac:dyDescent="0.25">
      <c r="A4763" s="127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27">
        <v>45596</v>
      </c>
      <c r="B4764" s="24" t="s">
        <v>184</v>
      </c>
      <c r="C4764" s="21">
        <f t="shared" si="78"/>
        <v>-119.375</v>
      </c>
      <c r="AW4764" s="74">
        <v>-16.850000000000001</v>
      </c>
      <c r="BI4764" s="106">
        <v>-16.114999999999998</v>
      </c>
      <c r="BO4764" s="74">
        <v>-34.555</v>
      </c>
      <c r="CF4764" s="69">
        <v>-16.809999999999999</v>
      </c>
      <c r="CM4764" s="74">
        <v>-16.344999999999999</v>
      </c>
      <c r="DE4764" s="74">
        <v>-18.7</v>
      </c>
    </row>
    <row r="4765" spans="1:199" x14ac:dyDescent="0.25">
      <c r="A4765" s="127">
        <v>45596</v>
      </c>
      <c r="B4765" s="24" t="s">
        <v>184</v>
      </c>
      <c r="C4765" s="21">
        <f t="shared" si="78"/>
        <v>-75.254999999999995</v>
      </c>
      <c r="AR4765" s="74">
        <v>-8.3849999999999998</v>
      </c>
      <c r="BI4765" s="106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27">
        <v>45596</v>
      </c>
      <c r="B4766" s="24" t="s">
        <v>39</v>
      </c>
      <c r="C4766" s="21">
        <f t="shared" si="78"/>
        <v>-25.218</v>
      </c>
      <c r="AR4766" s="74">
        <v>-8.4079999999999995</v>
      </c>
      <c r="BI4766" s="106">
        <v>-8.14</v>
      </c>
      <c r="BO4766" s="74">
        <v>-8.67</v>
      </c>
    </row>
    <row r="4767" spans="1:199" x14ac:dyDescent="0.25">
      <c r="A4767" s="127">
        <v>45596</v>
      </c>
      <c r="B4767" s="24" t="s">
        <v>200</v>
      </c>
      <c r="C4767" s="21">
        <f t="shared" si="78"/>
        <v>-16.535</v>
      </c>
      <c r="AW4767" s="74">
        <v>-8.4749999999999996</v>
      </c>
      <c r="BC4767" s="74">
        <v>-8.06</v>
      </c>
    </row>
    <row r="4768" spans="1:199" x14ac:dyDescent="0.25">
      <c r="A4768" s="127">
        <v>45596</v>
      </c>
      <c r="B4768" s="24" t="s">
        <v>214</v>
      </c>
      <c r="C4768" s="21">
        <f t="shared" si="78"/>
        <v>-33.67</v>
      </c>
      <c r="AR4768" s="74">
        <v>-8.4049999999999994</v>
      </c>
      <c r="AW4768" s="74">
        <v>-8.36</v>
      </c>
      <c r="CF4768" s="69">
        <v>-16.905000000000001</v>
      </c>
    </row>
    <row r="4769" spans="1:238" x14ac:dyDescent="0.25">
      <c r="A4769" s="127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27">
        <v>45598</v>
      </c>
      <c r="B4770" s="24" t="s">
        <v>171</v>
      </c>
      <c r="C4770" s="21">
        <f t="shared" si="78"/>
        <v>-33.49</v>
      </c>
      <c r="AW4770" s="74">
        <v>-8.4550000000000001</v>
      </c>
      <c r="BI4770" s="106">
        <v>-8.02</v>
      </c>
      <c r="BO4770" s="74">
        <v>-8.5649999999999995</v>
      </c>
      <c r="CF4770" s="69">
        <v>-8.4499999999999993</v>
      </c>
    </row>
    <row r="4771" spans="1:238" x14ac:dyDescent="0.25">
      <c r="A4771" s="127">
        <v>45601</v>
      </c>
      <c r="B4771" s="24" t="s">
        <v>212</v>
      </c>
      <c r="C4771" s="21">
        <f t="shared" si="78"/>
        <v>-51.28</v>
      </c>
      <c r="AG4771" s="106">
        <v>-8.57</v>
      </c>
      <c r="AN4771" s="74">
        <v>-8.7550000000000008</v>
      </c>
      <c r="AR4771" s="74">
        <v>-8.42</v>
      </c>
      <c r="AW4771" s="74">
        <v>-8.4049999999999994</v>
      </c>
      <c r="BO4771" s="74">
        <v>-8.68</v>
      </c>
      <c r="CF4771" s="69">
        <v>-8.4499999999999993</v>
      </c>
    </row>
    <row r="4772" spans="1:238" x14ac:dyDescent="0.25">
      <c r="A4772" s="127">
        <v>45600</v>
      </c>
      <c r="B4772" s="24" t="s">
        <v>140</v>
      </c>
      <c r="C4772" s="21">
        <f t="shared" si="78"/>
        <v>22.96</v>
      </c>
      <c r="D4772" s="145">
        <v>22.96</v>
      </c>
    </row>
    <row r="4773" spans="1:238" x14ac:dyDescent="0.25">
      <c r="A4773" s="127">
        <v>45600</v>
      </c>
      <c r="B4773" s="24" t="s">
        <v>64</v>
      </c>
      <c r="C4773" s="21">
        <f t="shared" si="78"/>
        <v>60.32</v>
      </c>
      <c r="AW4773" s="74">
        <v>60.32</v>
      </c>
    </row>
    <row r="4774" spans="1:238" x14ac:dyDescent="0.25">
      <c r="A4774" s="127">
        <v>45600</v>
      </c>
      <c r="B4774" s="24" t="s">
        <v>188</v>
      </c>
      <c r="C4774" s="21">
        <f t="shared" si="78"/>
        <v>-25.824999999999999</v>
      </c>
      <c r="AN4774" s="74">
        <v>-8.7650000000000006</v>
      </c>
      <c r="BO4774" s="74">
        <v>-8.68</v>
      </c>
      <c r="DE4774" s="74">
        <v>-8.3800000000000008</v>
      </c>
    </row>
    <row r="4775" spans="1:238" x14ac:dyDescent="0.25">
      <c r="A4775" s="127">
        <v>45601</v>
      </c>
      <c r="B4775" s="24" t="s">
        <v>180</v>
      </c>
      <c r="C4775" s="21">
        <f t="shared" si="78"/>
        <v>-102.3</v>
      </c>
      <c r="GO4775" s="110">
        <v>-102.3</v>
      </c>
    </row>
    <row r="4776" spans="1:238" x14ac:dyDescent="0.25">
      <c r="A4776" s="127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27">
        <v>45601</v>
      </c>
      <c r="B4777" s="24" t="s">
        <v>33</v>
      </c>
      <c r="C4777" s="21">
        <f t="shared" si="78"/>
        <v>-8.1050000000000004</v>
      </c>
      <c r="BI4777" s="106">
        <v>-8.1050000000000004</v>
      </c>
    </row>
    <row r="4778" spans="1:238" x14ac:dyDescent="0.25">
      <c r="A4778" s="127">
        <v>45601</v>
      </c>
      <c r="B4778" s="24" t="s">
        <v>29</v>
      </c>
      <c r="C4778" s="21">
        <f t="shared" si="78"/>
        <v>-8.6449999999999996</v>
      </c>
      <c r="BO4778" s="74">
        <v>-8.6449999999999996</v>
      </c>
    </row>
    <row r="4779" spans="1:238" x14ac:dyDescent="0.25">
      <c r="A4779" s="127">
        <v>45601</v>
      </c>
      <c r="B4779" s="24" t="s">
        <v>171</v>
      </c>
      <c r="C4779" s="21">
        <f t="shared" si="78"/>
        <v>-24.245000000000001</v>
      </c>
      <c r="CM4779" s="74">
        <v>-24.245000000000001</v>
      </c>
    </row>
    <row r="4780" spans="1:238" x14ac:dyDescent="0.25">
      <c r="A4780" s="127">
        <v>45602</v>
      </c>
      <c r="B4780" s="24" t="s">
        <v>146</v>
      </c>
      <c r="C4780" s="21">
        <f t="shared" si="78"/>
        <v>0</v>
      </c>
    </row>
    <row r="4781" spans="1:238" x14ac:dyDescent="0.25">
      <c r="A4781" s="127">
        <v>45602</v>
      </c>
      <c r="B4781" s="24" t="s">
        <v>113</v>
      </c>
      <c r="C4781" s="21">
        <f t="shared" si="78"/>
        <v>1114.01</v>
      </c>
      <c r="AW4781" s="74">
        <v>95.484999999999999</v>
      </c>
      <c r="BC4781" s="74">
        <v>96.504999999999995</v>
      </c>
      <c r="BI4781" s="106">
        <v>92.334999999999994</v>
      </c>
      <c r="BO4781" s="74">
        <v>91.814999999999998</v>
      </c>
      <c r="BU4781" s="106">
        <f>76.67+73.33</f>
        <v>150</v>
      </c>
      <c r="CA4781" s="106">
        <v>100.7</v>
      </c>
      <c r="CG4781" s="106">
        <v>96.364999999999995</v>
      </c>
      <c r="CM4781" s="74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27">
        <v>45602</v>
      </c>
      <c r="B4782" s="24" t="s">
        <v>44</v>
      </c>
      <c r="C4782" s="21">
        <f t="shared" si="78"/>
        <v>-117.75</v>
      </c>
      <c r="BO4782" s="74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27">
        <v>45602</v>
      </c>
      <c r="B4783" s="24" t="s">
        <v>193</v>
      </c>
      <c r="C4783" s="21">
        <f t="shared" si="78"/>
        <v>-24.664999999999999</v>
      </c>
      <c r="CM4783" s="74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27">
        <v>45602</v>
      </c>
      <c r="B4784" s="24" t="s">
        <v>184</v>
      </c>
      <c r="C4784" s="21">
        <f t="shared" si="78"/>
        <v>-78.58</v>
      </c>
      <c r="AW4784" s="74">
        <v>-6.66</v>
      </c>
      <c r="BC4784" s="74">
        <v>-8.1750000000000007</v>
      </c>
      <c r="BI4784" s="106">
        <v>-14.625</v>
      </c>
      <c r="BO4784" s="74">
        <v>-24.53</v>
      </c>
      <c r="BU4784" s="106">
        <v>-16.234999999999999</v>
      </c>
      <c r="CA4784" s="106">
        <v>-8.3550000000000004</v>
      </c>
    </row>
    <row r="4785" spans="1:221" x14ac:dyDescent="0.25">
      <c r="A4785" s="127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65.260000000000005</v>
      </c>
      <c r="DS4785" s="42">
        <v>105.41</v>
      </c>
    </row>
    <row r="4786" spans="1:221" x14ac:dyDescent="0.25">
      <c r="A4786" s="127">
        <v>45603</v>
      </c>
      <c r="B4786" s="24" t="s">
        <v>184</v>
      </c>
      <c r="C4786" s="21">
        <f t="shared" si="79"/>
        <v>-817.41499999999996</v>
      </c>
      <c r="BC4786" s="74">
        <v>-64.73</v>
      </c>
      <c r="BI4786" s="106">
        <v>-64.545000000000002</v>
      </c>
      <c r="BO4786" s="74">
        <v>-59.12</v>
      </c>
      <c r="BU4786" s="106">
        <v>-66.63</v>
      </c>
      <c r="CA4786" s="106">
        <v>-67.045000000000002</v>
      </c>
      <c r="CW4786" s="42">
        <f>-32-33.26</f>
        <v>-65.260000000000005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0">
        <v>-8.2899999999999991</v>
      </c>
    </row>
    <row r="4787" spans="1:221" x14ac:dyDescent="0.25">
      <c r="A4787" s="127">
        <v>45603</v>
      </c>
      <c r="B4787" s="24" t="s">
        <v>115</v>
      </c>
      <c r="C4787" s="21">
        <f t="shared" si="79"/>
        <v>-6.9</v>
      </c>
      <c r="D4787" s="145">
        <v>-6.9</v>
      </c>
    </row>
    <row r="4788" spans="1:221" x14ac:dyDescent="0.25">
      <c r="A4788" s="127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27">
        <v>45604</v>
      </c>
      <c r="B4789" s="24" t="s">
        <v>75</v>
      </c>
      <c r="C4789" s="21">
        <f t="shared" si="79"/>
        <v>-16.545000000000002</v>
      </c>
      <c r="BU4789" s="106">
        <v>-8.16</v>
      </c>
      <c r="CA4789" s="106">
        <v>-8.3849999999999998</v>
      </c>
    </row>
    <row r="4790" spans="1:221" x14ac:dyDescent="0.25">
      <c r="A4790" s="127">
        <v>45604</v>
      </c>
      <c r="B4790" s="24" t="s">
        <v>139</v>
      </c>
      <c r="C4790" s="21">
        <f t="shared" si="79"/>
        <v>-16.88</v>
      </c>
      <c r="CG4790" s="106">
        <v>-8.4499999999999993</v>
      </c>
      <c r="CS4790" s="74">
        <v>-8.43</v>
      </c>
    </row>
    <row r="4791" spans="1:221" x14ac:dyDescent="0.25">
      <c r="A4791" s="127">
        <v>45604</v>
      </c>
      <c r="B4791" s="24" t="s">
        <v>127</v>
      </c>
      <c r="C4791" s="21">
        <f t="shared" si="79"/>
        <v>-22.88</v>
      </c>
      <c r="AX4791" s="121">
        <v>-7.89</v>
      </c>
      <c r="BC4791" s="74">
        <v>-7.39</v>
      </c>
      <c r="BG4791" s="42">
        <v>-7.6</v>
      </c>
    </row>
    <row r="4792" spans="1:221" x14ac:dyDescent="0.25">
      <c r="A4792" s="127">
        <v>45604</v>
      </c>
      <c r="B4792" s="24" t="s">
        <v>140</v>
      </c>
      <c r="C4792" s="21">
        <f t="shared" si="79"/>
        <v>-42.575000000000003</v>
      </c>
      <c r="D4792" s="145">
        <v>-33.97</v>
      </c>
      <c r="E4792" s="145">
        <v>-8.6050000000000004</v>
      </c>
    </row>
    <row r="4793" spans="1:221" x14ac:dyDescent="0.25">
      <c r="A4793" s="127">
        <v>45604</v>
      </c>
      <c r="B4793" s="24" t="s">
        <v>115</v>
      </c>
      <c r="C4793" s="21">
        <f t="shared" si="79"/>
        <v>40.869999999999997</v>
      </c>
      <c r="D4793" s="145">
        <v>40.869999999999997</v>
      </c>
    </row>
    <row r="4794" spans="1:221" x14ac:dyDescent="0.25">
      <c r="A4794" s="127">
        <v>45604</v>
      </c>
      <c r="B4794" s="24" t="s">
        <v>204</v>
      </c>
      <c r="C4794" s="21">
        <f t="shared" si="79"/>
        <v>-16.3</v>
      </c>
      <c r="BO4794" s="74">
        <v>-8.1649999999999991</v>
      </c>
      <c r="BU4794" s="106">
        <v>-8.1349999999999998</v>
      </c>
    </row>
    <row r="4795" spans="1:221" x14ac:dyDescent="0.25">
      <c r="A4795" s="127">
        <v>45604</v>
      </c>
      <c r="B4795" s="24" t="s">
        <v>212</v>
      </c>
      <c r="C4795" s="21">
        <f t="shared" si="79"/>
        <v>-16.785</v>
      </c>
      <c r="BC4795" s="74">
        <v>-8.25</v>
      </c>
      <c r="CA4795" s="106">
        <v>-8.5350000000000001</v>
      </c>
    </row>
    <row r="4796" spans="1:221" x14ac:dyDescent="0.25">
      <c r="A4796" s="127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27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27">
        <v>45607</v>
      </c>
      <c r="B4798" s="24" t="s">
        <v>48</v>
      </c>
      <c r="C4798" s="21">
        <f t="shared" si="79"/>
        <v>-49.02</v>
      </c>
      <c r="CM4798" s="74">
        <v>-49.02</v>
      </c>
    </row>
    <row r="4799" spans="1:221" x14ac:dyDescent="0.25">
      <c r="A4799" s="127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27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27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27">
        <v>45608</v>
      </c>
      <c r="B4802" s="24" t="s">
        <v>48</v>
      </c>
      <c r="C4802" s="21">
        <f t="shared" si="79"/>
        <v>-48.8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27">
        <v>45608</v>
      </c>
      <c r="B4803" s="24" t="s">
        <v>20</v>
      </c>
      <c r="C4803" s="21">
        <f t="shared" si="79"/>
        <v>-32.395000000000003</v>
      </c>
      <c r="AW4803" s="74">
        <v>-7.86</v>
      </c>
      <c r="BI4803" s="106">
        <v>-8.0350000000000001</v>
      </c>
      <c r="CG4803" s="106">
        <v>-8.39</v>
      </c>
      <c r="CM4803" s="74">
        <v>-8.11</v>
      </c>
    </row>
    <row r="4804" spans="1:241" x14ac:dyDescent="0.25">
      <c r="A4804" s="127">
        <v>45608</v>
      </c>
      <c r="B4804" s="24" t="s">
        <v>39</v>
      </c>
      <c r="C4804" s="21">
        <f t="shared" si="79"/>
        <v>-16.75</v>
      </c>
      <c r="BU4804" s="106">
        <v>-8.3699999999999992</v>
      </c>
      <c r="CA4804" s="106">
        <v>-8.3800000000000008</v>
      </c>
    </row>
    <row r="4805" spans="1:241" x14ac:dyDescent="0.25">
      <c r="A4805" s="127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74">
        <v>-8.76</v>
      </c>
      <c r="AR4805" s="74">
        <v>-8.4849999999999994</v>
      </c>
      <c r="AW4805" s="74">
        <v>-8.0500000000000007</v>
      </c>
      <c r="BU4805" s="106">
        <v>-26.16</v>
      </c>
      <c r="CG4805" s="106">
        <v>-31.155000000000001</v>
      </c>
      <c r="CM4805" s="74">
        <v>-8.2349999999999994</v>
      </c>
    </row>
    <row r="4806" spans="1:241" x14ac:dyDescent="0.25">
      <c r="A4806" s="127">
        <v>45609</v>
      </c>
      <c r="B4806" s="24" t="s">
        <v>12</v>
      </c>
      <c r="C4806" s="21">
        <f t="shared" si="79"/>
        <v>0</v>
      </c>
    </row>
    <row r="4807" spans="1:241" x14ac:dyDescent="0.25">
      <c r="A4807" s="127">
        <v>45609</v>
      </c>
      <c r="B4807" s="24" t="s">
        <v>212</v>
      </c>
      <c r="C4807" s="21">
        <f t="shared" si="79"/>
        <v>-8.07</v>
      </c>
      <c r="BU4807" s="106">
        <v>-8.07</v>
      </c>
    </row>
    <row r="4808" spans="1:241" x14ac:dyDescent="0.25">
      <c r="A4808" s="127">
        <v>45610</v>
      </c>
      <c r="B4808" s="24" t="s">
        <v>17</v>
      </c>
      <c r="C4808" s="21">
        <f t="shared" si="79"/>
        <v>-16.215</v>
      </c>
      <c r="AW4808" s="74">
        <v>-16.215</v>
      </c>
    </row>
    <row r="4809" spans="1:241" x14ac:dyDescent="0.25">
      <c r="A4809" s="127">
        <v>45610</v>
      </c>
      <c r="B4809" s="24" t="s">
        <v>20</v>
      </c>
      <c r="C4809" s="21">
        <f t="shared" si="79"/>
        <v>-4.07</v>
      </c>
      <c r="BO4809" s="74">
        <v>4.3849999999999998</v>
      </c>
      <c r="CS4809" s="74">
        <v>-8.4550000000000001</v>
      </c>
    </row>
    <row r="4810" spans="1:241" x14ac:dyDescent="0.25">
      <c r="A4810" s="127">
        <v>45610</v>
      </c>
      <c r="B4810" s="186" t="s">
        <v>138</v>
      </c>
      <c r="C4810" s="21">
        <f t="shared" si="79"/>
        <v>8.6950000000000003</v>
      </c>
      <c r="BO4810" s="74">
        <v>8.6950000000000003</v>
      </c>
    </row>
    <row r="4811" spans="1:241" x14ac:dyDescent="0.25">
      <c r="A4811" s="127">
        <v>45611</v>
      </c>
      <c r="B4811" s="24" t="s">
        <v>138</v>
      </c>
      <c r="C4811" s="21">
        <f t="shared" si="79"/>
        <v>-8.0500000000000007</v>
      </c>
      <c r="BI4811" s="106">
        <v>-8.0500000000000007</v>
      </c>
    </row>
    <row r="4812" spans="1:241" x14ac:dyDescent="0.25">
      <c r="A4812" s="127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27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27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27">
        <v>45614</v>
      </c>
      <c r="B4815" s="24" t="s">
        <v>48</v>
      </c>
      <c r="C4815" s="21">
        <f t="shared" si="79"/>
        <v>-40.54</v>
      </c>
      <c r="CM4815" s="74">
        <f>-8.145-8.06-8.05</f>
        <v>-24.254999999999999</v>
      </c>
      <c r="CS4815" s="74">
        <f>-8.13-8.155</f>
        <v>-16.285</v>
      </c>
    </row>
    <row r="4816" spans="1:241" x14ac:dyDescent="0.25">
      <c r="A4816" s="127">
        <v>45614</v>
      </c>
      <c r="B4816" s="24" t="s">
        <v>39</v>
      </c>
      <c r="C4816" s="21">
        <f t="shared" si="79"/>
        <v>-33.064999999999998</v>
      </c>
      <c r="CG4816" s="106">
        <f>-8.335-8.21</f>
        <v>-16.545000000000002</v>
      </c>
      <c r="CM4816" s="74">
        <f>-8.36-8.16</f>
        <v>-16.52</v>
      </c>
    </row>
    <row r="4817" spans="1:214" x14ac:dyDescent="0.25">
      <c r="A4817" s="127">
        <v>45614</v>
      </c>
      <c r="B4817" s="24" t="s">
        <v>184</v>
      </c>
      <c r="C4817" s="21">
        <f t="shared" si="79"/>
        <v>-38.545000000000002</v>
      </c>
      <c r="BI4817" s="106">
        <v>-15.82</v>
      </c>
      <c r="CG4817" s="106">
        <v>-14.57</v>
      </c>
      <c r="CS4817" s="74">
        <v>-8.1549999999999994</v>
      </c>
    </row>
    <row r="4818" spans="1:214" x14ac:dyDescent="0.25">
      <c r="A4818" s="127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74">
        <v>-13.074999999999999</v>
      </c>
    </row>
    <row r="4819" spans="1:214" x14ac:dyDescent="0.25">
      <c r="A4819" s="127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27">
        <v>45615</v>
      </c>
      <c r="B4820" s="24" t="s">
        <v>33</v>
      </c>
      <c r="C4820" s="21">
        <f t="shared" si="79"/>
        <v>-8.49</v>
      </c>
      <c r="AR4820" s="74">
        <v>-8.49</v>
      </c>
    </row>
    <row r="4821" spans="1:214" x14ac:dyDescent="0.25">
      <c r="A4821" s="127">
        <v>45615</v>
      </c>
      <c r="B4821" s="24" t="s">
        <v>20</v>
      </c>
      <c r="C4821" s="21">
        <f t="shared" si="79"/>
        <v>-57.134999999999998</v>
      </c>
      <c r="Z4821" s="79">
        <v>-8.4649999999999999</v>
      </c>
      <c r="BC4821" s="74">
        <v>-8.0549999999999997</v>
      </c>
      <c r="BI4821" s="106">
        <v>-7.835</v>
      </c>
      <c r="BU4821" s="106">
        <v>-8.15</v>
      </c>
      <c r="CG4821" s="106">
        <v>-8.3800000000000008</v>
      </c>
      <c r="CM4821" s="74">
        <v>-8.19</v>
      </c>
      <c r="CS4821" s="74">
        <v>-8.06</v>
      </c>
    </row>
    <row r="4822" spans="1:214" x14ac:dyDescent="0.25">
      <c r="A4822" s="127">
        <v>45615</v>
      </c>
      <c r="B4822" s="24" t="s">
        <v>203</v>
      </c>
      <c r="C4822" s="21">
        <f t="shared" si="79"/>
        <v>66.14</v>
      </c>
      <c r="DA4822" s="126">
        <v>9.23</v>
      </c>
      <c r="DM4822" s="150">
        <v>7.4</v>
      </c>
      <c r="EC4822" s="126">
        <v>8.24</v>
      </c>
      <c r="EM4822" s="150">
        <f>8.45+8.39</f>
        <v>16.84</v>
      </c>
      <c r="EQ4822" s="46">
        <f>8.24+8.25</f>
        <v>16.489999999999998</v>
      </c>
      <c r="EU4822" s="126">
        <v>7.94</v>
      </c>
    </row>
    <row r="4823" spans="1:214" x14ac:dyDescent="0.25">
      <c r="A4823" s="127">
        <v>45616</v>
      </c>
      <c r="B4823" s="24" t="s">
        <v>169</v>
      </c>
      <c r="C4823" s="21">
        <f t="shared" si="79"/>
        <v>-62.89</v>
      </c>
      <c r="E4823" s="145">
        <v>-28.23</v>
      </c>
      <c r="F4823" s="145">
        <v>-34.659999999999997</v>
      </c>
    </row>
    <row r="4824" spans="1:214" x14ac:dyDescent="0.25">
      <c r="A4824" s="127">
        <v>45616</v>
      </c>
      <c r="B4824" s="24" t="s">
        <v>33</v>
      </c>
      <c r="C4824" s="21">
        <f t="shared" si="79"/>
        <v>-12.78</v>
      </c>
      <c r="V4824" s="74">
        <v>-4.03</v>
      </c>
      <c r="AN4824" s="74">
        <v>-8.75</v>
      </c>
    </row>
    <row r="4825" spans="1:214" x14ac:dyDescent="0.25">
      <c r="A4825" s="127">
        <v>45616</v>
      </c>
      <c r="B4825" s="24" t="s">
        <v>180</v>
      </c>
      <c r="C4825" s="21">
        <f t="shared" si="79"/>
        <v>-48.79</v>
      </c>
      <c r="GO4825" s="110">
        <v>-48.79</v>
      </c>
    </row>
    <row r="4826" spans="1:214" x14ac:dyDescent="0.25">
      <c r="A4826" s="127">
        <v>45617</v>
      </c>
      <c r="B4826" s="24" t="s">
        <v>44</v>
      </c>
      <c r="C4826" s="21">
        <f t="shared" si="79"/>
        <v>-203.833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27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106">
        <v>-8.875</v>
      </c>
      <c r="DG4827" s="126">
        <v>-8.11</v>
      </c>
    </row>
    <row r="4828" spans="1:214" x14ac:dyDescent="0.25">
      <c r="A4828" s="127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27">
        <v>45618</v>
      </c>
      <c r="B4829" s="24" t="s">
        <v>113</v>
      </c>
      <c r="C4829" s="21">
        <f t="shared" si="79"/>
        <v>995.68</v>
      </c>
      <c r="AR4829" s="74">
        <v>98.144999999999996</v>
      </c>
      <c r="AW4829" s="74">
        <v>97.435000000000002</v>
      </c>
      <c r="BC4829" s="74">
        <v>65.155000000000001</v>
      </c>
      <c r="BI4829" s="106">
        <v>94.204999999999998</v>
      </c>
      <c r="BO4829" s="74">
        <v>64.61</v>
      </c>
      <c r="CG4829" s="106">
        <v>98.734999999999999</v>
      </c>
      <c r="CM4829" s="74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27">
        <v>45618</v>
      </c>
      <c r="B4830" s="24" t="s">
        <v>113</v>
      </c>
      <c r="C4830" s="21">
        <f t="shared" si="79"/>
        <v>909.44500000000005</v>
      </c>
      <c r="P4830" s="106">
        <v>33.784999999999997</v>
      </c>
      <c r="AW4830" s="74">
        <v>32.51</v>
      </c>
      <c r="BC4830" s="74">
        <v>92.555000000000007</v>
      </c>
      <c r="BO4830" s="74">
        <v>127.05</v>
      </c>
      <c r="BU4830" s="106">
        <v>130.41999999999999</v>
      </c>
      <c r="CA4830" s="106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27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27">
        <v>45618</v>
      </c>
      <c r="B4832" s="24" t="s">
        <v>68</v>
      </c>
      <c r="C4832" s="21">
        <f t="shared" si="79"/>
        <v>-32.805</v>
      </c>
      <c r="BO4832" s="74">
        <v>-32.805</v>
      </c>
    </row>
    <row r="4833" spans="1:137" x14ac:dyDescent="0.25">
      <c r="A4833" s="127">
        <v>45618</v>
      </c>
      <c r="B4833" s="24" t="s">
        <v>193</v>
      </c>
      <c r="C4833" s="21">
        <f t="shared" si="79"/>
        <v>-16.734999999999999</v>
      </c>
      <c r="BU4833" s="106">
        <v>-8.1050000000000004</v>
      </c>
      <c r="CA4833" s="106">
        <v>-8.6300000000000008</v>
      </c>
    </row>
    <row r="4834" spans="1:137" x14ac:dyDescent="0.25">
      <c r="A4834" s="127">
        <v>45618</v>
      </c>
      <c r="B4834" s="24" t="s">
        <v>184</v>
      </c>
      <c r="C4834" s="21">
        <f t="shared" si="79"/>
        <v>-79.180000000000007</v>
      </c>
      <c r="BC4834" s="74">
        <v>-15.42</v>
      </c>
      <c r="BI4834" s="106">
        <v>-15.715</v>
      </c>
      <c r="BO4834" s="74">
        <v>-23.54</v>
      </c>
      <c r="CG4834" s="106">
        <v>-16.21</v>
      </c>
      <c r="CS4834" s="74">
        <v>-8.2949999999999999</v>
      </c>
    </row>
    <row r="4835" spans="1:137" x14ac:dyDescent="0.25">
      <c r="A4835" s="127">
        <v>45618</v>
      </c>
      <c r="B4835" s="24" t="s">
        <v>33</v>
      </c>
      <c r="C4835" s="21">
        <f t="shared" si="79"/>
        <v>-24.38</v>
      </c>
      <c r="BC4835" s="74">
        <v>-8.09</v>
      </c>
      <c r="BO4835" s="74">
        <v>-8.1050000000000004</v>
      </c>
      <c r="BU4835" s="106">
        <v>-8.1850000000000005</v>
      </c>
    </row>
    <row r="4836" spans="1:137" x14ac:dyDescent="0.25">
      <c r="A4836" s="127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27">
        <v>45618</v>
      </c>
      <c r="B4837" s="24" t="s">
        <v>184</v>
      </c>
      <c r="C4837" s="21">
        <f t="shared" si="79"/>
        <v>-550.38</v>
      </c>
      <c r="AN4837" s="74">
        <v>-17.504999999999999</v>
      </c>
      <c r="AR4837" s="74">
        <v>-16.754999999999999</v>
      </c>
      <c r="AW4837" s="74">
        <v>-32.520000000000003</v>
      </c>
      <c r="BC4837" s="74">
        <v>-63.75</v>
      </c>
      <c r="BI4837" s="106">
        <v>-31.37</v>
      </c>
      <c r="BO4837" s="74">
        <v>-32.06</v>
      </c>
      <c r="BU4837" s="106">
        <v>-32.344999999999999</v>
      </c>
      <c r="CA4837" s="106">
        <v>-34.21</v>
      </c>
      <c r="CM4837" s="74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27">
        <v>45618</v>
      </c>
      <c r="B4838" s="24" t="s">
        <v>17</v>
      </c>
      <c r="C4838" s="21">
        <f t="shared" si="79"/>
        <v>-65.614999999999995</v>
      </c>
      <c r="AW4838" s="74">
        <v>-8.11</v>
      </c>
      <c r="BC4838" s="74">
        <v>-8.09</v>
      </c>
      <c r="BI4838" s="106">
        <v>-7.55</v>
      </c>
      <c r="BO4838" s="74">
        <v>-8.1850000000000005</v>
      </c>
      <c r="BU4838" s="106">
        <v>-16.805</v>
      </c>
      <c r="CA4838" s="106">
        <v>-8.5299999999999994</v>
      </c>
      <c r="CG4838" s="106">
        <v>-8.3450000000000006</v>
      </c>
    </row>
    <row r="4839" spans="1:137" x14ac:dyDescent="0.25">
      <c r="A4839" s="127">
        <v>45618</v>
      </c>
      <c r="B4839" s="24" t="s">
        <v>213</v>
      </c>
      <c r="C4839" s="21">
        <f t="shared" si="79"/>
        <v>-193.565</v>
      </c>
      <c r="AR4839" s="74">
        <v>-16.239999999999998</v>
      </c>
      <c r="BC4839" s="74">
        <v>-16.260000000000002</v>
      </c>
      <c r="BI4839" s="106">
        <v>-31.4</v>
      </c>
      <c r="BO4839" s="74">
        <v>-29.87</v>
      </c>
      <c r="BU4839" s="106">
        <v>-32.479999999999997</v>
      </c>
      <c r="CA4839" s="106">
        <v>-34.195</v>
      </c>
      <c r="CG4839" s="106">
        <v>-16.734999999999999</v>
      </c>
      <c r="CM4839" s="74">
        <v>-16.385000000000002</v>
      </c>
    </row>
    <row r="4840" spans="1:137" x14ac:dyDescent="0.25">
      <c r="A4840" s="127">
        <v>45618</v>
      </c>
      <c r="B4840" s="24" t="s">
        <v>203</v>
      </c>
      <c r="C4840" s="21">
        <f t="shared" si="79"/>
        <v>-112.19</v>
      </c>
      <c r="AN4840" s="74">
        <v>-25.715</v>
      </c>
      <c r="AR4840" s="74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27">
        <v>45619</v>
      </c>
      <c r="B4841" s="24" t="s">
        <v>139</v>
      </c>
      <c r="C4841" s="21">
        <f t="shared" si="79"/>
        <v>-24.92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27">
        <v>45619</v>
      </c>
      <c r="B4842" s="24" t="s">
        <v>20</v>
      </c>
      <c r="C4842" s="21">
        <f t="shared" si="79"/>
        <v>-17.425000000000001</v>
      </c>
      <c r="BO4842" s="74">
        <v>-8.8699999999999992</v>
      </c>
      <c r="CA4842" s="106">
        <v>-8.5549999999999997</v>
      </c>
    </row>
    <row r="4843" spans="1:137" x14ac:dyDescent="0.25">
      <c r="A4843" s="127">
        <v>45619</v>
      </c>
      <c r="B4843" s="24" t="s">
        <v>213</v>
      </c>
      <c r="C4843" s="21">
        <f t="shared" si="79"/>
        <v>-16.16</v>
      </c>
      <c r="BO4843" s="74">
        <v>-8.01</v>
      </c>
      <c r="BU4843" s="106">
        <v>-8.15</v>
      </c>
    </row>
    <row r="4844" spans="1:137" x14ac:dyDescent="0.25">
      <c r="A4844" s="127">
        <v>45619</v>
      </c>
      <c r="B4844" s="24" t="s">
        <v>212</v>
      </c>
      <c r="C4844" s="21">
        <f t="shared" si="79"/>
        <v>-89.31</v>
      </c>
      <c r="AW4844" s="74">
        <v>-7.92</v>
      </c>
      <c r="BC4844" s="74">
        <v>-7.8449999999999998</v>
      </c>
      <c r="BO4844" s="74">
        <v>-8.1449999999999996</v>
      </c>
      <c r="BU4844" s="106">
        <v>-24.35</v>
      </c>
      <c r="CA4844" s="106">
        <v>-8.5250000000000004</v>
      </c>
      <c r="CG4844" s="106">
        <v>-7.9</v>
      </c>
      <c r="CM4844" s="74">
        <v>-16.32</v>
      </c>
      <c r="CS4844" s="74">
        <v>-8.3049999999999997</v>
      </c>
    </row>
    <row r="4845" spans="1:137" x14ac:dyDescent="0.25">
      <c r="A4845" s="127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27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106">
        <v>-8.0749999999999993</v>
      </c>
    </row>
    <row r="4847" spans="1:137" x14ac:dyDescent="0.25">
      <c r="A4847" s="127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27">
        <v>45622</v>
      </c>
      <c r="B4848" s="24" t="s">
        <v>138</v>
      </c>
      <c r="C4848" s="21">
        <f t="shared" si="79"/>
        <v>-15.404999999999999</v>
      </c>
      <c r="BO4848" s="74">
        <f>-7.94-7.465</f>
        <v>-15.404999999999999</v>
      </c>
    </row>
    <row r="4849" spans="1:221" x14ac:dyDescent="0.25">
      <c r="A4849" s="127">
        <v>45622</v>
      </c>
      <c r="B4849" s="24" t="s">
        <v>197</v>
      </c>
      <c r="C4849" s="21">
        <f t="shared" ref="C4849:C4912" si="80">SUM(D4849:JT4849)</f>
        <v>-41.5</v>
      </c>
      <c r="AW4849" s="74">
        <v>-8.0749999999999993</v>
      </c>
      <c r="BC4849" s="74">
        <v>-8.0649999999999995</v>
      </c>
      <c r="BO4849" s="74">
        <v>-8.5500000000000007</v>
      </c>
      <c r="CG4849" s="106">
        <v>-16.809999999999999</v>
      </c>
    </row>
    <row r="4850" spans="1:221" x14ac:dyDescent="0.25">
      <c r="A4850" s="127">
        <v>45624</v>
      </c>
      <c r="B4850" s="24" t="s">
        <v>50</v>
      </c>
      <c r="C4850" s="21">
        <f t="shared" si="80"/>
        <v>-126.35</v>
      </c>
      <c r="DY4850" s="42">
        <v>-8.16</v>
      </c>
      <c r="EC4850" s="126">
        <f>-8.24-10.15</f>
        <v>-18.39</v>
      </c>
      <c r="EM4850" s="150">
        <v>-17.190000000000001</v>
      </c>
      <c r="EU4850" s="126">
        <v>-7.94</v>
      </c>
      <c r="HD4850" s="92">
        <v>-74.67</v>
      </c>
    </row>
    <row r="4851" spans="1:221" x14ac:dyDescent="0.25">
      <c r="A4851" s="127">
        <v>45624</v>
      </c>
      <c r="B4851" s="24" t="s">
        <v>113</v>
      </c>
      <c r="C4851" s="21">
        <f t="shared" si="80"/>
        <v>941.67499999999995</v>
      </c>
      <c r="BC4851" s="74">
        <v>221.4</v>
      </c>
      <c r="BI4851" s="106">
        <v>113.325</v>
      </c>
      <c r="BO4851" s="74">
        <v>135.19999999999999</v>
      </c>
      <c r="BU4851" s="106">
        <v>130.99</v>
      </c>
      <c r="CA4851" s="106">
        <v>68.010000000000005</v>
      </c>
      <c r="CM4851" s="74">
        <v>99.32</v>
      </c>
      <c r="CY4851" s="74">
        <v>67.605000000000004</v>
      </c>
      <c r="DU4851" s="106">
        <v>105.825</v>
      </c>
    </row>
    <row r="4852" spans="1:221" x14ac:dyDescent="0.25">
      <c r="A4852" s="127">
        <v>45624</v>
      </c>
      <c r="B4852" s="24" t="s">
        <v>152</v>
      </c>
      <c r="C4852" s="21">
        <f t="shared" si="80"/>
        <v>-688.35</v>
      </c>
      <c r="BI4852" s="106">
        <v>-32.454999999999998</v>
      </c>
      <c r="BO4852" s="74">
        <v>-33.82</v>
      </c>
      <c r="CM4852" s="74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0">
        <v>-25.41</v>
      </c>
      <c r="HM4852" s="106">
        <v>-63.795000000000002</v>
      </c>
    </row>
    <row r="4853" spans="1:221" x14ac:dyDescent="0.25">
      <c r="A4853" s="127">
        <v>45625</v>
      </c>
      <c r="B4853" s="24" t="s">
        <v>184</v>
      </c>
      <c r="C4853" s="21">
        <f t="shared" si="80"/>
        <v>-293.92</v>
      </c>
      <c r="AW4853" s="74">
        <v>-48.73</v>
      </c>
      <c r="BC4853" s="74">
        <v>-48.03</v>
      </c>
      <c r="BI4853" s="106">
        <v>-48.594999999999999</v>
      </c>
      <c r="BO4853" s="74">
        <v>-50.73</v>
      </c>
      <c r="BU4853" s="106">
        <v>-49.155000000000001</v>
      </c>
      <c r="CM4853" s="74">
        <v>-48.68</v>
      </c>
    </row>
    <row r="4854" spans="1:221" x14ac:dyDescent="0.25">
      <c r="A4854" s="127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27">
        <v>45625</v>
      </c>
      <c r="B4855" s="24" t="s">
        <v>138</v>
      </c>
      <c r="C4855" s="21">
        <f t="shared" si="80"/>
        <v>-57.34</v>
      </c>
      <c r="BO4855" s="74">
        <v>-25</v>
      </c>
      <c r="DE4855" s="74">
        <v>-32.340000000000003</v>
      </c>
    </row>
    <row r="4856" spans="1:221" x14ac:dyDescent="0.25">
      <c r="A4856" s="127">
        <v>45625</v>
      </c>
      <c r="B4856" s="24" t="s">
        <v>197</v>
      </c>
      <c r="C4856" s="21">
        <f t="shared" si="80"/>
        <v>-33.42</v>
      </c>
      <c r="BU4856" s="106">
        <v>-16.405000000000001</v>
      </c>
      <c r="CA4856" s="106">
        <v>-17.015000000000001</v>
      </c>
    </row>
    <row r="4857" spans="1:221" x14ac:dyDescent="0.25">
      <c r="A4857" s="127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27">
        <v>45625</v>
      </c>
      <c r="B4858" s="24" t="s">
        <v>184</v>
      </c>
      <c r="C4858" s="21">
        <f t="shared" si="80"/>
        <v>-45.95</v>
      </c>
      <c r="Z4858" s="79">
        <v>-4.79</v>
      </c>
      <c r="BC4858" s="74">
        <v>-16.135000000000002</v>
      </c>
      <c r="BI4858" s="106">
        <v>-8.0749999999999993</v>
      </c>
      <c r="CA4858" s="106">
        <v>-16.95</v>
      </c>
    </row>
    <row r="4859" spans="1:221" x14ac:dyDescent="0.25">
      <c r="A4859" s="127">
        <v>45625</v>
      </c>
      <c r="B4859" s="24" t="s">
        <v>184</v>
      </c>
      <c r="C4859" s="21">
        <f t="shared" si="80"/>
        <v>-17.055</v>
      </c>
      <c r="CA4859" s="106">
        <v>-17.055</v>
      </c>
    </row>
    <row r="4860" spans="1:221" x14ac:dyDescent="0.25">
      <c r="A4860" s="127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74">
        <v>-8.48</v>
      </c>
      <c r="BC4860" s="74">
        <f>-8.085-7.885</f>
        <v>-15.97</v>
      </c>
      <c r="BI4860" s="106">
        <v>-32.405000000000001</v>
      </c>
      <c r="BO4860" s="74">
        <v>-33.765000000000001</v>
      </c>
      <c r="BU4860" s="106">
        <v>-32.704999999999998</v>
      </c>
    </row>
    <row r="4861" spans="1:221" x14ac:dyDescent="0.25">
      <c r="A4861" s="127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27">
        <v>45626</v>
      </c>
      <c r="B4862" s="24" t="s">
        <v>139</v>
      </c>
      <c r="C4862" s="21">
        <f t="shared" si="80"/>
        <v>-8.35</v>
      </c>
      <c r="CG4862" s="106">
        <v>-8.35</v>
      </c>
    </row>
    <row r="4863" spans="1:221" x14ac:dyDescent="0.25">
      <c r="A4863" s="127">
        <v>45626</v>
      </c>
      <c r="B4863" s="24" t="s">
        <v>127</v>
      </c>
      <c r="C4863" s="21">
        <f t="shared" si="80"/>
        <v>-7.8849999999999998</v>
      </c>
      <c r="BI4863" s="106">
        <v>-7.8849999999999998</v>
      </c>
    </row>
    <row r="4864" spans="1:221" x14ac:dyDescent="0.25">
      <c r="A4864" s="127">
        <v>45626</v>
      </c>
      <c r="B4864" s="24" t="s">
        <v>171</v>
      </c>
      <c r="C4864" s="21">
        <f t="shared" si="80"/>
        <v>-42.47</v>
      </c>
      <c r="FZ4864" s="115">
        <v>-42.47</v>
      </c>
    </row>
    <row r="4865" spans="1:235" x14ac:dyDescent="0.25">
      <c r="A4865" s="127">
        <v>45628</v>
      </c>
      <c r="B4865" s="24" t="s">
        <v>192</v>
      </c>
      <c r="C4865" s="21">
        <f t="shared" si="80"/>
        <v>-16.745000000000001</v>
      </c>
      <c r="CA4865" s="106">
        <v>-8.49</v>
      </c>
      <c r="CM4865" s="74">
        <v>-8.2550000000000008</v>
      </c>
    </row>
    <row r="4866" spans="1:235" x14ac:dyDescent="0.25">
      <c r="A4866" s="127">
        <v>45629</v>
      </c>
      <c r="B4866" s="24" t="s">
        <v>138</v>
      </c>
      <c r="C4866" s="21">
        <f t="shared" si="80"/>
        <v>-8.0950000000000006</v>
      </c>
      <c r="AR4866" s="74">
        <v>-8.0950000000000006</v>
      </c>
    </row>
    <row r="4867" spans="1:235" x14ac:dyDescent="0.25">
      <c r="A4867" s="127">
        <v>45629</v>
      </c>
      <c r="B4867" s="24" t="s">
        <v>48</v>
      </c>
      <c r="C4867" s="21">
        <f t="shared" si="80"/>
        <v>-149.04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27">
        <v>45629</v>
      </c>
      <c r="B4868" s="24" t="s">
        <v>75</v>
      </c>
      <c r="C4868" s="21">
        <f t="shared" si="80"/>
        <v>-8.0500000000000007</v>
      </c>
      <c r="BI4868" s="106">
        <v>-8.0500000000000007</v>
      </c>
    </row>
    <row r="4869" spans="1:235" x14ac:dyDescent="0.25">
      <c r="A4869" s="127">
        <v>45629</v>
      </c>
      <c r="B4869" s="24" t="s">
        <v>139</v>
      </c>
      <c r="C4869" s="21">
        <f t="shared" si="80"/>
        <v>-8.5</v>
      </c>
      <c r="CA4869" s="106">
        <v>-8.5</v>
      </c>
    </row>
    <row r="4870" spans="1:235" x14ac:dyDescent="0.25">
      <c r="A4870" s="127">
        <v>45629</v>
      </c>
      <c r="B4870" s="24" t="s">
        <v>20</v>
      </c>
      <c r="C4870" s="21">
        <f t="shared" si="80"/>
        <v>-16.309999999999999</v>
      </c>
      <c r="BC4870" s="74">
        <v>-8.1549999999999994</v>
      </c>
      <c r="BI4870" s="106">
        <v>-8.1549999999999994</v>
      </c>
    </row>
    <row r="4871" spans="1:235" x14ac:dyDescent="0.25">
      <c r="A4871" s="127">
        <v>45629</v>
      </c>
      <c r="B4871" s="24" t="s">
        <v>12</v>
      </c>
      <c r="C4871" s="21">
        <f t="shared" si="80"/>
        <v>-33.344999999999999</v>
      </c>
      <c r="AR4871" s="74">
        <f>-8.485-8.09</f>
        <v>-16.574999999999999</v>
      </c>
      <c r="CM4871" s="74">
        <f>-8.45-8.32</f>
        <v>-16.77</v>
      </c>
    </row>
    <row r="4872" spans="1:235" x14ac:dyDescent="0.25">
      <c r="A4872" s="127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27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27">
        <v>45630</v>
      </c>
      <c r="B4874" s="24" t="s">
        <v>204</v>
      </c>
      <c r="C4874" s="21">
        <f t="shared" si="80"/>
        <v>-8.1999999999999993</v>
      </c>
      <c r="CM4874" s="74">
        <v>-8.1999999999999993</v>
      </c>
    </row>
    <row r="4875" spans="1:235" x14ac:dyDescent="0.25">
      <c r="A4875" s="127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27">
        <v>45631</v>
      </c>
      <c r="B4876" s="24" t="s">
        <v>171</v>
      </c>
      <c r="C4876" s="21">
        <f t="shared" si="80"/>
        <v>-16.329999999999998</v>
      </c>
      <c r="CM4876" s="74">
        <f>-8.155-8.175</f>
        <v>-16.329999999999998</v>
      </c>
    </row>
    <row r="4877" spans="1:235" x14ac:dyDescent="0.25">
      <c r="A4877" s="127">
        <v>45632</v>
      </c>
      <c r="B4877" s="24" t="s">
        <v>79</v>
      </c>
      <c r="C4877" s="21">
        <f t="shared" si="80"/>
        <v>-7.835</v>
      </c>
      <c r="BI4877" s="106">
        <v>-7.835</v>
      </c>
    </row>
    <row r="4878" spans="1:235" x14ac:dyDescent="0.25">
      <c r="A4878" s="127">
        <v>45632</v>
      </c>
      <c r="B4878" s="24" t="s">
        <v>33</v>
      </c>
      <c r="C4878" s="21">
        <f t="shared" si="80"/>
        <v>-8.1649999999999991</v>
      </c>
      <c r="BU4878" s="106">
        <v>-8.1649999999999991</v>
      </c>
    </row>
    <row r="4879" spans="1:235" x14ac:dyDescent="0.25">
      <c r="A4879" s="127">
        <v>45632</v>
      </c>
      <c r="B4879" s="24" t="s">
        <v>115</v>
      </c>
      <c r="C4879" s="21">
        <f t="shared" si="80"/>
        <v>106.41500000000001</v>
      </c>
      <c r="D4879" s="145">
        <v>32.954999999999998</v>
      </c>
      <c r="E4879" s="145">
        <v>73.459999999999994</v>
      </c>
    </row>
    <row r="4880" spans="1:235" x14ac:dyDescent="0.25">
      <c r="A4880" s="127">
        <v>45633</v>
      </c>
      <c r="B4880" s="24" t="s">
        <v>213</v>
      </c>
      <c r="C4880" s="21">
        <f t="shared" si="80"/>
        <v>-33.97</v>
      </c>
      <c r="CM4880" s="74">
        <v>-8.1999999999999993</v>
      </c>
      <c r="CY4880" s="74">
        <v>-25.77</v>
      </c>
    </row>
    <row r="4881" spans="1:249" x14ac:dyDescent="0.25">
      <c r="A4881" s="127">
        <v>45633</v>
      </c>
      <c r="B4881" s="24" t="s">
        <v>188</v>
      </c>
      <c r="C4881" s="21">
        <f t="shared" si="80"/>
        <v>-24.08</v>
      </c>
      <c r="AW4881" s="74">
        <v>-7.82</v>
      </c>
      <c r="BI4881" s="106">
        <v>-8.0950000000000006</v>
      </c>
      <c r="BU4881" s="106">
        <v>-8.1649999999999991</v>
      </c>
    </row>
    <row r="4882" spans="1:249" x14ac:dyDescent="0.25">
      <c r="A4882" s="127">
        <v>45635</v>
      </c>
      <c r="B4882" s="24" t="s">
        <v>171</v>
      </c>
      <c r="C4882" s="21">
        <f t="shared" si="80"/>
        <v>-16.295000000000002</v>
      </c>
      <c r="CG4882" s="106">
        <v>-8.1300000000000008</v>
      </c>
      <c r="CM4882" s="74">
        <v>-8.1649999999999991</v>
      </c>
    </row>
    <row r="4883" spans="1:249" x14ac:dyDescent="0.25">
      <c r="A4883" s="127">
        <v>45635</v>
      </c>
      <c r="B4883" s="24" t="s">
        <v>202</v>
      </c>
      <c r="C4883" s="21">
        <f t="shared" si="80"/>
        <v>-36.82</v>
      </c>
      <c r="E4883" s="145">
        <v>-36.82</v>
      </c>
    </row>
    <row r="4884" spans="1:249" x14ac:dyDescent="0.25">
      <c r="A4884" s="127">
        <v>45635</v>
      </c>
      <c r="B4884" s="24" t="s">
        <v>169</v>
      </c>
      <c r="C4884" s="21">
        <f t="shared" si="80"/>
        <v>-36.64</v>
      </c>
      <c r="E4884" s="145">
        <v>-36.64</v>
      </c>
    </row>
    <row r="4885" spans="1:249" x14ac:dyDescent="0.25">
      <c r="A4885" s="127">
        <v>45636</v>
      </c>
      <c r="B4885" s="24" t="s">
        <v>20</v>
      </c>
      <c r="C4885" s="21">
        <f t="shared" si="80"/>
        <v>-16.07</v>
      </c>
      <c r="V4885" s="74">
        <v>-8.01</v>
      </c>
      <c r="CY4885" s="74">
        <v>-8.06</v>
      </c>
    </row>
    <row r="4886" spans="1:249" x14ac:dyDescent="0.25">
      <c r="A4886" s="127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49" x14ac:dyDescent="0.25">
      <c r="A4887" s="127">
        <v>45636</v>
      </c>
      <c r="B4887" s="24" t="s">
        <v>134</v>
      </c>
      <c r="C4887" s="21">
        <f t="shared" si="80"/>
        <v>-40.729999999999997</v>
      </c>
      <c r="D4887" s="145">
        <v>-24.14</v>
      </c>
      <c r="F4887" s="145">
        <v>-16.59</v>
      </c>
    </row>
    <row r="4888" spans="1:249" x14ac:dyDescent="0.25">
      <c r="A4888" s="127">
        <v>45636</v>
      </c>
      <c r="B4888" s="24" t="s">
        <v>113</v>
      </c>
      <c r="C4888" s="21">
        <f t="shared" si="80"/>
        <v>518.68499999999995</v>
      </c>
      <c r="BC4888" s="74">
        <v>30.905000000000001</v>
      </c>
      <c r="BO4888" s="74">
        <v>34.83</v>
      </c>
      <c r="BU4888" s="106">
        <v>128.44999999999999</v>
      </c>
      <c r="CA4888" s="106">
        <v>129.6</v>
      </c>
      <c r="CG4888" s="106">
        <v>66.290000000000006</v>
      </c>
      <c r="EA4888" s="74">
        <v>128.61000000000001</v>
      </c>
    </row>
    <row r="4889" spans="1:249" x14ac:dyDescent="0.25">
      <c r="A4889" s="127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106">
        <v>94.2</v>
      </c>
      <c r="BO4889" s="74">
        <v>97.55</v>
      </c>
      <c r="CG4889" s="106">
        <v>61.524999999999999</v>
      </c>
      <c r="CM4889" s="74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27">
        <v>45636</v>
      </c>
      <c r="B4890" s="24" t="s">
        <v>152</v>
      </c>
      <c r="C4890" s="21">
        <f t="shared" si="80"/>
        <v>-961.91</v>
      </c>
      <c r="BC4890" s="74">
        <v>-63.164999999999999</v>
      </c>
      <c r="BI4890" s="106">
        <v>-62.865000000000002</v>
      </c>
      <c r="BO4890" s="74">
        <v>-99.88</v>
      </c>
      <c r="BU4890" s="106">
        <v>-95.39</v>
      </c>
      <c r="CA4890" s="106">
        <v>-95.224999999999994</v>
      </c>
      <c r="CG4890" s="106">
        <v>-127.815</v>
      </c>
      <c r="CM4890" s="74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27">
        <v>45636</v>
      </c>
      <c r="B4891" s="24" t="s">
        <v>79</v>
      </c>
      <c r="C4891" s="21">
        <f t="shared" si="80"/>
        <v>-16.215</v>
      </c>
      <c r="BO4891" s="74">
        <f>-8.1-8.115</f>
        <v>-16.215</v>
      </c>
    </row>
    <row r="4892" spans="1:249" x14ac:dyDescent="0.25">
      <c r="A4892" s="127">
        <v>45637</v>
      </c>
      <c r="B4892" s="24" t="s">
        <v>213</v>
      </c>
      <c r="C4892" s="21">
        <f t="shared" si="80"/>
        <v>-67.275000000000006</v>
      </c>
      <c r="BC4892" s="74">
        <v>-8.11</v>
      </c>
      <c r="BO4892" s="74">
        <v>-8.16</v>
      </c>
      <c r="CA4892" s="106">
        <v>-34.375</v>
      </c>
      <c r="CF4892" s="69">
        <v>-8.4649999999999999</v>
      </c>
      <c r="CG4892" s="106">
        <v>-8.1649999999999991</v>
      </c>
    </row>
    <row r="4893" spans="1:249" x14ac:dyDescent="0.25">
      <c r="A4893" s="127">
        <v>45637</v>
      </c>
      <c r="B4893" s="24" t="s">
        <v>115</v>
      </c>
      <c r="C4893" s="21">
        <f t="shared" si="80"/>
        <v>73.435000000000002</v>
      </c>
      <c r="E4893" s="145">
        <v>73.435000000000002</v>
      </c>
    </row>
    <row r="4894" spans="1:249" x14ac:dyDescent="0.25">
      <c r="A4894" s="127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49" s="176" customFormat="1" x14ac:dyDescent="0.25">
      <c r="A4895" s="173">
        <v>45638</v>
      </c>
      <c r="B4895" s="174" t="s">
        <v>99</v>
      </c>
      <c r="C4895" s="175">
        <f t="shared" si="80"/>
        <v>-70.254999999999995</v>
      </c>
      <c r="D4895" s="357" t="s">
        <v>216</v>
      </c>
      <c r="E4895" s="357" t="s">
        <v>216</v>
      </c>
      <c r="F4895" s="145"/>
      <c r="H4895" s="176" t="s">
        <v>216</v>
      </c>
      <c r="I4895" s="176">
        <v>-11.58</v>
      </c>
      <c r="J4895" s="176" t="s">
        <v>216</v>
      </c>
      <c r="K4895" s="178"/>
      <c r="L4895" s="179"/>
      <c r="M4895" s="358" t="s">
        <v>216</v>
      </c>
      <c r="N4895" s="178"/>
      <c r="O4895" s="375"/>
      <c r="P4895" s="179">
        <v>9.3149999999999995</v>
      </c>
      <c r="Q4895" s="179"/>
      <c r="R4895" s="177"/>
      <c r="S4895" s="179">
        <v>-13.67</v>
      </c>
      <c r="T4895" s="178"/>
      <c r="U4895" s="179"/>
      <c r="V4895" s="74">
        <v>-15.935</v>
      </c>
      <c r="W4895" s="179"/>
      <c r="X4895" s="178"/>
      <c r="Y4895" s="179"/>
      <c r="Z4895" s="79">
        <v>-8.5350000000000001</v>
      </c>
      <c r="AA4895" s="178"/>
      <c r="AB4895" s="179"/>
      <c r="AC4895" s="74">
        <v>-17.23</v>
      </c>
      <c r="AD4895" s="177"/>
      <c r="AE4895" s="178"/>
      <c r="AF4895" s="179"/>
      <c r="AG4895" s="292">
        <v>8.5399999999999991</v>
      </c>
      <c r="AH4895" s="179"/>
      <c r="AI4895" s="179"/>
      <c r="AJ4895" s="179"/>
      <c r="AL4895" s="178"/>
      <c r="AM4895" s="69"/>
      <c r="AN4895" s="74">
        <v>3.46</v>
      </c>
      <c r="AO4895" s="358"/>
      <c r="AP4895" s="178"/>
      <c r="AQ4895" s="69"/>
      <c r="AR4895" s="74">
        <v>-0.61499999999999999</v>
      </c>
      <c r="AS4895" s="179"/>
      <c r="AT4895" s="177"/>
      <c r="AU4895" s="178"/>
      <c r="AV4895" s="179"/>
      <c r="AW4895" s="74">
        <v>-8.06</v>
      </c>
      <c r="AX4895" s="179"/>
      <c r="AY4895" s="292"/>
      <c r="AZ4895" s="177"/>
      <c r="BA4895" s="178"/>
      <c r="BB4895" s="69"/>
      <c r="BC4895" s="74" t="s">
        <v>216</v>
      </c>
      <c r="BD4895" s="179"/>
      <c r="BE4895" s="179"/>
      <c r="BF4895" s="177"/>
      <c r="BG4895" s="178"/>
      <c r="BH4895" s="69"/>
      <c r="BI4895" s="106" t="s">
        <v>216</v>
      </c>
      <c r="BJ4895" s="179"/>
      <c r="BK4895" s="179"/>
      <c r="BL4895" s="115"/>
      <c r="BM4895" s="178"/>
      <c r="BN4895" s="69"/>
      <c r="BO4895" s="74" t="s">
        <v>216</v>
      </c>
      <c r="BP4895" s="179"/>
      <c r="BQ4895" s="179"/>
      <c r="BR4895" s="115"/>
      <c r="BS4895" s="178"/>
      <c r="BT4895" s="69"/>
      <c r="BU4895" s="106" t="s">
        <v>216</v>
      </c>
      <c r="BV4895" s="179"/>
      <c r="BW4895" s="179"/>
      <c r="BX4895" s="115"/>
      <c r="BY4895" s="178"/>
      <c r="BZ4895" s="179"/>
      <c r="CA4895" s="106"/>
      <c r="CB4895" s="179"/>
      <c r="CC4895" s="179"/>
      <c r="CD4895" s="115"/>
      <c r="CE4895" s="178"/>
      <c r="CF4895" s="69" t="s">
        <v>216</v>
      </c>
      <c r="CG4895" s="106"/>
      <c r="CH4895" s="179"/>
      <c r="CI4895" s="179"/>
      <c r="CJ4895" s="177"/>
      <c r="CK4895" s="178"/>
      <c r="CL4895" s="179"/>
      <c r="CM4895" s="74" t="s">
        <v>216</v>
      </c>
      <c r="CN4895" s="179"/>
      <c r="CO4895" s="179"/>
      <c r="CP4895" s="177"/>
      <c r="CQ4895" s="178"/>
      <c r="CR4895" s="179"/>
      <c r="CS4895" s="74">
        <v>8.4</v>
      </c>
      <c r="CT4895" s="179"/>
      <c r="CU4895" s="292"/>
      <c r="CV4895" s="177"/>
      <c r="CW4895" s="178"/>
      <c r="CX4895" s="179"/>
      <c r="CY4895" s="74" t="s">
        <v>216</v>
      </c>
      <c r="CZ4895" s="179"/>
      <c r="DA4895" s="179" t="s">
        <v>216</v>
      </c>
      <c r="DB4895" s="177"/>
      <c r="DC4895" s="178"/>
      <c r="DD4895" s="179"/>
      <c r="DE4895" s="74" t="s">
        <v>216</v>
      </c>
      <c r="DF4895" s="179"/>
      <c r="DG4895" s="292"/>
      <c r="DH4895" s="177"/>
      <c r="DI4895" s="178"/>
      <c r="DJ4895" s="179"/>
      <c r="DK4895" s="74">
        <v>-6.875</v>
      </c>
      <c r="DL4895" s="179"/>
      <c r="DM4895" s="177" t="s">
        <v>216</v>
      </c>
      <c r="DN4895" s="178"/>
      <c r="DO4895" s="179"/>
      <c r="DP4895" s="74" t="s">
        <v>216</v>
      </c>
      <c r="DQ4895" s="179"/>
      <c r="DR4895" s="177" t="s">
        <v>216</v>
      </c>
      <c r="DS4895" s="178">
        <v>-8.66</v>
      </c>
      <c r="DT4895" s="179" t="s">
        <v>216</v>
      </c>
      <c r="DU4895" s="106">
        <v>-7.97</v>
      </c>
      <c r="DV4895" s="179"/>
      <c r="DW4895" s="126"/>
      <c r="DX4895" s="177"/>
      <c r="DY4895" s="178"/>
      <c r="DZ4895" s="179"/>
      <c r="EA4895" s="74">
        <v>3.2</v>
      </c>
      <c r="EB4895" s="179"/>
      <c r="EC4895" s="126"/>
      <c r="ED4895" s="177"/>
      <c r="EE4895" s="178"/>
      <c r="EF4895" s="179"/>
      <c r="EG4895" s="179" t="s">
        <v>216</v>
      </c>
      <c r="EH4895" s="179"/>
      <c r="EI4895" s="177"/>
      <c r="EJ4895" s="178"/>
      <c r="EK4895" s="179"/>
      <c r="EL4895" s="179"/>
      <c r="EM4895" s="177"/>
      <c r="EN4895" s="355" t="s">
        <v>216</v>
      </c>
      <c r="EO4895" s="292"/>
      <c r="EP4895" s="179" t="s">
        <v>216</v>
      </c>
      <c r="EQ4895" s="46" t="s">
        <v>216</v>
      </c>
      <c r="ER4895" s="178"/>
      <c r="ES4895" s="179"/>
      <c r="ET4895" s="179"/>
      <c r="EU4895" s="292"/>
      <c r="EV4895" s="176" t="s">
        <v>216</v>
      </c>
      <c r="EW4895" s="178"/>
      <c r="EX4895" s="178" t="s">
        <v>216</v>
      </c>
      <c r="EY4895" s="178"/>
      <c r="EZ4895" s="177"/>
      <c r="FA4895" s="355" t="s">
        <v>216</v>
      </c>
      <c r="FB4895" s="179"/>
      <c r="FC4895" s="179"/>
      <c r="FD4895" s="292"/>
      <c r="FF4895" s="178"/>
      <c r="FG4895" s="179" t="s">
        <v>216</v>
      </c>
      <c r="FH4895" s="358" t="s">
        <v>216</v>
      </c>
      <c r="FI4895" s="178"/>
      <c r="FJ4895" s="179"/>
      <c r="FK4895" s="179"/>
      <c r="FL4895" s="177"/>
      <c r="FM4895" s="178"/>
      <c r="FN4895" s="177"/>
      <c r="FO4895" s="357"/>
      <c r="FQ4895" s="178"/>
      <c r="FR4895" s="179"/>
      <c r="FS4895" s="179">
        <v>21.06</v>
      </c>
      <c r="FT4895" s="177"/>
      <c r="FU4895" s="178"/>
      <c r="FV4895" s="179"/>
      <c r="FW4895" s="177"/>
      <c r="FX4895" s="178" t="s">
        <v>216</v>
      </c>
      <c r="FY4895" s="179"/>
      <c r="FZ4895" s="177" t="s">
        <v>216</v>
      </c>
      <c r="GA4895" s="178"/>
      <c r="GB4895" s="179"/>
      <c r="GC4895" s="179"/>
      <c r="GD4895" s="177"/>
      <c r="GE4895" s="178"/>
      <c r="GF4895" s="177" t="s">
        <v>216</v>
      </c>
      <c r="GH4895" s="179" t="s">
        <v>216</v>
      </c>
      <c r="GI4895" s="355"/>
      <c r="GJ4895" s="205"/>
      <c r="GK4895" s="79"/>
      <c r="GL4895" s="178"/>
      <c r="GM4895" s="177"/>
      <c r="GO4895" s="357"/>
      <c r="GP4895" s="178"/>
      <c r="GQ4895" s="92" t="s">
        <v>216</v>
      </c>
      <c r="GT4895" s="176" t="s">
        <v>216</v>
      </c>
      <c r="GV4895" s="178"/>
      <c r="GW4895" s="177" t="s">
        <v>216</v>
      </c>
      <c r="GX4895" s="179"/>
      <c r="GY4895" s="178"/>
      <c r="GZ4895" s="292">
        <v>-20.239999999999998</v>
      </c>
      <c r="HA4895" s="177"/>
      <c r="HB4895" s="179"/>
      <c r="HC4895" s="178"/>
      <c r="HD4895" s="177">
        <v>-9.35</v>
      </c>
      <c r="HE4895" s="178"/>
      <c r="HF4895" s="177" t="s">
        <v>216</v>
      </c>
      <c r="HG4895" s="178"/>
      <c r="HH4895" s="179" t="s">
        <v>216</v>
      </c>
      <c r="HI4895" s="177"/>
      <c r="HJ4895" s="177" t="s">
        <v>216</v>
      </c>
      <c r="HL4895" s="178"/>
      <c r="HM4895" s="179" t="s">
        <v>216</v>
      </c>
      <c r="HN4895" s="177"/>
      <c r="HO4895" s="178"/>
      <c r="HP4895" s="177" t="s">
        <v>216</v>
      </c>
      <c r="HQ4895" s="178"/>
      <c r="HR4895" s="358" t="s">
        <v>216</v>
      </c>
      <c r="HS4895" s="176" t="s">
        <v>216</v>
      </c>
      <c r="HT4895" s="176" t="s">
        <v>216</v>
      </c>
      <c r="HU4895" s="178"/>
      <c r="HV4895" s="358">
        <v>3.95</v>
      </c>
      <c r="HW4895" s="178" t="s">
        <v>216</v>
      </c>
      <c r="HX4895" s="177"/>
      <c r="HY4895" s="176" t="s">
        <v>216</v>
      </c>
      <c r="HZ4895" s="178"/>
      <c r="IA4895" s="177" t="s">
        <v>216</v>
      </c>
      <c r="IB4895" s="178"/>
      <c r="IC4895" s="177" t="s">
        <v>216</v>
      </c>
      <c r="ID4895" s="178"/>
      <c r="IE4895" s="177"/>
      <c r="IG4895" s="176">
        <v>-0.06</v>
      </c>
      <c r="IH4895" s="178">
        <v>0.6</v>
      </c>
      <c r="II4895" s="178"/>
      <c r="IJ4895" s="291"/>
      <c r="IM4895" s="357"/>
      <c r="IN4895" s="355"/>
      <c r="IO4895" s="177"/>
    </row>
    <row r="4896" spans="1:249" x14ac:dyDescent="0.25">
      <c r="A4896" s="127">
        <v>45638</v>
      </c>
      <c r="B4896" s="24" t="s">
        <v>58</v>
      </c>
      <c r="C4896" s="21">
        <f t="shared" si="80"/>
        <v>0</v>
      </c>
    </row>
    <row r="4897" spans="1:233" x14ac:dyDescent="0.25">
      <c r="A4897" s="127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27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27">
        <v>45638</v>
      </c>
      <c r="B4899" s="24" t="s">
        <v>48</v>
      </c>
      <c r="C4899" s="21">
        <f t="shared" si="80"/>
        <v>-24.62</v>
      </c>
      <c r="BU4899" s="106">
        <v>-16.54</v>
      </c>
      <c r="DE4899" s="74">
        <v>-8.08</v>
      </c>
    </row>
    <row r="4900" spans="1:233" x14ac:dyDescent="0.25">
      <c r="A4900" s="127">
        <v>45638</v>
      </c>
      <c r="B4900" s="24" t="s">
        <v>134</v>
      </c>
      <c r="C4900" s="21">
        <f t="shared" si="80"/>
        <v>-55.104999999999997</v>
      </c>
      <c r="E4900" s="145">
        <v>-55.104999999999997</v>
      </c>
    </row>
    <row r="4901" spans="1:233" x14ac:dyDescent="0.25">
      <c r="A4901" s="127">
        <v>45639</v>
      </c>
      <c r="B4901" s="24" t="s">
        <v>127</v>
      </c>
      <c r="C4901" s="21">
        <f t="shared" si="80"/>
        <v>-15.97</v>
      </c>
      <c r="BI4901" s="106">
        <v>-7.8449999999999998</v>
      </c>
      <c r="BO4901" s="74">
        <v>-8.125</v>
      </c>
    </row>
    <row r="4902" spans="1:233" x14ac:dyDescent="0.25">
      <c r="A4902" s="127">
        <v>45642</v>
      </c>
      <c r="B4902" s="24" t="s">
        <v>115</v>
      </c>
      <c r="C4902" s="21">
        <f t="shared" si="80"/>
        <v>102.83</v>
      </c>
      <c r="BR4902" s="115">
        <v>33.945</v>
      </c>
      <c r="BX4902" s="115">
        <v>33.33</v>
      </c>
      <c r="CD4902" s="115">
        <v>35.555</v>
      </c>
    </row>
    <row r="4903" spans="1:233" x14ac:dyDescent="0.25">
      <c r="A4903" s="127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74">
        <v>-14.4</v>
      </c>
      <c r="BI4903" s="106">
        <v>-29.87</v>
      </c>
      <c r="BR4903" s="115">
        <v>-16.98</v>
      </c>
      <c r="BX4903" s="115">
        <v>-16.66</v>
      </c>
      <c r="CD4903" s="115">
        <v>-17.87</v>
      </c>
      <c r="CM4903" s="74">
        <v>-31.68</v>
      </c>
      <c r="CS4903" s="74">
        <v>-37.74</v>
      </c>
      <c r="CY4903" s="74">
        <v>-23.86</v>
      </c>
    </row>
    <row r="4904" spans="1:233" x14ac:dyDescent="0.25">
      <c r="A4904" s="127">
        <v>45643</v>
      </c>
      <c r="B4904" s="24" t="s">
        <v>192</v>
      </c>
      <c r="C4904" s="21">
        <f t="shared" si="80"/>
        <v>-8.7550000000000008</v>
      </c>
      <c r="CD4904" s="115">
        <v>-8.7550000000000008</v>
      </c>
    </row>
    <row r="4905" spans="1:233" x14ac:dyDescent="0.25">
      <c r="A4905" s="127">
        <v>45643</v>
      </c>
      <c r="B4905" s="24" t="s">
        <v>20</v>
      </c>
      <c r="C4905" s="21">
        <f t="shared" si="80"/>
        <v>-25.164999999999999</v>
      </c>
      <c r="BR4905" s="115">
        <v>-8.49</v>
      </c>
      <c r="BU4905" s="106">
        <v>-8.23</v>
      </c>
      <c r="CF4905" s="69">
        <v>-8.4450000000000003</v>
      </c>
    </row>
    <row r="4906" spans="1:233" x14ac:dyDescent="0.25">
      <c r="A4906" s="127">
        <v>45643</v>
      </c>
      <c r="B4906" s="24" t="s">
        <v>33</v>
      </c>
      <c r="C4906" s="21">
        <f t="shared" si="80"/>
        <v>-8.93</v>
      </c>
      <c r="CD4906" s="115">
        <v>-8.93</v>
      </c>
    </row>
    <row r="4907" spans="1:233" x14ac:dyDescent="0.25">
      <c r="A4907" s="127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27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74">
        <v>-8.0850000000000009</v>
      </c>
      <c r="BI4908" s="106">
        <v>-7.8250000000000002</v>
      </c>
      <c r="BR4908" s="115">
        <v>-8.4749999999999996</v>
      </c>
      <c r="CM4908" s="74">
        <v>-16.43</v>
      </c>
    </row>
    <row r="4909" spans="1:233" x14ac:dyDescent="0.25">
      <c r="A4909" s="127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27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27">
        <v>45643</v>
      </c>
      <c r="B4911" s="24" t="s">
        <v>180</v>
      </c>
      <c r="C4911" s="21">
        <f t="shared" si="80"/>
        <v>-71.935000000000002</v>
      </c>
      <c r="GO4911" s="110">
        <v>-71.935000000000002</v>
      </c>
    </row>
    <row r="4912" spans="1:233" x14ac:dyDescent="0.25">
      <c r="A4912" s="127">
        <v>45644</v>
      </c>
      <c r="B4912" s="24" t="s">
        <v>113</v>
      </c>
      <c r="C4912" s="21">
        <f t="shared" si="80"/>
        <v>435.245</v>
      </c>
      <c r="BO4912" s="74">
        <v>31.35</v>
      </c>
      <c r="CA4912" s="106">
        <v>66</v>
      </c>
      <c r="CG4912" s="106">
        <v>67.19</v>
      </c>
      <c r="EA4912" s="74">
        <v>198.77</v>
      </c>
      <c r="GO4912" s="110">
        <v>71.935000000000002</v>
      </c>
    </row>
    <row r="4913" spans="1:214" x14ac:dyDescent="0.25">
      <c r="A4913" s="127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27">
        <v>45644</v>
      </c>
      <c r="B4914" s="24" t="s">
        <v>20</v>
      </c>
      <c r="C4914" s="21">
        <f t="shared" si="81"/>
        <v>-16.559999999999999</v>
      </c>
      <c r="CA4914" s="106">
        <v>-8.33</v>
      </c>
      <c r="CS4914" s="74">
        <v>-8.23</v>
      </c>
    </row>
    <row r="4915" spans="1:214" x14ac:dyDescent="0.25">
      <c r="A4915" s="127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74">
        <v>-8.4499999999999993</v>
      </c>
      <c r="AW4915" s="74">
        <v>-7.94</v>
      </c>
      <c r="BC4915" s="74">
        <v>-5.8</v>
      </c>
      <c r="BI4915" s="106">
        <v>-7.83</v>
      </c>
      <c r="BO4915" s="74">
        <v>-7.14</v>
      </c>
      <c r="BU4915" s="106">
        <v>-8.26</v>
      </c>
      <c r="CA4915" s="106">
        <v>-8.32</v>
      </c>
      <c r="CG4915" s="106">
        <v>-8.42</v>
      </c>
      <c r="CS4915" s="74">
        <v>-8.2650000000000006</v>
      </c>
    </row>
    <row r="4916" spans="1:214" x14ac:dyDescent="0.25">
      <c r="A4916" s="127">
        <v>45645</v>
      </c>
      <c r="B4916" s="24" t="s">
        <v>138</v>
      </c>
      <c r="C4916" s="21">
        <f t="shared" si="81"/>
        <v>-131.26499999999999</v>
      </c>
      <c r="BC4916" s="74">
        <v>-24.19</v>
      </c>
      <c r="BI4916" s="106">
        <v>-15.94</v>
      </c>
      <c r="BO4916" s="74">
        <v>-15.965</v>
      </c>
      <c r="BX4916" s="115">
        <v>-16.670000000000002</v>
      </c>
      <c r="CA4916" s="106">
        <v>-17.27</v>
      </c>
      <c r="CG4916" s="106">
        <v>-8.4049999999999994</v>
      </c>
      <c r="CM4916" s="74">
        <v>-16.5</v>
      </c>
      <c r="CS4916" s="74">
        <v>-8.24</v>
      </c>
      <c r="CY4916" s="74">
        <v>-8.0850000000000009</v>
      </c>
    </row>
    <row r="4917" spans="1:214" x14ac:dyDescent="0.25">
      <c r="A4917" s="127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106">
        <v>-16.425000000000001</v>
      </c>
      <c r="CA4917" s="106">
        <v>-17.175000000000001</v>
      </c>
      <c r="CG4917" s="106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27">
        <v>45645</v>
      </c>
      <c r="B4918" s="24" t="s">
        <v>193</v>
      </c>
      <c r="C4918" s="21">
        <f t="shared" si="81"/>
        <v>-18.295000000000002</v>
      </c>
      <c r="CG4918" s="106">
        <v>-8.4250000000000007</v>
      </c>
      <c r="CM4918" s="74">
        <v>-9.8699999999999992</v>
      </c>
    </row>
    <row r="4919" spans="1:214" x14ac:dyDescent="0.25">
      <c r="A4919" s="127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27">
        <v>45645</v>
      </c>
      <c r="B4920" s="29" t="s">
        <v>48</v>
      </c>
      <c r="C4920" s="21">
        <f t="shared" si="81"/>
        <v>206.21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27">
        <v>45646</v>
      </c>
      <c r="B4921" s="24" t="s">
        <v>113</v>
      </c>
      <c r="C4921" s="21">
        <f t="shared" si="81"/>
        <v>631.94399999999996</v>
      </c>
      <c r="BC4921" s="74">
        <v>100.005</v>
      </c>
      <c r="BO4921" s="74">
        <v>94.86</v>
      </c>
      <c r="BU4921" s="106">
        <v>158.59</v>
      </c>
      <c r="CA4921" s="106">
        <v>117.97499999999999</v>
      </c>
      <c r="CG4921" s="106">
        <v>66.680000000000007</v>
      </c>
      <c r="CM4921" s="74">
        <v>66.61</v>
      </c>
      <c r="GK4921" s="79">
        <v>27.224</v>
      </c>
    </row>
    <row r="4922" spans="1:214" x14ac:dyDescent="0.25">
      <c r="A4922" s="127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27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74">
        <v>-33.854999999999997</v>
      </c>
      <c r="AW4923" s="74">
        <v>-32.435000000000002</v>
      </c>
      <c r="BC4923" s="74">
        <v>-66.17</v>
      </c>
      <c r="BO4923" s="74">
        <v>-63.62</v>
      </c>
      <c r="BU4923" s="106">
        <v>-94.13</v>
      </c>
      <c r="CA4923" s="106">
        <v>-101.825</v>
      </c>
      <c r="CG4923" s="106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27">
        <v>45646</v>
      </c>
      <c r="B4924" s="24" t="s">
        <v>213</v>
      </c>
      <c r="C4924" s="21">
        <f t="shared" si="81"/>
        <v>-65.185000000000002</v>
      </c>
      <c r="BU4924" s="106">
        <v>-31.454999999999998</v>
      </c>
      <c r="CG4924" s="106">
        <f>-8.435-8.395</f>
        <v>-16.829999999999998</v>
      </c>
      <c r="CY4924" s="74">
        <f>-8.425-8.475</f>
        <v>-16.899999999999999</v>
      </c>
    </row>
    <row r="4925" spans="1:214" x14ac:dyDescent="0.25">
      <c r="A4925" s="127">
        <v>45646</v>
      </c>
      <c r="B4925" s="29" t="s">
        <v>139</v>
      </c>
      <c r="C4925" s="21">
        <f t="shared" si="81"/>
        <v>-17.004999999999999</v>
      </c>
      <c r="CM4925" s="74">
        <v>-17.004999999999999</v>
      </c>
    </row>
    <row r="4926" spans="1:214" x14ac:dyDescent="0.25">
      <c r="A4926" s="127">
        <v>45646</v>
      </c>
      <c r="B4926" s="24" t="s">
        <v>192</v>
      </c>
      <c r="C4926" s="21">
        <f t="shared" si="81"/>
        <v>-16.149999999999999</v>
      </c>
      <c r="CA4926" s="106">
        <v>-16.149999999999999</v>
      </c>
    </row>
    <row r="4927" spans="1:214" x14ac:dyDescent="0.25">
      <c r="A4927" s="127">
        <v>45650</v>
      </c>
      <c r="B4927" s="24" t="s">
        <v>188</v>
      </c>
      <c r="C4927" s="21">
        <f t="shared" si="81"/>
        <v>-24.184999999999999</v>
      </c>
      <c r="AW4927" s="74">
        <v>-8.1850000000000005</v>
      </c>
      <c r="CA4927" s="106">
        <v>-7.585</v>
      </c>
      <c r="CG4927" s="106">
        <v>-8.4149999999999991</v>
      </c>
    </row>
    <row r="4928" spans="1:214" x14ac:dyDescent="0.25">
      <c r="A4928" s="127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27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27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27">
        <v>45650</v>
      </c>
      <c r="B4931" s="24" t="s">
        <v>75</v>
      </c>
      <c r="C4931" s="21">
        <f t="shared" si="81"/>
        <v>-25.094999999999999</v>
      </c>
      <c r="AR4931" s="74">
        <v>-8.4250000000000007</v>
      </c>
      <c r="BC4931" s="74">
        <v>-8.52</v>
      </c>
      <c r="BU4931" s="106">
        <v>-8.15</v>
      </c>
    </row>
    <row r="4932" spans="1:241" x14ac:dyDescent="0.25">
      <c r="A4932" s="127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27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27">
        <v>45651</v>
      </c>
      <c r="B4934" s="24" t="s">
        <v>113</v>
      </c>
      <c r="C4934" s="21">
        <f t="shared" si="81"/>
        <v>131.94</v>
      </c>
      <c r="BI4934" s="106">
        <v>32.78</v>
      </c>
      <c r="BU4934" s="106">
        <v>32.854999999999997</v>
      </c>
      <c r="CG4934" s="106">
        <v>33.67</v>
      </c>
      <c r="EA4934" s="74">
        <v>32.634999999999998</v>
      </c>
    </row>
    <row r="4935" spans="1:241" x14ac:dyDescent="0.25">
      <c r="A4935" s="127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106">
        <v>-32.78</v>
      </c>
      <c r="BO4935" s="74">
        <v>-31.864999999999998</v>
      </c>
      <c r="BU4935" s="106">
        <v>-32.854999999999997</v>
      </c>
      <c r="CA4935" s="106">
        <v>-7.32</v>
      </c>
      <c r="CG4935" s="106">
        <v>-33.67</v>
      </c>
    </row>
    <row r="4936" spans="1:241" x14ac:dyDescent="0.25">
      <c r="A4936" s="127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27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27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27">
        <v>45653</v>
      </c>
      <c r="B4939" s="24" t="s">
        <v>190</v>
      </c>
      <c r="C4939" s="21">
        <f t="shared" si="81"/>
        <v>-57.38</v>
      </c>
      <c r="AW4939" s="74">
        <v>-15.68</v>
      </c>
      <c r="BO4939" s="74">
        <v>-7.62</v>
      </c>
      <c r="CM4939" s="74">
        <v>-17.03</v>
      </c>
      <c r="HR4939" s="92">
        <v>-17.05</v>
      </c>
    </row>
    <row r="4940" spans="1:241" x14ac:dyDescent="0.25">
      <c r="A4940" s="127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74">
        <v>-8.3800000000000008</v>
      </c>
      <c r="AW4940" s="74">
        <v>-16.215</v>
      </c>
      <c r="BC4940" s="74">
        <v>-8.41</v>
      </c>
      <c r="BU4940" s="106">
        <v>-8.1999999999999993</v>
      </c>
      <c r="CM4940" s="74">
        <v>-17.09</v>
      </c>
      <c r="CS4940" s="74">
        <v>-8.41</v>
      </c>
    </row>
    <row r="4941" spans="1:241" x14ac:dyDescent="0.25">
      <c r="A4941" s="127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27">
        <v>45656</v>
      </c>
      <c r="B4942" s="24" t="s">
        <v>14</v>
      </c>
      <c r="C4942" s="21">
        <f t="shared" si="81"/>
        <v>182.06</v>
      </c>
      <c r="O4942" s="375">
        <v>0.8</v>
      </c>
      <c r="R4942" s="115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3">
        <v>3</v>
      </c>
      <c r="AM4942" s="69">
        <v>7</v>
      </c>
      <c r="AR4942" s="74">
        <v>4.5</v>
      </c>
      <c r="AV4942" s="69">
        <v>21.195</v>
      </c>
      <c r="AZ4942" s="115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1">
        <v>1</v>
      </c>
      <c r="DD4942" s="69">
        <v>16.975000000000001</v>
      </c>
      <c r="DL4942" s="121">
        <v>13.85</v>
      </c>
      <c r="DO4942" s="69">
        <v>10.95</v>
      </c>
      <c r="DZ4942" s="69">
        <v>8.9</v>
      </c>
      <c r="EG4942" s="74">
        <v>11</v>
      </c>
      <c r="EH4942" s="194">
        <v>1.75</v>
      </c>
      <c r="EK4942" s="69">
        <v>4</v>
      </c>
      <c r="EO4942" s="69">
        <v>1.25</v>
      </c>
      <c r="EU4942" s="126">
        <v>2.8</v>
      </c>
    </row>
    <row r="4943" spans="1:241" x14ac:dyDescent="0.25">
      <c r="A4943" s="127">
        <v>45657</v>
      </c>
      <c r="B4943" s="24" t="s">
        <v>184</v>
      </c>
      <c r="C4943" s="21">
        <f t="shared" si="81"/>
        <v>-33.729999999999997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27">
        <v>45657</v>
      </c>
      <c r="B4944" s="24" t="s">
        <v>20</v>
      </c>
      <c r="C4944" s="21">
        <f t="shared" si="81"/>
        <v>-34.270000000000003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27">
        <v>45657</v>
      </c>
      <c r="B4945" s="24" t="s">
        <v>113</v>
      </c>
      <c r="C4945" s="21">
        <f t="shared" si="81"/>
        <v>1059.9849999999999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106">
        <v>63.43</v>
      </c>
      <c r="CG4945" s="106">
        <v>34.085000000000001</v>
      </c>
      <c r="CM4945" s="74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27">
        <v>45657</v>
      </c>
      <c r="B4946" s="24" t="s">
        <v>113</v>
      </c>
      <c r="C4946" s="21">
        <f t="shared" si="81"/>
        <v>2067.5810000000001</v>
      </c>
      <c r="AW4946" s="74">
        <v>311.95</v>
      </c>
      <c r="BC4946" s="74">
        <v>179.41</v>
      </c>
      <c r="BI4946" s="106">
        <v>277.52999999999997</v>
      </c>
      <c r="BO4946" s="74">
        <v>128.64500000000001</v>
      </c>
      <c r="CG4946" s="106">
        <v>65.484999999999999</v>
      </c>
      <c r="CM4946" s="74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0">
        <v>86.35</v>
      </c>
      <c r="GQ4946" s="92">
        <v>339.565</v>
      </c>
    </row>
    <row r="4947" spans="1:199" x14ac:dyDescent="0.25">
      <c r="A4947" s="127">
        <v>45657</v>
      </c>
      <c r="B4947" s="24" t="s">
        <v>213</v>
      </c>
      <c r="C4947" s="21">
        <f t="shared" si="81"/>
        <v>-67.260000000000005</v>
      </c>
      <c r="BI4947" s="106">
        <v>-32.93</v>
      </c>
      <c r="BM4947" s="88">
        <v>-17.760000000000002</v>
      </c>
      <c r="BY4947" s="42">
        <v>-16.57</v>
      </c>
    </row>
    <row r="4948" spans="1:199" x14ac:dyDescent="0.25">
      <c r="A4948" s="127">
        <v>45657</v>
      </c>
      <c r="B4948" s="24" t="s">
        <v>184</v>
      </c>
      <c r="C4948" s="21">
        <f t="shared" si="81"/>
        <v>-163.93</v>
      </c>
      <c r="BI4948" s="106">
        <v>-65.864999999999995</v>
      </c>
      <c r="CG4948" s="106">
        <v>-34.085000000000001</v>
      </c>
      <c r="EG4948" s="74">
        <v>-63.98</v>
      </c>
    </row>
    <row r="4949" spans="1:199" x14ac:dyDescent="0.25">
      <c r="A4949" s="127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106">
        <v>-8.2149999999999999</v>
      </c>
    </row>
    <row r="4950" spans="1:199" x14ac:dyDescent="0.25">
      <c r="A4950" s="127">
        <v>45659</v>
      </c>
      <c r="B4950" s="24" t="s">
        <v>212</v>
      </c>
      <c r="C4950" s="21">
        <f t="shared" si="81"/>
        <v>-62.354999999999997</v>
      </c>
      <c r="BC4950" s="74">
        <v>-7.38</v>
      </c>
      <c r="BI4950" s="106">
        <v>-16.484999999999999</v>
      </c>
      <c r="BO4950" s="74">
        <v>-17.329999999999998</v>
      </c>
      <c r="BZ4950" s="69">
        <v>-5.15</v>
      </c>
      <c r="CG4950" s="106">
        <v>-8.43</v>
      </c>
      <c r="CM4950" s="74">
        <v>-7.58</v>
      </c>
    </row>
    <row r="4951" spans="1:199" x14ac:dyDescent="0.25">
      <c r="A4951" s="127">
        <v>45659</v>
      </c>
      <c r="B4951" s="24" t="s">
        <v>53</v>
      </c>
      <c r="C4951" s="21">
        <f t="shared" si="81"/>
        <v>-845.43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74">
        <v>-33.39</v>
      </c>
      <c r="AW4951" s="74">
        <v>-98.614999999999995</v>
      </c>
      <c r="BC4951" s="74">
        <v>-32.03</v>
      </c>
      <c r="BI4951" s="106">
        <v>-64.27</v>
      </c>
      <c r="BO4951" s="74">
        <v>-65.09</v>
      </c>
      <c r="BY4951" s="42">
        <v>-32.81</v>
      </c>
      <c r="CE4951" s="42">
        <v>-8.98</v>
      </c>
      <c r="CG4951" s="106">
        <f>-32.82-8.005-8.005-8.165</f>
        <v>-56.994999999999997</v>
      </c>
      <c r="CM4951" s="74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27">
        <v>45660</v>
      </c>
      <c r="B4952" s="24" t="s">
        <v>48</v>
      </c>
      <c r="C4952" s="21">
        <f t="shared" si="81"/>
        <v>0.19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27">
        <v>45660</v>
      </c>
      <c r="B4953" s="24" t="s">
        <v>184</v>
      </c>
      <c r="C4953" s="21">
        <f t="shared" si="81"/>
        <v>-80.03</v>
      </c>
      <c r="BC4953" s="74">
        <v>-24.364999999999998</v>
      </c>
      <c r="BI4953" s="106">
        <v>-30.795000000000002</v>
      </c>
      <c r="BN4953" s="69">
        <v>-7.55</v>
      </c>
      <c r="BO4953" s="74">
        <f>-5.595-7.975</f>
        <v>-13.57</v>
      </c>
      <c r="CF4953" s="69">
        <v>-3.75</v>
      </c>
    </row>
    <row r="4954" spans="1:199" x14ac:dyDescent="0.25">
      <c r="A4954" s="127">
        <v>45660</v>
      </c>
      <c r="B4954" s="24" t="s">
        <v>20</v>
      </c>
      <c r="C4954" s="21">
        <f t="shared" si="81"/>
        <v>-33.51</v>
      </c>
      <c r="BI4954" s="106">
        <v>-8.2100000000000009</v>
      </c>
      <c r="BO4954" s="74">
        <v>-8.68</v>
      </c>
      <c r="BU4954" s="106">
        <v>-8.4</v>
      </c>
      <c r="CM4954" s="74">
        <v>-8.2200000000000006</v>
      </c>
    </row>
    <row r="4955" spans="1:199" x14ac:dyDescent="0.25">
      <c r="A4955" s="127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106">
        <v>-8.23</v>
      </c>
      <c r="BO4955" s="74">
        <v>-6.48</v>
      </c>
      <c r="BU4955" s="106">
        <v>-8.2550000000000008</v>
      </c>
      <c r="BY4955" s="42">
        <v>-8.4499999999999993</v>
      </c>
    </row>
    <row r="4956" spans="1:199" x14ac:dyDescent="0.25">
      <c r="A4956" s="127">
        <v>45660</v>
      </c>
      <c r="B4956" s="24" t="s">
        <v>139</v>
      </c>
      <c r="C4956" s="21">
        <f t="shared" si="81"/>
        <v>-8.66</v>
      </c>
      <c r="BU4956" s="106">
        <v>8.26</v>
      </c>
      <c r="CE4956" s="42">
        <v>-8.7200000000000006</v>
      </c>
      <c r="CM4956" s="74">
        <v>-8.1999999999999993</v>
      </c>
    </row>
    <row r="4957" spans="1:199" x14ac:dyDescent="0.25">
      <c r="A4957" s="127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74">
        <v>-8.5250000000000004</v>
      </c>
    </row>
    <row r="4958" spans="1:199" x14ac:dyDescent="0.25">
      <c r="A4958" s="127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27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27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27">
        <v>45663</v>
      </c>
      <c r="B4961" s="24" t="s">
        <v>197</v>
      </c>
      <c r="C4961" s="21">
        <f t="shared" si="81"/>
        <v>-102.92</v>
      </c>
      <c r="AN4961" s="74">
        <v>-8.5</v>
      </c>
      <c r="AR4961" s="74">
        <v>-8.3949999999999996</v>
      </c>
      <c r="AW4961" s="74">
        <v>-8.2550000000000008</v>
      </c>
      <c r="BC4961" s="74">
        <v>-8</v>
      </c>
      <c r="BI4961" s="106">
        <v>-8.19</v>
      </c>
      <c r="BO4961" s="74">
        <v>-16.495000000000001</v>
      </c>
      <c r="BU4961" s="106">
        <v>-8.26</v>
      </c>
      <c r="BY4961" s="42">
        <v>-17.579999999999998</v>
      </c>
      <c r="CE4961" s="42">
        <v>-8.99</v>
      </c>
      <c r="CF4961" s="69">
        <v>-2.1</v>
      </c>
      <c r="CM4961" s="74">
        <v>-8.1549999999999994</v>
      </c>
    </row>
    <row r="4962" spans="1:221" x14ac:dyDescent="0.25">
      <c r="A4962" s="127">
        <v>45664</v>
      </c>
      <c r="B4962" s="24" t="s">
        <v>162</v>
      </c>
      <c r="C4962" s="21">
        <f t="shared" si="81"/>
        <v>-94.93</v>
      </c>
      <c r="BC4962" s="74">
        <v>-8.58</v>
      </c>
      <c r="GO4962" s="110">
        <v>-86.35</v>
      </c>
    </row>
    <row r="4963" spans="1:221" x14ac:dyDescent="0.25">
      <c r="A4963" s="127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27">
        <v>45664</v>
      </c>
      <c r="B4964" s="24" t="s">
        <v>25</v>
      </c>
      <c r="C4964" s="21">
        <f t="shared" si="81"/>
        <v>-12.24</v>
      </c>
      <c r="BY4964" s="42">
        <v>-8.44</v>
      </c>
      <c r="BZ4964" s="69">
        <v>-3.8</v>
      </c>
    </row>
    <row r="4965" spans="1:221" x14ac:dyDescent="0.25">
      <c r="A4965" s="127">
        <v>45664</v>
      </c>
      <c r="B4965" s="24" t="s">
        <v>202</v>
      </c>
      <c r="C4965" s="21">
        <f t="shared" si="81"/>
        <v>-26.71</v>
      </c>
      <c r="D4965" s="145">
        <v>-8.3800000000000008</v>
      </c>
      <c r="E4965" s="145">
        <v>-18.329999999999998</v>
      </c>
    </row>
    <row r="4966" spans="1:221" x14ac:dyDescent="0.25">
      <c r="A4966" s="127">
        <v>45665</v>
      </c>
      <c r="B4966" s="24" t="s">
        <v>137</v>
      </c>
      <c r="C4966" s="21">
        <f t="shared" si="81"/>
        <v>-33.64</v>
      </c>
      <c r="AW4966" s="74">
        <v>-8.0649999999999995</v>
      </c>
      <c r="BC4966" s="74">
        <v>-8.44</v>
      </c>
      <c r="BI4966" s="106">
        <v>-8.2449999999999992</v>
      </c>
      <c r="BM4966" s="88">
        <v>-8.89</v>
      </c>
    </row>
    <row r="4967" spans="1:221" x14ac:dyDescent="0.25">
      <c r="A4967" s="127">
        <v>45665</v>
      </c>
      <c r="B4967" s="24" t="s">
        <v>44</v>
      </c>
      <c r="C4967" s="21">
        <f t="shared" si="81"/>
        <v>-148.35499999999999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27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27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27">
        <v>45668</v>
      </c>
      <c r="B4970" s="24" t="s">
        <v>113</v>
      </c>
      <c r="C4970" s="21">
        <f t="shared" si="81"/>
        <v>781.78499999999997</v>
      </c>
      <c r="BI4970" s="106">
        <v>31.65</v>
      </c>
      <c r="BO4970" s="74">
        <v>97.2</v>
      </c>
      <c r="BU4970" s="106">
        <v>136.56</v>
      </c>
      <c r="CA4970" s="106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27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74">
        <v>-8.4849999999999994</v>
      </c>
      <c r="AW4971" s="74">
        <v>-8.17</v>
      </c>
      <c r="BC4971" s="74">
        <v>-15.89</v>
      </c>
      <c r="BI4971" s="106">
        <v>-16.27</v>
      </c>
      <c r="BO4971" s="74">
        <v>-16.035</v>
      </c>
      <c r="BU4971" s="106">
        <v>-8.64</v>
      </c>
      <c r="CA4971" s="106">
        <v>-17.100000000000001</v>
      </c>
      <c r="CG4971" s="106">
        <v>-16.524999999999999</v>
      </c>
      <c r="CM4971" s="74">
        <v>-8.24</v>
      </c>
    </row>
    <row r="4972" spans="1:221" x14ac:dyDescent="0.25">
      <c r="A4972" s="127">
        <v>45671</v>
      </c>
      <c r="B4972" s="24" t="s">
        <v>20</v>
      </c>
      <c r="C4972" s="21">
        <f t="shared" si="81"/>
        <v>-25.13</v>
      </c>
      <c r="BC4972" s="74">
        <v>-8.08</v>
      </c>
      <c r="BU4972" s="106">
        <v>-8.6950000000000003</v>
      </c>
      <c r="CG4972" s="106">
        <v>-8.3550000000000004</v>
      </c>
    </row>
    <row r="4973" spans="1:221" x14ac:dyDescent="0.25">
      <c r="A4973" s="127">
        <v>45671</v>
      </c>
      <c r="B4973" s="24" t="s">
        <v>68</v>
      </c>
      <c r="C4973" s="21">
        <f t="shared" si="81"/>
        <v>-34.155000000000001</v>
      </c>
      <c r="BU4973" s="106">
        <v>-34.155000000000001</v>
      </c>
    </row>
    <row r="4974" spans="1:221" x14ac:dyDescent="0.25">
      <c r="A4974" s="127">
        <v>45671</v>
      </c>
      <c r="B4974" s="24" t="s">
        <v>25</v>
      </c>
      <c r="C4974" s="21">
        <f t="shared" si="81"/>
        <v>-16.68</v>
      </c>
      <c r="CG4974" s="106">
        <v>-16.68</v>
      </c>
    </row>
    <row r="4975" spans="1:221" x14ac:dyDescent="0.25">
      <c r="A4975" s="127">
        <v>45672</v>
      </c>
      <c r="B4975" s="24" t="s">
        <v>133</v>
      </c>
      <c r="C4975" s="21">
        <f t="shared" si="81"/>
        <v>-167.1</v>
      </c>
      <c r="AR4975" s="74">
        <v>-33.555</v>
      </c>
      <c r="BI4975" s="106">
        <v>-32.854999999999997</v>
      </c>
      <c r="BU4975" s="106">
        <v>-17.3</v>
      </c>
      <c r="CA4975" s="106">
        <v>-17.13</v>
      </c>
      <c r="CS4975" s="74">
        <v>-33.630000000000003</v>
      </c>
      <c r="DE4975" s="74">
        <v>-32.630000000000003</v>
      </c>
    </row>
    <row r="4976" spans="1:221" x14ac:dyDescent="0.25">
      <c r="A4976" s="127">
        <v>45672</v>
      </c>
      <c r="B4976" s="24" t="s">
        <v>184</v>
      </c>
      <c r="C4976" s="21">
        <f t="shared" si="81"/>
        <v>-82.915000000000006</v>
      </c>
      <c r="AN4976" s="74">
        <v>-7.9550000000000001</v>
      </c>
      <c r="AR4976" s="74">
        <v>-8.4649999999999999</v>
      </c>
      <c r="BI4976" s="106">
        <v>-15.565</v>
      </c>
      <c r="BU4976" s="106">
        <v>-16.79</v>
      </c>
      <c r="CA4976" s="106">
        <v>-17.09</v>
      </c>
      <c r="CM4976" s="74">
        <v>-17.05</v>
      </c>
    </row>
    <row r="4977" spans="1:199" x14ac:dyDescent="0.25">
      <c r="A4977" s="127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27">
        <v>45672</v>
      </c>
      <c r="B4978" s="24" t="s">
        <v>193</v>
      </c>
      <c r="C4978" s="21">
        <f t="shared" si="82"/>
        <v>-8.5299999999999994</v>
      </c>
      <c r="CA4978" s="106">
        <v>-8.5299999999999994</v>
      </c>
    </row>
    <row r="4979" spans="1:199" x14ac:dyDescent="0.25">
      <c r="A4979" s="127">
        <v>45673</v>
      </c>
      <c r="B4979" s="24" t="s">
        <v>139</v>
      </c>
      <c r="C4979" s="21">
        <f t="shared" si="82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27">
        <v>45673</v>
      </c>
      <c r="B4980" s="24" t="s">
        <v>184</v>
      </c>
      <c r="C4980" s="21">
        <f t="shared" si="82"/>
        <v>-14.87</v>
      </c>
      <c r="V4980" s="74">
        <f>-7.43-7.44</f>
        <v>-14.87</v>
      </c>
    </row>
    <row r="4981" spans="1:199" x14ac:dyDescent="0.25">
      <c r="A4981" s="127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74">
        <v>-7.7</v>
      </c>
      <c r="BI4981" s="106">
        <v>-8.0399999999999991</v>
      </c>
      <c r="BO4981" s="74">
        <v>-7.9</v>
      </c>
    </row>
    <row r="4982" spans="1:199" x14ac:dyDescent="0.25">
      <c r="A4982" s="127">
        <v>45674</v>
      </c>
      <c r="B4982" s="24" t="s">
        <v>20</v>
      </c>
      <c r="C4982" s="21">
        <f t="shared" si="82"/>
        <v>-8.5549999999999997</v>
      </c>
      <c r="CA4982" s="106">
        <v>-8.5549999999999997</v>
      </c>
    </row>
    <row r="4983" spans="1:199" x14ac:dyDescent="0.25">
      <c r="A4983" s="127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74">
        <v>-8.08</v>
      </c>
      <c r="BC4983" s="74">
        <v>-16.899999999999999</v>
      </c>
      <c r="BI4983" s="106">
        <v>-8.0449999999999999</v>
      </c>
      <c r="BO4983" s="74">
        <v>-16.059999999999999</v>
      </c>
      <c r="BU4983" s="106">
        <v>-8.15</v>
      </c>
      <c r="CA4983" s="106">
        <v>-17.12</v>
      </c>
      <c r="CG4983" s="106">
        <v>-8.33</v>
      </c>
      <c r="CM4983" s="74">
        <v>-16.96</v>
      </c>
      <c r="CY4983" s="74">
        <v>-8.0350000000000001</v>
      </c>
    </row>
    <row r="4984" spans="1:199" x14ac:dyDescent="0.25">
      <c r="A4984" s="127">
        <v>45674</v>
      </c>
      <c r="B4984" s="24" t="s">
        <v>197</v>
      </c>
      <c r="C4984" s="21">
        <f t="shared" si="82"/>
        <v>-91.295000000000002</v>
      </c>
      <c r="BI4984" s="106">
        <v>-16.405000000000001</v>
      </c>
      <c r="CA4984" s="106">
        <v>-8.5549999999999997</v>
      </c>
      <c r="CG4984" s="106">
        <v>-16.465</v>
      </c>
      <c r="CM4984" s="74">
        <v>-17.03</v>
      </c>
      <c r="CY4984" s="74">
        <v>-16.195</v>
      </c>
      <c r="DE4984" s="74">
        <v>-16.645</v>
      </c>
    </row>
    <row r="4985" spans="1:199" x14ac:dyDescent="0.25">
      <c r="A4985" s="127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27">
        <v>45674</v>
      </c>
      <c r="B4986" s="24" t="s">
        <v>213</v>
      </c>
      <c r="C4986" s="21">
        <f t="shared" si="82"/>
        <v>-141.08000000000001</v>
      </c>
      <c r="BI4986" s="106">
        <v>-24.344999999999999</v>
      </c>
      <c r="BO4986" s="74">
        <v>-57.204999999999998</v>
      </c>
      <c r="BU4986" s="106">
        <v>-34.045000000000002</v>
      </c>
      <c r="CM4986" s="74">
        <v>-25.484999999999999</v>
      </c>
    </row>
    <row r="4987" spans="1:199" x14ac:dyDescent="0.25">
      <c r="A4987" s="127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27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27">
        <v>45678</v>
      </c>
      <c r="B4989" s="24" t="s">
        <v>203</v>
      </c>
      <c r="C4989" s="21">
        <f t="shared" si="82"/>
        <v>140.03</v>
      </c>
      <c r="DA4989" s="126">
        <v>16.920000000000002</v>
      </c>
      <c r="DG4989" s="126">
        <v>7.67</v>
      </c>
      <c r="EC4989" s="126">
        <v>8.83</v>
      </c>
      <c r="EM4989" s="150">
        <v>25.78</v>
      </c>
      <c r="EQ4989" s="46">
        <v>40.409999999999997</v>
      </c>
      <c r="EU4989" s="126">
        <v>40.42</v>
      </c>
    </row>
    <row r="4990" spans="1:199" x14ac:dyDescent="0.25">
      <c r="A4990" s="127">
        <v>45678</v>
      </c>
      <c r="B4990" s="24" t="s">
        <v>152</v>
      </c>
      <c r="C4990" s="21">
        <f t="shared" si="82"/>
        <v>-68.540000000000006</v>
      </c>
      <c r="EN4990" s="42">
        <v>-35.130000000000003</v>
      </c>
      <c r="EU4990" s="126">
        <v>-33.409999999999997</v>
      </c>
    </row>
    <row r="4991" spans="1:199" x14ac:dyDescent="0.25">
      <c r="A4991" s="127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27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27">
        <v>45679</v>
      </c>
      <c r="B4993" s="24" t="s">
        <v>193</v>
      </c>
      <c r="C4993" s="21">
        <f t="shared" si="82"/>
        <v>-12.85</v>
      </c>
      <c r="O4993" s="375">
        <v>-0.8</v>
      </c>
      <c r="CS4993" s="74">
        <v>-8.15</v>
      </c>
      <c r="CZ4993" s="121">
        <v>-1</v>
      </c>
      <c r="DD4993" s="69">
        <v>-2.9</v>
      </c>
    </row>
    <row r="4994" spans="1:216" x14ac:dyDescent="0.25">
      <c r="A4994" s="127">
        <v>45679</v>
      </c>
      <c r="B4994" s="24" t="s">
        <v>213</v>
      </c>
      <c r="C4994" s="21">
        <f t="shared" si="82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27">
        <v>45680</v>
      </c>
      <c r="B4995" s="24" t="s">
        <v>152</v>
      </c>
      <c r="C4995" s="21">
        <f t="shared" si="82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6">
        <v>-8.69</v>
      </c>
      <c r="DD4995" s="69">
        <v>-8.2750000000000004</v>
      </c>
      <c r="DG4995" s="126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27">
        <v>45681</v>
      </c>
      <c r="B4996" s="24" t="s">
        <v>212</v>
      </c>
      <c r="C4996" s="21">
        <f t="shared" si="82"/>
        <v>-25.414999999999999</v>
      </c>
      <c r="CM4996" s="74">
        <v>-8.5500000000000007</v>
      </c>
      <c r="CS4996" s="74">
        <v>-16.864999999999998</v>
      </c>
    </row>
    <row r="4997" spans="1:216" x14ac:dyDescent="0.25">
      <c r="A4997" s="127">
        <v>45681</v>
      </c>
      <c r="B4997" s="24" t="s">
        <v>113</v>
      </c>
      <c r="C4997" s="21">
        <f t="shared" si="82"/>
        <v>658.04499999999996</v>
      </c>
      <c r="BI4997" s="106">
        <v>28.18</v>
      </c>
      <c r="BO4997" s="74">
        <v>65.795000000000002</v>
      </c>
      <c r="BU4997" s="106">
        <v>137.99</v>
      </c>
      <c r="CA4997" s="106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27">
        <v>45681</v>
      </c>
      <c r="B4998" s="24" t="s">
        <v>113</v>
      </c>
      <c r="C4998" s="21">
        <f t="shared" si="82"/>
        <v>199.38499999999999</v>
      </c>
      <c r="BI4998" s="106">
        <v>62.204999999999998</v>
      </c>
      <c r="EL4998" s="106">
        <v>33.950000000000003</v>
      </c>
      <c r="GO4998" s="110">
        <v>103.23</v>
      </c>
    </row>
    <row r="4999" spans="1:216" x14ac:dyDescent="0.25">
      <c r="A4999" s="127">
        <v>45681</v>
      </c>
      <c r="B4999" s="24" t="s">
        <v>17</v>
      </c>
      <c r="C4999" s="21">
        <f t="shared" si="82"/>
        <v>-16.045000000000002</v>
      </c>
      <c r="BI4999" s="106">
        <v>-8.0649999999999995</v>
      </c>
      <c r="BO4999" s="74">
        <v>-7.98</v>
      </c>
    </row>
    <row r="5000" spans="1:216" x14ac:dyDescent="0.25">
      <c r="A5000" s="127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27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27">
        <v>45685</v>
      </c>
      <c r="B5002" s="24" t="s">
        <v>127</v>
      </c>
      <c r="C5002" s="21">
        <f t="shared" si="82"/>
        <v>-7.41</v>
      </c>
      <c r="BI5002" s="106">
        <v>-7.41</v>
      </c>
    </row>
    <row r="5003" spans="1:216" x14ac:dyDescent="0.25">
      <c r="A5003" s="127">
        <v>45685</v>
      </c>
      <c r="B5003" s="24" t="s">
        <v>79</v>
      </c>
      <c r="C5003" s="21">
        <f t="shared" si="82"/>
        <v>-7.97</v>
      </c>
      <c r="BO5003" s="74">
        <v>-7.97</v>
      </c>
    </row>
    <row r="5004" spans="1:216" x14ac:dyDescent="0.25">
      <c r="A5004" s="127">
        <v>45685</v>
      </c>
      <c r="B5004" s="24" t="s">
        <v>188</v>
      </c>
      <c r="C5004" s="21">
        <f t="shared" si="82"/>
        <v>-7.8449999999999998</v>
      </c>
      <c r="BI5004" s="106">
        <v>-7.8449999999999998</v>
      </c>
    </row>
    <row r="5005" spans="1:216" x14ac:dyDescent="0.25">
      <c r="A5005" s="127">
        <v>45685</v>
      </c>
      <c r="B5005" s="24" t="s">
        <v>138</v>
      </c>
      <c r="C5005" s="21">
        <f t="shared" si="82"/>
        <v>-41.34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106">
        <v>-7.835</v>
      </c>
    </row>
    <row r="5006" spans="1:216" x14ac:dyDescent="0.25">
      <c r="A5006" s="127">
        <v>45685</v>
      </c>
      <c r="B5006" s="24" t="s">
        <v>180</v>
      </c>
      <c r="C5006" s="21">
        <f t="shared" si="82"/>
        <v>-103.23</v>
      </c>
      <c r="GO5006" s="110">
        <v>-103.23</v>
      </c>
    </row>
    <row r="5007" spans="1:216" x14ac:dyDescent="0.25">
      <c r="A5007" s="127">
        <v>45685</v>
      </c>
      <c r="B5007" s="24" t="s">
        <v>20</v>
      </c>
      <c r="C5007" s="21">
        <f t="shared" si="82"/>
        <v>-8.1199999999999992</v>
      </c>
      <c r="BI5007" s="106">
        <v>-8.1199999999999992</v>
      </c>
    </row>
    <row r="5008" spans="1:216" x14ac:dyDescent="0.25">
      <c r="A5008" s="127">
        <v>45685</v>
      </c>
      <c r="B5008" s="24" t="s">
        <v>197</v>
      </c>
      <c r="C5008" s="21">
        <f t="shared" si="82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27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27">
        <v>45686</v>
      </c>
      <c r="B5010" s="24" t="s">
        <v>184</v>
      </c>
      <c r="C5010" s="21">
        <f t="shared" si="82"/>
        <v>-164.095</v>
      </c>
      <c r="AW5010" s="74">
        <v>-8.3550000000000004</v>
      </c>
      <c r="BI5010" s="106">
        <v>-31.074999999999999</v>
      </c>
      <c r="BO5010" s="74">
        <v>-25.315000000000001</v>
      </c>
      <c r="BU5010" s="106">
        <v>-33.07</v>
      </c>
      <c r="CA5010" s="106">
        <v>-32.405000000000001</v>
      </c>
      <c r="CM5010" s="74">
        <v>-25.504999999999999</v>
      </c>
      <c r="CS5010" s="74">
        <v>-8.3699999999999992</v>
      </c>
    </row>
    <row r="5011" spans="1:230" x14ac:dyDescent="0.25">
      <c r="A5011" s="127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106">
        <v>-52.365000000000002</v>
      </c>
    </row>
    <row r="5012" spans="1:230" x14ac:dyDescent="0.25">
      <c r="A5012" s="127">
        <v>45686</v>
      </c>
      <c r="B5012" s="24" t="s">
        <v>213</v>
      </c>
      <c r="C5012" s="21">
        <f t="shared" si="82"/>
        <v>-31.855</v>
      </c>
      <c r="CA5012" s="106">
        <v>-31.855</v>
      </c>
    </row>
    <row r="5013" spans="1:230" x14ac:dyDescent="0.25">
      <c r="A5013" s="127">
        <v>45686</v>
      </c>
      <c r="B5013" s="24" t="s">
        <v>213</v>
      </c>
      <c r="C5013" s="21">
        <f t="shared" si="82"/>
        <v>-99.224999999999994</v>
      </c>
      <c r="BC5013" s="74">
        <v>-16.614999999999998</v>
      </c>
      <c r="BU5013" s="106">
        <v>-17.324999999999999</v>
      </c>
      <c r="CG5013" s="106">
        <v>-25.355</v>
      </c>
      <c r="DA5013" s="126">
        <v>-9.23</v>
      </c>
      <c r="DD5013" s="69">
        <v>-5.8</v>
      </c>
      <c r="DK5013" s="74">
        <v>-24.9</v>
      </c>
    </row>
    <row r="5014" spans="1:230" x14ac:dyDescent="0.25">
      <c r="A5014" s="127">
        <v>45686</v>
      </c>
      <c r="B5014" s="24" t="s">
        <v>115</v>
      </c>
      <c r="C5014" s="21">
        <f t="shared" si="82"/>
        <v>106.82</v>
      </c>
      <c r="E5014" s="145">
        <v>74.594999999999999</v>
      </c>
      <c r="F5014" s="145">
        <v>32.225000000000001</v>
      </c>
    </row>
    <row r="5015" spans="1:230" x14ac:dyDescent="0.25">
      <c r="A5015" s="127">
        <v>45686</v>
      </c>
      <c r="B5015" s="24" t="s">
        <v>48</v>
      </c>
      <c r="C5015" s="21">
        <f t="shared" si="82"/>
        <v>-64.12</v>
      </c>
      <c r="CA5015" s="106">
        <v>-31.66</v>
      </c>
      <c r="CM5015" s="74">
        <v>-32.46</v>
      </c>
    </row>
    <row r="5016" spans="1:230" x14ac:dyDescent="0.25">
      <c r="A5016" s="127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27">
        <v>45687</v>
      </c>
      <c r="B5017" s="24" t="s">
        <v>169</v>
      </c>
      <c r="C5017" s="21">
        <f t="shared" si="82"/>
        <v>-69.545000000000002</v>
      </c>
      <c r="E5017" s="145">
        <v>-37.32</v>
      </c>
      <c r="F5017" s="145">
        <v>-32.225000000000001</v>
      </c>
    </row>
    <row r="5018" spans="1:230" x14ac:dyDescent="0.25">
      <c r="A5018" s="127">
        <v>45687</v>
      </c>
      <c r="B5018" s="24" t="s">
        <v>202</v>
      </c>
      <c r="C5018" s="21">
        <f t="shared" si="82"/>
        <v>-36.42</v>
      </c>
      <c r="D5018" s="145">
        <v>-8.35</v>
      </c>
      <c r="E5018" s="145">
        <v>-28.07</v>
      </c>
    </row>
    <row r="5019" spans="1:230" x14ac:dyDescent="0.25">
      <c r="A5019" s="127">
        <v>45687</v>
      </c>
      <c r="B5019" s="24" t="s">
        <v>20</v>
      </c>
      <c r="C5019" s="21">
        <f t="shared" si="82"/>
        <v>-16.145</v>
      </c>
      <c r="AW5019" s="74">
        <v>-8.1999999999999993</v>
      </c>
      <c r="BI5019" s="106">
        <v>-7.9450000000000003</v>
      </c>
    </row>
    <row r="5020" spans="1:230" x14ac:dyDescent="0.25">
      <c r="A5020" s="127">
        <v>45688</v>
      </c>
      <c r="B5020" s="24" t="s">
        <v>138</v>
      </c>
      <c r="C5020" s="21">
        <f t="shared" si="82"/>
        <v>-7</v>
      </c>
      <c r="BI5020" s="106">
        <v>-7</v>
      </c>
    </row>
    <row r="5021" spans="1:230" x14ac:dyDescent="0.25">
      <c r="A5021" s="127">
        <v>45688</v>
      </c>
      <c r="B5021" s="24" t="s">
        <v>192</v>
      </c>
      <c r="C5021" s="21">
        <f t="shared" si="82"/>
        <v>-8.1549999999999994</v>
      </c>
      <c r="CA5021" s="106">
        <v>-8.1549999999999994</v>
      </c>
    </row>
    <row r="5022" spans="1:230" x14ac:dyDescent="0.25">
      <c r="A5022" s="127">
        <v>45688</v>
      </c>
      <c r="B5022" s="24" t="s">
        <v>25</v>
      </c>
      <c r="C5022" s="21">
        <f t="shared" si="82"/>
        <v>-129.66499999999999</v>
      </c>
      <c r="BI5022" s="106">
        <v>-21.85</v>
      </c>
      <c r="BO5022" s="74">
        <v>-25.97</v>
      </c>
      <c r="BU5022" s="106">
        <v>-24.954999999999998</v>
      </c>
      <c r="CA5022" s="106">
        <v>-14.89</v>
      </c>
      <c r="CG5022" s="106">
        <v>-24.92</v>
      </c>
      <c r="CM5022" s="74">
        <v>-17.079999999999998</v>
      </c>
    </row>
    <row r="5023" spans="1:230" x14ac:dyDescent="0.25">
      <c r="A5023" s="127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27">
        <v>45688</v>
      </c>
      <c r="B5024" s="24" t="s">
        <v>184</v>
      </c>
      <c r="C5024" s="21">
        <f t="shared" si="82"/>
        <v>-47.87</v>
      </c>
      <c r="AC5024" s="74">
        <v>-17.215</v>
      </c>
      <c r="CA5024" s="106">
        <v>-30.655000000000001</v>
      </c>
    </row>
    <row r="5025" spans="1:231" x14ac:dyDescent="0.25">
      <c r="A5025" s="127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27">
        <v>45688</v>
      </c>
      <c r="B5026" s="24" t="s">
        <v>213</v>
      </c>
      <c r="C5026" s="21">
        <f t="shared" si="82"/>
        <v>-23.805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27">
        <v>45688</v>
      </c>
      <c r="B5027" s="24" t="s">
        <v>113</v>
      </c>
      <c r="C5027" s="21">
        <f t="shared" si="82"/>
        <v>902.55499999999995</v>
      </c>
      <c r="BI5027" s="106">
        <v>149.55000000000001</v>
      </c>
      <c r="BO5027" s="74">
        <v>103.4</v>
      </c>
      <c r="BU5027" s="106">
        <v>101.13500000000001</v>
      </c>
      <c r="CA5027" s="106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27">
        <v>45691</v>
      </c>
      <c r="B5028" s="24" t="s">
        <v>188</v>
      </c>
      <c r="C5028" s="21">
        <f t="shared" si="82"/>
        <v>-15.455</v>
      </c>
      <c r="BO5028" s="74">
        <v>-8.4450000000000003</v>
      </c>
      <c r="BU5028" s="106">
        <v>-7.01</v>
      </c>
    </row>
    <row r="5029" spans="1:231" x14ac:dyDescent="0.25">
      <c r="A5029" s="127">
        <v>45691</v>
      </c>
      <c r="B5029" s="24" t="s">
        <v>212</v>
      </c>
      <c r="C5029" s="21">
        <f t="shared" si="82"/>
        <v>-8.5749999999999993</v>
      </c>
      <c r="CA5029" s="106">
        <v>-8.5749999999999993</v>
      </c>
    </row>
    <row r="5030" spans="1:231" x14ac:dyDescent="0.25">
      <c r="A5030" s="127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106">
        <v>-32.42</v>
      </c>
      <c r="BO5030" s="74">
        <v>-34.94</v>
      </c>
      <c r="CG5030" s="106">
        <v>-34.840000000000003</v>
      </c>
    </row>
    <row r="5031" spans="1:231" x14ac:dyDescent="0.25">
      <c r="A5031" s="127">
        <v>45692</v>
      </c>
      <c r="B5031" s="24" t="s">
        <v>115</v>
      </c>
      <c r="C5031" s="21">
        <f t="shared" si="82"/>
        <v>43.84</v>
      </c>
      <c r="G5031" s="145">
        <v>43.84</v>
      </c>
    </row>
    <row r="5032" spans="1:231" x14ac:dyDescent="0.25">
      <c r="A5032" s="127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27">
        <v>45692</v>
      </c>
      <c r="B5033" s="24" t="s">
        <v>192</v>
      </c>
      <c r="C5033" s="21">
        <f t="shared" si="82"/>
        <v>-40.03</v>
      </c>
      <c r="CA5033" s="106">
        <v>-31.03</v>
      </c>
      <c r="CG5033" s="106">
        <v>-9</v>
      </c>
    </row>
    <row r="5034" spans="1:231" x14ac:dyDescent="0.25">
      <c r="A5034" s="127">
        <v>45693</v>
      </c>
      <c r="B5034" s="24" t="s">
        <v>20</v>
      </c>
      <c r="C5034" s="21">
        <f t="shared" si="82"/>
        <v>0</v>
      </c>
    </row>
    <row r="5035" spans="1:231" x14ac:dyDescent="0.25">
      <c r="A5035" s="127">
        <v>45693</v>
      </c>
      <c r="B5035" s="24" t="s">
        <v>212</v>
      </c>
      <c r="C5035" s="21">
        <f t="shared" si="82"/>
        <v>-225.61500000000001</v>
      </c>
      <c r="AN5035" s="74">
        <v>-8.7550000000000008</v>
      </c>
      <c r="AW5035" s="74">
        <v>-15.975</v>
      </c>
      <c r="BI5035" s="106">
        <v>-35.869999999999997</v>
      </c>
      <c r="BO5035" s="74">
        <v>-34.045000000000002</v>
      </c>
      <c r="BU5035" s="106">
        <v>-28.91</v>
      </c>
      <c r="CA5035" s="106">
        <v>-34.055</v>
      </c>
      <c r="CG5035" s="106">
        <v>-33.119999999999997</v>
      </c>
      <c r="CM5035" s="74">
        <v>-34.884999999999998</v>
      </c>
    </row>
    <row r="5036" spans="1:231" x14ac:dyDescent="0.25">
      <c r="A5036" s="127">
        <v>45693</v>
      </c>
      <c r="B5036" s="24" t="s">
        <v>33</v>
      </c>
      <c r="C5036" s="21">
        <f t="shared" si="82"/>
        <v>-15.285</v>
      </c>
      <c r="AJ5036" s="163">
        <v>-3</v>
      </c>
      <c r="BI5036" s="106">
        <v>-12.285</v>
      </c>
    </row>
    <row r="5037" spans="1:231" x14ac:dyDescent="0.25">
      <c r="A5037" s="127">
        <v>45694</v>
      </c>
      <c r="B5037" s="24" t="s">
        <v>169</v>
      </c>
      <c r="C5037" s="21">
        <f t="shared" si="82"/>
        <v>-43.84</v>
      </c>
      <c r="G5037" s="145">
        <v>-43.84</v>
      </c>
    </row>
    <row r="5038" spans="1:231" x14ac:dyDescent="0.25">
      <c r="A5038" s="127">
        <v>45694</v>
      </c>
      <c r="B5038" s="24" t="s">
        <v>213</v>
      </c>
      <c r="C5038" s="21">
        <f t="shared" si="82"/>
        <v>-46.704999999999998</v>
      </c>
      <c r="BI5038" s="106">
        <f>-8.13-7.225-7.095</f>
        <v>-22.45</v>
      </c>
      <c r="CG5038" s="106">
        <f>-7.045-8.805-8.405</f>
        <v>-24.254999999999999</v>
      </c>
    </row>
    <row r="5039" spans="1:231" x14ac:dyDescent="0.25">
      <c r="A5039" s="127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27">
        <v>45694</v>
      </c>
      <c r="B5040" s="24" t="s">
        <v>184</v>
      </c>
      <c r="C5040" s="21">
        <f t="shared" si="82"/>
        <v>-110.315</v>
      </c>
      <c r="P5040" s="106">
        <v>-8.4649999999999999</v>
      </c>
      <c r="AC5040" s="74">
        <v>-8.6050000000000004</v>
      </c>
      <c r="AW5040" s="74">
        <v>-8.1150000000000002</v>
      </c>
      <c r="BI5040" s="106">
        <v>-14.935</v>
      </c>
      <c r="BU5040" s="106">
        <v>-14.73</v>
      </c>
      <c r="CA5040" s="106">
        <v>-14.93</v>
      </c>
      <c r="CG5040" s="106">
        <v>-8.7100000000000009</v>
      </c>
      <c r="CM5040" s="74">
        <v>-14.984999999999999</v>
      </c>
      <c r="CS5040" s="74">
        <v>-16.84</v>
      </c>
    </row>
    <row r="5041" spans="1:216" x14ac:dyDescent="0.25">
      <c r="A5041" s="127">
        <v>45695</v>
      </c>
      <c r="B5041" s="24" t="s">
        <v>213</v>
      </c>
      <c r="C5041" s="21">
        <f t="shared" ref="C5041:C5104" si="83">SUM(D5041:JT5041)</f>
        <v>-16.600000000000001</v>
      </c>
      <c r="BO5041" s="74">
        <v>-16.600000000000001</v>
      </c>
    </row>
    <row r="5042" spans="1:216" x14ac:dyDescent="0.25">
      <c r="A5042" s="127">
        <v>45695</v>
      </c>
      <c r="B5042" s="24" t="s">
        <v>139</v>
      </c>
      <c r="C5042" s="21">
        <f t="shared" si="83"/>
        <v>-9.27</v>
      </c>
      <c r="BU5042" s="106">
        <v>-9.27</v>
      </c>
    </row>
    <row r="5043" spans="1:216" x14ac:dyDescent="0.25">
      <c r="A5043" s="127">
        <v>45695</v>
      </c>
      <c r="B5043" s="24" t="s">
        <v>127</v>
      </c>
      <c r="C5043" s="21">
        <f t="shared" si="83"/>
        <v>-15.494999999999999</v>
      </c>
      <c r="BI5043" s="106">
        <v>-7.5650000000000004</v>
      </c>
      <c r="BO5043" s="74">
        <v>-7.93</v>
      </c>
    </row>
    <row r="5044" spans="1:216" x14ac:dyDescent="0.25">
      <c r="A5044" s="127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106">
        <v>-7.2350000000000003</v>
      </c>
      <c r="BU5044" s="106">
        <v>-7.0549999999999997</v>
      </c>
      <c r="CA5044" s="106">
        <v>-8.2249999999999996</v>
      </c>
    </row>
    <row r="5045" spans="1:216" x14ac:dyDescent="0.25">
      <c r="A5045" s="127">
        <v>45695</v>
      </c>
      <c r="B5045" s="24" t="s">
        <v>138</v>
      </c>
      <c r="C5045" s="21">
        <f t="shared" si="83"/>
        <v>-16.785</v>
      </c>
      <c r="AR5045" s="74">
        <v>-16.785</v>
      </c>
    </row>
    <row r="5046" spans="1:216" x14ac:dyDescent="0.25">
      <c r="A5046" s="127">
        <v>45696</v>
      </c>
      <c r="B5046" s="24" t="s">
        <v>113</v>
      </c>
      <c r="C5046" s="21">
        <f t="shared" si="83"/>
        <v>758.6</v>
      </c>
      <c r="BC5046" s="74">
        <v>67.95</v>
      </c>
      <c r="BI5046" s="106">
        <v>62.805</v>
      </c>
      <c r="BO5046" s="74">
        <v>97.49</v>
      </c>
      <c r="BU5046" s="106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27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27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74">
        <v>-65.25</v>
      </c>
      <c r="BI5048" s="106">
        <v>-31.055</v>
      </c>
      <c r="BU5048" s="106">
        <v>-59.784999999999997</v>
      </c>
      <c r="CG5048" s="106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27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27">
        <v>45699</v>
      </c>
      <c r="B5050" s="24" t="s">
        <v>188</v>
      </c>
      <c r="C5050" s="21">
        <f t="shared" si="83"/>
        <v>-16.504999999999999</v>
      </c>
      <c r="BC5050" s="74">
        <v>-8.3699999999999992</v>
      </c>
      <c r="BO5050" s="74">
        <v>-8.1349999999999998</v>
      </c>
    </row>
    <row r="5051" spans="1:216" x14ac:dyDescent="0.25">
      <c r="A5051" s="127">
        <v>45699</v>
      </c>
      <c r="B5051" s="24" t="s">
        <v>33</v>
      </c>
      <c r="C5051" s="21">
        <f t="shared" si="83"/>
        <v>-15.865</v>
      </c>
      <c r="AW5051" s="74">
        <v>-8.16</v>
      </c>
      <c r="BU5051" s="106">
        <v>-7.7050000000000001</v>
      </c>
    </row>
    <row r="5052" spans="1:216" x14ac:dyDescent="0.25">
      <c r="A5052" s="127">
        <v>45699</v>
      </c>
      <c r="B5052" s="24" t="s">
        <v>192</v>
      </c>
      <c r="C5052" s="21">
        <f t="shared" si="83"/>
        <v>-24.84</v>
      </c>
      <c r="BC5052" s="74">
        <v>-8.7200000000000006</v>
      </c>
      <c r="BU5052" s="106">
        <v>-8.0150000000000006</v>
      </c>
      <c r="CA5052" s="106">
        <v>-8.1050000000000004</v>
      </c>
    </row>
    <row r="5053" spans="1:216" x14ac:dyDescent="0.25">
      <c r="A5053" s="127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74">
        <v>-8.2100000000000009</v>
      </c>
      <c r="BU5053" s="106">
        <v>-7.54</v>
      </c>
    </row>
    <row r="5054" spans="1:216" x14ac:dyDescent="0.25">
      <c r="A5054" s="127">
        <v>45699</v>
      </c>
      <c r="B5054" s="24" t="s">
        <v>17</v>
      </c>
      <c r="C5054" s="21">
        <f t="shared" si="83"/>
        <v>-32.024999999999999</v>
      </c>
      <c r="BC5054" s="74">
        <v>-9.0150000000000006</v>
      </c>
      <c r="BI5054" s="106">
        <v>-7.85</v>
      </c>
      <c r="BO5054" s="74">
        <v>-7.98</v>
      </c>
      <c r="BU5054" s="106">
        <v>-7.18</v>
      </c>
    </row>
    <row r="5055" spans="1:216" x14ac:dyDescent="0.25">
      <c r="A5055" s="127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27">
        <v>45700</v>
      </c>
      <c r="B5056" s="24" t="s">
        <v>137</v>
      </c>
      <c r="C5056" s="21">
        <f t="shared" si="83"/>
        <v>-16.805</v>
      </c>
      <c r="BO5056" s="74">
        <v>-8.23</v>
      </c>
      <c r="BU5056" s="106">
        <v>-8.5749999999999993</v>
      </c>
    </row>
    <row r="5057" spans="1:233" x14ac:dyDescent="0.25">
      <c r="A5057" s="127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74">
        <v>-8.44</v>
      </c>
      <c r="AW5057" s="74">
        <v>-8.1549999999999994</v>
      </c>
      <c r="BC5057" s="74">
        <v>-25.074999999999999</v>
      </c>
      <c r="CG5057" s="106">
        <v>-8.67</v>
      </c>
      <c r="CM5057" s="74">
        <v>-6.96</v>
      </c>
      <c r="CS5057" s="74">
        <v>-8.44</v>
      </c>
    </row>
    <row r="5058" spans="1:233" x14ac:dyDescent="0.25">
      <c r="A5058" s="127">
        <v>45701</v>
      </c>
      <c r="B5058" s="24" t="s">
        <v>202</v>
      </c>
      <c r="C5058" s="21">
        <f t="shared" si="83"/>
        <v>-9.2050000000000001</v>
      </c>
      <c r="E5058" s="145">
        <v>-9.2050000000000001</v>
      </c>
    </row>
    <row r="5059" spans="1:233" x14ac:dyDescent="0.25">
      <c r="A5059" s="127">
        <v>45701</v>
      </c>
      <c r="B5059" s="24" t="s">
        <v>48</v>
      </c>
      <c r="C5059" s="21">
        <f t="shared" si="83"/>
        <v>-82.805000000000007</v>
      </c>
      <c r="BO5059" s="74">
        <v>-16.41</v>
      </c>
      <c r="EG5059" s="74">
        <v>-66.394999999999996</v>
      </c>
    </row>
    <row r="5060" spans="1:233" x14ac:dyDescent="0.25">
      <c r="A5060" s="127">
        <v>45701</v>
      </c>
      <c r="B5060" s="24" t="s">
        <v>218</v>
      </c>
      <c r="C5060" s="21">
        <f t="shared" si="83"/>
        <v>-23.42</v>
      </c>
      <c r="AN5060" s="74">
        <v>-8.7650000000000006</v>
      </c>
      <c r="BU5060" s="106">
        <v>-14.945</v>
      </c>
      <c r="CA5060" s="106">
        <v>-7.94</v>
      </c>
      <c r="CS5060" s="74">
        <v>-16.809999999999999</v>
      </c>
      <c r="DA5060" s="126">
        <v>8.0500000000000007</v>
      </c>
      <c r="DG5060" s="126">
        <v>16.989999999999998</v>
      </c>
    </row>
    <row r="5061" spans="1:233" x14ac:dyDescent="0.25">
      <c r="A5061" s="127">
        <v>45702</v>
      </c>
      <c r="B5061" s="24" t="s">
        <v>139</v>
      </c>
      <c r="C5061" s="21">
        <f t="shared" si="83"/>
        <v>-16.135000000000002</v>
      </c>
      <c r="CY5061" s="74">
        <v>-16.135000000000002</v>
      </c>
    </row>
    <row r="5062" spans="1:233" x14ac:dyDescent="0.25">
      <c r="A5062" s="127">
        <v>45702</v>
      </c>
      <c r="B5062" s="24" t="s">
        <v>212</v>
      </c>
      <c r="C5062" s="21">
        <f t="shared" si="83"/>
        <v>-16.13</v>
      </c>
      <c r="CY5062" s="74">
        <v>-16.13</v>
      </c>
    </row>
    <row r="5063" spans="1:233" x14ac:dyDescent="0.25">
      <c r="A5063" s="127">
        <v>45702</v>
      </c>
      <c r="B5063" s="24" t="s">
        <v>25</v>
      </c>
      <c r="C5063" s="21">
        <f t="shared" si="83"/>
        <v>-8.375</v>
      </c>
      <c r="BC5063" s="74">
        <v>-8.375</v>
      </c>
    </row>
    <row r="5064" spans="1:233" x14ac:dyDescent="0.25">
      <c r="A5064" s="127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27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27">
        <v>45703</v>
      </c>
      <c r="B5066" s="24" t="s">
        <v>213</v>
      </c>
      <c r="C5066" s="21">
        <f t="shared" si="83"/>
        <v>-55.295000000000002</v>
      </c>
      <c r="BI5066" s="106">
        <v>-15.88</v>
      </c>
      <c r="BO5066" s="74">
        <v>-15.51</v>
      </c>
      <c r="BU5066" s="106">
        <v>-14.835000000000001</v>
      </c>
      <c r="CK5066" s="42">
        <v>-9.07</v>
      </c>
    </row>
    <row r="5067" spans="1:233" x14ac:dyDescent="0.25">
      <c r="A5067" s="127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27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27">
        <v>45706</v>
      </c>
      <c r="B5069" s="24" t="s">
        <v>197</v>
      </c>
      <c r="C5069" s="21">
        <f t="shared" si="83"/>
        <v>-79.569999999999993</v>
      </c>
      <c r="BU5069" s="106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27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27">
        <v>45706</v>
      </c>
      <c r="B5071" s="24" t="s">
        <v>152</v>
      </c>
      <c r="C5071" s="21">
        <f t="shared" si="83"/>
        <v>-197.875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27">
        <v>45706</v>
      </c>
      <c r="B5072" s="24" t="s">
        <v>20</v>
      </c>
      <c r="C5072" s="21">
        <f t="shared" si="83"/>
        <v>-17.04</v>
      </c>
      <c r="BI5072" s="106">
        <v>-8.02</v>
      </c>
      <c r="CK5072" s="42">
        <v>-9.02</v>
      </c>
    </row>
    <row r="5073" spans="1:242" x14ac:dyDescent="0.25">
      <c r="A5073" s="127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27">
        <v>45706</v>
      </c>
      <c r="B5074" s="24" t="s">
        <v>75</v>
      </c>
      <c r="C5074" s="21">
        <f t="shared" si="83"/>
        <v>-17.149999999999999</v>
      </c>
      <c r="BU5074" s="106">
        <v>-8.6850000000000005</v>
      </c>
      <c r="BZ5074" s="69">
        <v>-8.4649999999999999</v>
      </c>
    </row>
    <row r="5075" spans="1:242" x14ac:dyDescent="0.25">
      <c r="A5075" s="127">
        <v>45706</v>
      </c>
      <c r="B5075" s="24" t="s">
        <v>218</v>
      </c>
      <c r="C5075" s="21">
        <f t="shared" si="83"/>
        <v>-42.1</v>
      </c>
      <c r="DU5075" s="106">
        <v>-33.049999999999997</v>
      </c>
      <c r="IH5075" s="34">
        <v>-9.0500000000000007</v>
      </c>
    </row>
    <row r="5076" spans="1:242" x14ac:dyDescent="0.25">
      <c r="A5076" s="127">
        <v>45707</v>
      </c>
      <c r="B5076" s="24" t="s">
        <v>113</v>
      </c>
      <c r="C5076" s="21">
        <f t="shared" si="83"/>
        <v>744.62</v>
      </c>
      <c r="BC5076" s="74">
        <v>33.534999999999997</v>
      </c>
      <c r="CA5076" s="106">
        <v>73.075000000000003</v>
      </c>
      <c r="CG5076" s="106">
        <v>102.965</v>
      </c>
      <c r="CM5076" s="74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0">
        <v>102.13</v>
      </c>
    </row>
    <row r="5077" spans="1:242" x14ac:dyDescent="0.25">
      <c r="A5077" s="127">
        <v>45707</v>
      </c>
      <c r="B5077" s="24" t="s">
        <v>113</v>
      </c>
      <c r="C5077" s="21">
        <f t="shared" si="83"/>
        <v>162.80000000000001</v>
      </c>
      <c r="BC5077" s="74">
        <v>32</v>
      </c>
      <c r="BI5077" s="106">
        <v>33.49</v>
      </c>
      <c r="BO5077" s="74">
        <v>49.07</v>
      </c>
      <c r="BU5077" s="106">
        <v>48.24</v>
      </c>
    </row>
    <row r="5078" spans="1:242" x14ac:dyDescent="0.25">
      <c r="A5078" s="127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27">
        <v>45707</v>
      </c>
      <c r="B5079" s="24" t="s">
        <v>133</v>
      </c>
      <c r="C5079" s="21">
        <f t="shared" si="83"/>
        <v>-78.644999999999996</v>
      </c>
      <c r="BC5079" s="74">
        <v>-15.99</v>
      </c>
      <c r="BO5079" s="74">
        <v>-16.29</v>
      </c>
      <c r="BU5079" s="106">
        <v>-13.785</v>
      </c>
      <c r="CA5079" s="106">
        <v>-15.395</v>
      </c>
      <c r="CG5079" s="106">
        <v>-17.184999999999999</v>
      </c>
    </row>
    <row r="5080" spans="1:242" x14ac:dyDescent="0.25">
      <c r="A5080" s="127">
        <v>45707</v>
      </c>
      <c r="B5080" s="24" t="s">
        <v>31</v>
      </c>
      <c r="C5080" s="21">
        <f t="shared" si="83"/>
        <v>-5.0000000000000001E-3</v>
      </c>
      <c r="AW5080" s="74">
        <v>-16.245000000000001</v>
      </c>
      <c r="HY5080" s="38">
        <v>16.239999999999998</v>
      </c>
    </row>
    <row r="5081" spans="1:242" x14ac:dyDescent="0.25">
      <c r="A5081" s="127">
        <v>45707</v>
      </c>
      <c r="B5081" s="24" t="s">
        <v>193</v>
      </c>
      <c r="C5081" s="21">
        <f t="shared" si="83"/>
        <v>-32.68</v>
      </c>
      <c r="CA5081" s="106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27">
        <v>45707</v>
      </c>
      <c r="B5082" s="24" t="s">
        <v>162</v>
      </c>
      <c r="C5082" s="21">
        <f t="shared" si="83"/>
        <v>-33.534999999999997</v>
      </c>
      <c r="BC5082" s="74">
        <v>-33.534999999999997</v>
      </c>
    </row>
    <row r="5083" spans="1:242" x14ac:dyDescent="0.25">
      <c r="A5083" s="127">
        <v>45708</v>
      </c>
      <c r="B5083" s="24" t="s">
        <v>44</v>
      </c>
      <c r="C5083" s="21">
        <f t="shared" si="83"/>
        <v>-225.46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-16.559999999999999</v>
      </c>
    </row>
    <row r="5084" spans="1:242" x14ac:dyDescent="0.25">
      <c r="A5084" s="127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27">
        <v>45709</v>
      </c>
      <c r="B5085" s="24" t="s">
        <v>212</v>
      </c>
      <c r="C5085" s="21">
        <f t="shared" si="83"/>
        <v>-16.010000000000002</v>
      </c>
      <c r="BC5085" s="74">
        <v>-16.010000000000002</v>
      </c>
    </row>
    <row r="5086" spans="1:242" x14ac:dyDescent="0.25">
      <c r="A5086" s="127">
        <v>45709</v>
      </c>
      <c r="B5086" s="24" t="s">
        <v>20</v>
      </c>
      <c r="C5086" s="21">
        <f t="shared" si="83"/>
        <v>-16.405000000000001</v>
      </c>
      <c r="AW5086" s="74">
        <v>-8.2149999999999999</v>
      </c>
      <c r="BO5086" s="74">
        <v>-8.19</v>
      </c>
    </row>
    <row r="5087" spans="1:242" x14ac:dyDescent="0.25">
      <c r="A5087" s="127">
        <v>45709</v>
      </c>
      <c r="B5087" s="24" t="s">
        <v>137</v>
      </c>
      <c r="C5087" s="21">
        <f t="shared" si="83"/>
        <v>-24.125</v>
      </c>
      <c r="AW5087" s="74">
        <v>-8.16</v>
      </c>
      <c r="BO5087" s="74">
        <v>-8.2349999999999994</v>
      </c>
      <c r="CA5087" s="106">
        <v>-7.73</v>
      </c>
    </row>
    <row r="5088" spans="1:242" x14ac:dyDescent="0.25">
      <c r="A5088" s="127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27">
        <v>45709</v>
      </c>
      <c r="B5089" s="24" t="s">
        <v>31</v>
      </c>
      <c r="C5089" s="21">
        <f t="shared" si="83"/>
        <v>-16.07</v>
      </c>
      <c r="AV5089" s="69">
        <v>-4.5</v>
      </c>
      <c r="AW5089" s="74">
        <f>-2.58-2.6</f>
        <v>-5.18</v>
      </c>
      <c r="AZ5089" s="115">
        <v>-6.39</v>
      </c>
    </row>
    <row r="5090" spans="1:131" x14ac:dyDescent="0.25">
      <c r="A5090" s="127">
        <v>45709</v>
      </c>
      <c r="B5090" s="24" t="s">
        <v>218</v>
      </c>
      <c r="C5090" s="21">
        <f t="shared" si="83"/>
        <v>-32.465000000000003</v>
      </c>
      <c r="AR5090" s="74">
        <v>-8.3699999999999992</v>
      </c>
      <c r="AW5090" s="74">
        <f>-8.22-8.195</f>
        <v>-16.414999999999999</v>
      </c>
      <c r="CA5090" s="106">
        <v>-7.68</v>
      </c>
    </row>
    <row r="5091" spans="1:131" x14ac:dyDescent="0.25">
      <c r="A5091" s="127">
        <v>45712</v>
      </c>
      <c r="B5091" s="24" t="s">
        <v>115</v>
      </c>
      <c r="C5091" s="21">
        <f t="shared" si="83"/>
        <v>64.81</v>
      </c>
      <c r="E5091" s="145">
        <v>64.81</v>
      </c>
    </row>
    <row r="5092" spans="1:131" x14ac:dyDescent="0.25">
      <c r="A5092" s="127">
        <v>45713</v>
      </c>
      <c r="B5092" s="24" t="s">
        <v>79</v>
      </c>
      <c r="C5092" s="21">
        <f t="shared" si="83"/>
        <v>-17.079999999999998</v>
      </c>
      <c r="BO5092" s="74">
        <v>-17.079999999999998</v>
      </c>
    </row>
    <row r="5093" spans="1:131" x14ac:dyDescent="0.25">
      <c r="A5093" s="127">
        <v>45713</v>
      </c>
      <c r="B5093" s="24" t="s">
        <v>75</v>
      </c>
      <c r="C5093" s="21">
        <f t="shared" si="83"/>
        <v>-8.08</v>
      </c>
      <c r="BO5093" s="74">
        <v>-8.08</v>
      </c>
    </row>
    <row r="5094" spans="1:131" x14ac:dyDescent="0.25">
      <c r="A5094" s="127">
        <v>45713</v>
      </c>
      <c r="B5094" s="24" t="s">
        <v>139</v>
      </c>
      <c r="C5094" s="21">
        <f t="shared" si="83"/>
        <v>-50.354999999999997</v>
      </c>
      <c r="AN5094" s="74">
        <v>-8.7750000000000004</v>
      </c>
      <c r="BU5094" s="106">
        <v>-8.4049999999999994</v>
      </c>
      <c r="CA5094" s="106">
        <v>-7.8</v>
      </c>
      <c r="CG5094" s="106">
        <v>-8.77</v>
      </c>
      <c r="CM5094" s="74">
        <v>-8.6</v>
      </c>
      <c r="CS5094" s="74">
        <v>-8.0050000000000008</v>
      </c>
    </row>
    <row r="5095" spans="1:131" x14ac:dyDescent="0.25">
      <c r="A5095" s="127">
        <v>45713</v>
      </c>
      <c r="B5095" s="24" t="s">
        <v>202</v>
      </c>
      <c r="C5095" s="21">
        <f t="shared" si="83"/>
        <v>-31.24</v>
      </c>
      <c r="E5095" s="145">
        <v>-31.24</v>
      </c>
    </row>
    <row r="5096" spans="1:131" x14ac:dyDescent="0.25">
      <c r="A5096" s="127">
        <v>45714</v>
      </c>
      <c r="B5096" s="24" t="s">
        <v>33</v>
      </c>
      <c r="C5096" s="21">
        <f t="shared" si="83"/>
        <v>-7.62</v>
      </c>
      <c r="BO5096" s="74">
        <v>-7.62</v>
      </c>
    </row>
    <row r="5097" spans="1:131" x14ac:dyDescent="0.25">
      <c r="A5097" s="127">
        <v>45714</v>
      </c>
      <c r="B5097" s="24" t="s">
        <v>213</v>
      </c>
      <c r="C5097" s="21">
        <f t="shared" si="83"/>
        <v>-8.3849999999999998</v>
      </c>
      <c r="BI5097" s="106">
        <v>-8.3849999999999998</v>
      </c>
    </row>
    <row r="5098" spans="1:131" x14ac:dyDescent="0.25">
      <c r="A5098" s="127">
        <v>45714</v>
      </c>
      <c r="B5098" s="24" t="s">
        <v>213</v>
      </c>
      <c r="C5098" s="21">
        <f t="shared" si="83"/>
        <v>-23.184999999999999</v>
      </c>
      <c r="CA5098" s="106">
        <f>-8.045-7.8-7.34</f>
        <v>-23.184999999999999</v>
      </c>
    </row>
    <row r="5099" spans="1:131" x14ac:dyDescent="0.25">
      <c r="A5099" s="127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27">
        <v>45715</v>
      </c>
      <c r="B5100" s="24" t="s">
        <v>146</v>
      </c>
      <c r="C5100" s="21">
        <f t="shared" si="83"/>
        <v>610.21500000000003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27">
        <v>45715</v>
      </c>
      <c r="B5101" s="24" t="s">
        <v>184</v>
      </c>
      <c r="C5101" s="21">
        <f t="shared" si="83"/>
        <v>-133.82</v>
      </c>
      <c r="AN5101" s="74">
        <v>-8.42</v>
      </c>
      <c r="AR5101" s="74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74">
        <v>-8.69</v>
      </c>
      <c r="CS5101" s="74">
        <v>-8.3650000000000002</v>
      </c>
    </row>
    <row r="5102" spans="1:131" x14ac:dyDescent="0.25">
      <c r="A5102" s="127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27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27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27">
        <v>45715</v>
      </c>
      <c r="B5105" s="24" t="s">
        <v>192</v>
      </c>
      <c r="C5105" s="21">
        <f t="shared" ref="C5105:C5168" si="84">SUM(D5105:JT5105)</f>
        <v>-67.165000000000006</v>
      </c>
      <c r="DK5105" s="74">
        <v>-67.165000000000006</v>
      </c>
    </row>
    <row r="5106" spans="1:237" x14ac:dyDescent="0.25">
      <c r="A5106" s="127">
        <v>45715</v>
      </c>
      <c r="B5106" s="24" t="s">
        <v>169</v>
      </c>
      <c r="C5106" s="21">
        <f t="shared" si="84"/>
        <v>-16.725000000000001</v>
      </c>
      <c r="D5106" s="145">
        <v>-16.725000000000001</v>
      </c>
    </row>
    <row r="5107" spans="1:237" x14ac:dyDescent="0.25">
      <c r="A5107" s="127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27">
        <v>45716</v>
      </c>
      <c r="B5108" s="24" t="s">
        <v>39</v>
      </c>
      <c r="C5108" s="21">
        <f t="shared" si="84"/>
        <v>-49.74</v>
      </c>
      <c r="AW5108" s="74">
        <v>-8.16</v>
      </c>
      <c r="BI5108" s="106">
        <v>-8.36</v>
      </c>
      <c r="BO5108" s="74">
        <v>-8.1850000000000005</v>
      </c>
      <c r="CG5108" s="106">
        <v>-7.73</v>
      </c>
      <c r="CM5108" s="74">
        <f>-8.595-8.71</f>
        <v>-17.305</v>
      </c>
    </row>
    <row r="5109" spans="1:237" x14ac:dyDescent="0.25">
      <c r="A5109" s="127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27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27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106">
        <v>-8.48</v>
      </c>
    </row>
    <row r="5112" spans="1:237" x14ac:dyDescent="0.25">
      <c r="A5112" s="127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27">
        <v>45721</v>
      </c>
      <c r="B5113" s="24" t="s">
        <v>218</v>
      </c>
      <c r="C5113" s="21">
        <f t="shared" si="84"/>
        <v>-41.994999999999997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27">
        <v>45721</v>
      </c>
      <c r="B5114" s="24" t="s">
        <v>17</v>
      </c>
      <c r="C5114" s="21">
        <f t="shared" si="84"/>
        <v>-16.77</v>
      </c>
      <c r="AN5114" s="74">
        <v>-8.52</v>
      </c>
      <c r="AR5114" s="74">
        <v>-8.25</v>
      </c>
    </row>
    <row r="5115" spans="1:237" x14ac:dyDescent="0.25">
      <c r="A5115" s="127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27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27">
        <v>45721</v>
      </c>
      <c r="B5117" s="24" t="s">
        <v>197</v>
      </c>
      <c r="C5117" s="21">
        <f t="shared" si="84"/>
        <v>-115.485</v>
      </c>
      <c r="BB5117" s="69">
        <v>-8.5350000000000001</v>
      </c>
      <c r="BO5117" s="74">
        <v>-8.4049999999999994</v>
      </c>
      <c r="BU5117" s="106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27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27">
        <v>45722</v>
      </c>
      <c r="B5119" s="24" t="s">
        <v>218</v>
      </c>
      <c r="C5119" s="21">
        <f t="shared" si="84"/>
        <v>-8.59</v>
      </c>
      <c r="BU5119" s="106">
        <v>-8.59</v>
      </c>
    </row>
    <row r="5120" spans="1:237" x14ac:dyDescent="0.25">
      <c r="A5120" s="127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27">
        <v>45723</v>
      </c>
      <c r="B5121" s="24" t="s">
        <v>20</v>
      </c>
      <c r="C5121" s="21">
        <f t="shared" si="84"/>
        <v>-25.385000000000002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27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27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27">
        <v>45724</v>
      </c>
      <c r="B5124" s="24" t="s">
        <v>113</v>
      </c>
      <c r="C5124" s="21">
        <f t="shared" si="84"/>
        <v>693.26499999999999</v>
      </c>
      <c r="CA5124" s="106">
        <v>117.285</v>
      </c>
      <c r="CM5124" s="74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27">
        <v>45726</v>
      </c>
      <c r="B5125" s="24" t="s">
        <v>29</v>
      </c>
      <c r="C5125" s="21">
        <f t="shared" si="84"/>
        <v>-16.86</v>
      </c>
      <c r="BB5125" s="69">
        <v>-8.48</v>
      </c>
      <c r="BI5125" s="106">
        <v>-8.3800000000000008</v>
      </c>
    </row>
    <row r="5126" spans="1:199" x14ac:dyDescent="0.25">
      <c r="A5126" s="127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27">
        <v>45726</v>
      </c>
      <c r="B5127" s="24" t="s">
        <v>133</v>
      </c>
      <c r="C5127" s="21">
        <f t="shared" si="84"/>
        <v>-196.89500000000001</v>
      </c>
      <c r="AN5127" s="74">
        <v>-17.22</v>
      </c>
      <c r="BB5127" s="69">
        <v>-34.14</v>
      </c>
      <c r="CA5127" s="106">
        <v>-29.055</v>
      </c>
      <c r="CF5127" s="69">
        <v>-33.64</v>
      </c>
      <c r="CM5127" s="74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27">
        <v>45726</v>
      </c>
      <c r="B5128" s="24" t="s">
        <v>184</v>
      </c>
      <c r="C5128" s="21">
        <f t="shared" si="84"/>
        <v>-89.314999999999998</v>
      </c>
      <c r="AR5128" s="74">
        <v>-8.3450000000000006</v>
      </c>
      <c r="AW5128" s="74">
        <v>-8.0950000000000006</v>
      </c>
      <c r="BU5128" s="106">
        <v>-15.795</v>
      </c>
      <c r="CA5128" s="106">
        <v>-7.54</v>
      </c>
      <c r="CG5128" s="106">
        <v>-18.585000000000001</v>
      </c>
      <c r="CM5128" s="74">
        <v>-14.43</v>
      </c>
      <c r="CR5128" s="69">
        <v>-8.5950000000000006</v>
      </c>
      <c r="CS5128" s="74">
        <v>-7.93</v>
      </c>
    </row>
    <row r="5129" spans="1:199" x14ac:dyDescent="0.25">
      <c r="A5129" s="127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27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27">
        <v>45727</v>
      </c>
      <c r="B5131" s="24" t="s">
        <v>138</v>
      </c>
      <c r="C5131" s="21">
        <f t="shared" si="84"/>
        <v>-16.125</v>
      </c>
      <c r="CG5131" s="106">
        <v>-8.2349999999999994</v>
      </c>
      <c r="CM5131" s="74">
        <v>-7.89</v>
      </c>
    </row>
    <row r="5132" spans="1:199" x14ac:dyDescent="0.25">
      <c r="A5132" s="127">
        <v>45727</v>
      </c>
      <c r="B5132" s="24" t="s">
        <v>24</v>
      </c>
      <c r="C5132" s="21">
        <f t="shared" si="84"/>
        <v>-16.785</v>
      </c>
      <c r="BH5132" s="69">
        <v>-8.42</v>
      </c>
      <c r="BI5132" s="106">
        <v>-8.3650000000000002</v>
      </c>
    </row>
    <row r="5133" spans="1:199" x14ac:dyDescent="0.25">
      <c r="A5133" s="127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27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106">
        <v>-14.715</v>
      </c>
      <c r="CR5134" s="69">
        <v>-17.2</v>
      </c>
    </row>
    <row r="5135" spans="1:199" x14ac:dyDescent="0.25">
      <c r="A5135" s="127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27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74">
        <v>-1.7</v>
      </c>
    </row>
    <row r="5137" spans="1:242" x14ac:dyDescent="0.25">
      <c r="A5137" s="127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27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27">
        <v>45733</v>
      </c>
      <c r="B5139" s="24" t="s">
        <v>222</v>
      </c>
      <c r="C5139" s="21">
        <f t="shared" si="84"/>
        <v>-16.754999999999999</v>
      </c>
      <c r="CG5139" s="106">
        <v>-8.5150000000000006</v>
      </c>
      <c r="CM5139" s="74">
        <v>-8.24</v>
      </c>
    </row>
    <row r="5140" spans="1:242" x14ac:dyDescent="0.25">
      <c r="A5140" s="127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27">
        <v>45734</v>
      </c>
      <c r="B5141" s="24" t="s">
        <v>184</v>
      </c>
      <c r="C5141" s="21">
        <f t="shared" si="84"/>
        <v>-132.52000000000001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106">
        <v>-14.805</v>
      </c>
      <c r="CG5141" s="106">
        <v>-9.2149999999999999</v>
      </c>
      <c r="CM5141" s="74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27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74">
        <v>-7.69</v>
      </c>
    </row>
    <row r="5143" spans="1:242" x14ac:dyDescent="0.25">
      <c r="A5143" s="127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74">
        <v>-9.1199999999999992</v>
      </c>
    </row>
    <row r="5144" spans="1:242" x14ac:dyDescent="0.25">
      <c r="A5144" s="127">
        <v>45734</v>
      </c>
      <c r="B5144" s="24" t="s">
        <v>193</v>
      </c>
      <c r="C5144" s="21">
        <f t="shared" si="84"/>
        <v>-32.67</v>
      </c>
      <c r="CA5144" s="106">
        <v>-7.48</v>
      </c>
      <c r="CM5144" s="74">
        <v>-7.98</v>
      </c>
      <c r="CR5144" s="69">
        <v>-8.6750000000000007</v>
      </c>
      <c r="CX5144" s="69">
        <v>-8.5350000000000001</v>
      </c>
    </row>
    <row r="5145" spans="1:242" x14ac:dyDescent="0.25">
      <c r="A5145" s="127">
        <v>45734</v>
      </c>
      <c r="B5145" s="24" t="s">
        <v>53</v>
      </c>
      <c r="C5145" s="21">
        <f t="shared" si="84"/>
        <v>-33.75</v>
      </c>
      <c r="ER5145" s="42">
        <f>-8.94-8.91-8.89</f>
        <v>-26.74</v>
      </c>
      <c r="EU5145" s="126">
        <v>-7.01</v>
      </c>
    </row>
    <row r="5146" spans="1:242" x14ac:dyDescent="0.25">
      <c r="A5146" s="127">
        <v>45734</v>
      </c>
      <c r="B5146" s="24" t="s">
        <v>75</v>
      </c>
      <c r="C5146" s="21">
        <f t="shared" si="84"/>
        <v>-12.715</v>
      </c>
      <c r="BU5146" s="106">
        <v>-5.4850000000000003</v>
      </c>
      <c r="CA5146" s="106">
        <v>-7.23</v>
      </c>
    </row>
    <row r="5147" spans="1:242" x14ac:dyDescent="0.25">
      <c r="A5147" s="127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27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27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27">
        <v>45735</v>
      </c>
      <c r="B5150" s="24" t="s">
        <v>115</v>
      </c>
      <c r="C5150" s="21">
        <f t="shared" si="84"/>
        <v>103.75</v>
      </c>
      <c r="D5150" s="145">
        <v>67.180000000000007</v>
      </c>
      <c r="E5150" s="145">
        <v>36.57</v>
      </c>
    </row>
    <row r="5151" spans="1:242" x14ac:dyDescent="0.25">
      <c r="A5151" s="127">
        <v>45736</v>
      </c>
      <c r="B5151" s="24" t="s">
        <v>140</v>
      </c>
      <c r="C5151" s="21">
        <f t="shared" si="84"/>
        <v>-67.650000000000006</v>
      </c>
      <c r="D5151" s="145">
        <f>-16.23-33.15</f>
        <v>-49.38</v>
      </c>
      <c r="E5151" s="145">
        <v>-18.27</v>
      </c>
    </row>
    <row r="5152" spans="1:242" x14ac:dyDescent="0.25">
      <c r="A5152" s="127">
        <v>45736</v>
      </c>
      <c r="B5152" s="24" t="s">
        <v>202</v>
      </c>
      <c r="C5152" s="21">
        <f t="shared" si="84"/>
        <v>-33.57</v>
      </c>
      <c r="E5152" s="145">
        <v>-33.57</v>
      </c>
    </row>
    <row r="5153" spans="1:137" x14ac:dyDescent="0.25">
      <c r="A5153" s="127">
        <v>45736</v>
      </c>
      <c r="B5153" s="24" t="s">
        <v>115</v>
      </c>
      <c r="C5153" s="21">
        <f t="shared" si="84"/>
        <v>70.034999999999997</v>
      </c>
      <c r="E5153" s="145">
        <v>37.880000000000003</v>
      </c>
      <c r="F5153" s="145">
        <v>32.155000000000001</v>
      </c>
    </row>
    <row r="5154" spans="1:137" x14ac:dyDescent="0.25">
      <c r="A5154" s="127">
        <v>45737</v>
      </c>
      <c r="B5154" s="24" t="s">
        <v>169</v>
      </c>
      <c r="C5154" s="21">
        <f t="shared" si="84"/>
        <v>-71.91</v>
      </c>
      <c r="D5154" s="145">
        <v>-34.03</v>
      </c>
      <c r="E5154" s="145">
        <v>-37.880000000000003</v>
      </c>
    </row>
    <row r="5155" spans="1:137" x14ac:dyDescent="0.25">
      <c r="A5155" s="127">
        <v>45737</v>
      </c>
      <c r="B5155" s="24" t="s">
        <v>20</v>
      </c>
      <c r="C5155" s="21">
        <f t="shared" si="84"/>
        <v>-8.5549999999999997</v>
      </c>
      <c r="CG5155" s="106">
        <v>-8.5549999999999997</v>
      </c>
    </row>
    <row r="5156" spans="1:137" x14ac:dyDescent="0.25">
      <c r="A5156" s="127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27">
        <v>45740</v>
      </c>
      <c r="B5157" s="24" t="s">
        <v>146</v>
      </c>
      <c r="C5157" s="21">
        <f t="shared" si="84"/>
        <v>610.99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27">
        <v>45740</v>
      </c>
      <c r="B5158" s="24" t="s">
        <v>218</v>
      </c>
      <c r="C5158" s="21">
        <f t="shared" si="84"/>
        <v>-74.364999999999995</v>
      </c>
      <c r="AV5158" s="69">
        <v>-25.69</v>
      </c>
      <c r="BB5158" s="69">
        <v>-8.4550000000000001</v>
      </c>
      <c r="BN5158" s="69">
        <v>-8.5050000000000008</v>
      </c>
      <c r="CA5158" s="106">
        <v>-14.695</v>
      </c>
      <c r="CF5158" s="69">
        <v>-8.41</v>
      </c>
      <c r="CL5158" s="69">
        <v>-8.61</v>
      </c>
    </row>
    <row r="5159" spans="1:137" x14ac:dyDescent="0.25">
      <c r="A5159" s="127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27">
        <v>45740</v>
      </c>
      <c r="B5160" s="24" t="s">
        <v>213</v>
      </c>
      <c r="C5160" s="21">
        <f t="shared" si="84"/>
        <v>-27.795000000000002</v>
      </c>
      <c r="CA5160" s="106">
        <v>-27.795000000000002</v>
      </c>
    </row>
    <row r="5161" spans="1:137" x14ac:dyDescent="0.25">
      <c r="A5161" s="127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27">
        <v>45741</v>
      </c>
      <c r="B5162" s="24" t="s">
        <v>20</v>
      </c>
      <c r="C5162" s="21">
        <f t="shared" si="84"/>
        <v>-42.27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27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27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27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27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27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27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27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27">
        <v>45744</v>
      </c>
      <c r="B5170" s="24" t="s">
        <v>197</v>
      </c>
      <c r="C5170" s="21">
        <f t="shared" si="85"/>
        <v>-84.355000000000004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27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27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74">
        <v>-8.2949999999999999</v>
      </c>
      <c r="DM5172" s="150">
        <v>-7.4</v>
      </c>
    </row>
    <row r="5173" spans="1:226" x14ac:dyDescent="0.25">
      <c r="A5173" s="127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27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27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27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27">
        <v>45754</v>
      </c>
      <c r="B5177" s="24" t="s">
        <v>169</v>
      </c>
      <c r="C5177" s="21">
        <f t="shared" si="85"/>
        <v>-32.155000000000001</v>
      </c>
      <c r="F5177" s="145">
        <v>-32.155000000000001</v>
      </c>
    </row>
    <row r="5178" spans="1:226" x14ac:dyDescent="0.25">
      <c r="A5178" s="127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27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27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27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27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27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27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27">
        <v>45755</v>
      </c>
      <c r="B5185" s="24" t="s">
        <v>138</v>
      </c>
      <c r="C5185" s="21">
        <f t="shared" si="85"/>
        <v>-64.754999999999995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1">
        <v>-13.95</v>
      </c>
    </row>
    <row r="5186" spans="1:199" x14ac:dyDescent="0.25">
      <c r="A5186" s="127">
        <v>45755</v>
      </c>
      <c r="B5186" s="24" t="s">
        <v>20</v>
      </c>
      <c r="C5186" s="21">
        <f t="shared" si="85"/>
        <v>-17.010000000000002</v>
      </c>
      <c r="BN5186" s="69">
        <v>-8.43</v>
      </c>
      <c r="BZ5186" s="69">
        <v>-8.58</v>
      </c>
    </row>
    <row r="5187" spans="1:199" x14ac:dyDescent="0.25">
      <c r="A5187" s="127">
        <v>45755</v>
      </c>
      <c r="B5187" s="24" t="s">
        <v>83</v>
      </c>
      <c r="C5187" s="21">
        <f t="shared" si="85"/>
        <v>1.4550000000000001</v>
      </c>
      <c r="V5187" s="74">
        <v>-32.585000000000001</v>
      </c>
      <c r="AW5187" s="74">
        <v>34.04</v>
      </c>
    </row>
    <row r="5188" spans="1:199" x14ac:dyDescent="0.25">
      <c r="A5188" s="127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27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-18.989999999999998</v>
      </c>
      <c r="DT5189" s="69">
        <v>-24.395</v>
      </c>
    </row>
    <row r="5190" spans="1:199" x14ac:dyDescent="0.25">
      <c r="A5190" s="127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27">
        <v>45758</v>
      </c>
      <c r="B5191" s="24" t="s">
        <v>113</v>
      </c>
      <c r="C5191" s="21">
        <f t="shared" si="85"/>
        <v>177.465</v>
      </c>
      <c r="GO5191" s="110">
        <v>177.465</v>
      </c>
    </row>
    <row r="5192" spans="1:199" x14ac:dyDescent="0.25">
      <c r="A5192" s="127">
        <v>45758</v>
      </c>
      <c r="B5192" s="24" t="s">
        <v>113</v>
      </c>
      <c r="C5192" s="21">
        <f t="shared" si="85"/>
        <v>195.44499999999999</v>
      </c>
      <c r="BC5192" s="74">
        <v>64.025000000000006</v>
      </c>
      <c r="CA5192" s="106">
        <v>67.89</v>
      </c>
      <c r="CG5192" s="106">
        <v>63.53</v>
      </c>
    </row>
    <row r="5193" spans="1:199" x14ac:dyDescent="0.25">
      <c r="A5193" s="127">
        <v>45758</v>
      </c>
      <c r="B5193" s="24" t="s">
        <v>113</v>
      </c>
      <c r="C5193" s="21">
        <f t="shared" si="85"/>
        <v>988.98</v>
      </c>
      <c r="Z5193" s="79">
        <v>110.14</v>
      </c>
      <c r="AR5193" s="74">
        <v>101.41500000000001</v>
      </c>
      <c r="AW5193" s="74">
        <v>99.504999999999995</v>
      </c>
      <c r="BI5193" s="106">
        <v>64.635000000000005</v>
      </c>
      <c r="BO5193" s="74">
        <v>96.974999999999994</v>
      </c>
      <c r="BU5193" s="106">
        <v>66.655000000000001</v>
      </c>
      <c r="CM5193" s="74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27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74">
        <v>-8.5399999999999991</v>
      </c>
      <c r="BC5194" s="74">
        <v>-8.0150000000000006</v>
      </c>
      <c r="BI5194" s="106">
        <v>-8.0500000000000007</v>
      </c>
      <c r="BO5194" s="74">
        <v>-8.0850000000000009</v>
      </c>
    </row>
    <row r="5195" spans="1:199" x14ac:dyDescent="0.25">
      <c r="A5195" s="127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27">
        <v>45758</v>
      </c>
      <c r="B5196" s="24" t="s">
        <v>188</v>
      </c>
      <c r="C5196" s="21">
        <f t="shared" si="85"/>
        <v>-23.96</v>
      </c>
      <c r="BI5196" s="106">
        <v>-8.14</v>
      </c>
      <c r="BO5196" s="74">
        <v>-8.08</v>
      </c>
      <c r="CG5196" s="106">
        <v>-7.74</v>
      </c>
    </row>
    <row r="5197" spans="1:199" x14ac:dyDescent="0.25">
      <c r="A5197" s="127">
        <v>45758</v>
      </c>
      <c r="B5197" s="24" t="s">
        <v>79</v>
      </c>
      <c r="C5197" s="21">
        <f t="shared" si="85"/>
        <v>-16.420000000000002</v>
      </c>
      <c r="AW5197" s="74">
        <v>-8.25</v>
      </c>
      <c r="BI5197" s="106">
        <v>-8.17</v>
      </c>
    </row>
    <row r="5198" spans="1:199" x14ac:dyDescent="0.25">
      <c r="A5198" s="127">
        <v>45758</v>
      </c>
      <c r="B5198" s="24" t="s">
        <v>75</v>
      </c>
      <c r="C5198" s="21">
        <f t="shared" si="85"/>
        <v>-40.99</v>
      </c>
      <c r="BI5198" s="106">
        <v>-8.0749999999999993</v>
      </c>
      <c r="BO5198" s="74">
        <v>-16.13</v>
      </c>
      <c r="BU5198" s="106">
        <v>-8.3249999999999993</v>
      </c>
      <c r="BZ5198" s="69">
        <v>-8.4600000000000009</v>
      </c>
    </row>
    <row r="5199" spans="1:199" x14ac:dyDescent="0.25">
      <c r="A5199" s="127">
        <v>45758</v>
      </c>
      <c r="B5199" s="24" t="s">
        <v>138</v>
      </c>
      <c r="C5199" s="21">
        <f t="shared" si="85"/>
        <v>-97.1</v>
      </c>
      <c r="AW5199" s="74">
        <v>-8.2200000000000006</v>
      </c>
      <c r="BI5199" s="106">
        <v>-24.135000000000002</v>
      </c>
      <c r="BO5199" s="74">
        <v>-32.325000000000003</v>
      </c>
      <c r="BU5199" s="106">
        <v>-16.66</v>
      </c>
      <c r="CY5199" s="74">
        <v>-7.2450000000000001</v>
      </c>
      <c r="DU5199" s="106">
        <v>-8.5150000000000006</v>
      </c>
    </row>
    <row r="5200" spans="1:199" x14ac:dyDescent="0.25">
      <c r="A5200" s="127">
        <v>45758</v>
      </c>
      <c r="B5200" s="24" t="s">
        <v>127</v>
      </c>
      <c r="C5200" s="21">
        <f t="shared" si="85"/>
        <v>-8.15</v>
      </c>
      <c r="AW5200" s="74">
        <v>-8.15</v>
      </c>
    </row>
    <row r="5201" spans="1:216" x14ac:dyDescent="0.25">
      <c r="A5201" s="127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27">
        <v>45758</v>
      </c>
      <c r="B5202" s="24" t="s">
        <v>213</v>
      </c>
      <c r="C5202" s="21">
        <f t="shared" si="85"/>
        <v>-8.34</v>
      </c>
      <c r="AW5202" s="74">
        <v>-8.34</v>
      </c>
    </row>
    <row r="5203" spans="1:216" x14ac:dyDescent="0.25">
      <c r="A5203" s="127">
        <v>45758</v>
      </c>
      <c r="B5203" s="24" t="s">
        <v>213</v>
      </c>
      <c r="C5203" s="21">
        <f t="shared" si="85"/>
        <v>-81.38</v>
      </c>
      <c r="BC5203" s="74">
        <v>-32.020000000000003</v>
      </c>
      <c r="BI5203" s="106">
        <v>-8.0649999999999995</v>
      </c>
      <c r="BO5203" s="74">
        <v>-16.175000000000001</v>
      </c>
      <c r="BU5203" s="106">
        <v>-16.645</v>
      </c>
      <c r="CG5203" s="106">
        <v>-8.4749999999999996</v>
      </c>
    </row>
    <row r="5204" spans="1:216" x14ac:dyDescent="0.25">
      <c r="A5204" s="127">
        <v>45759</v>
      </c>
      <c r="B5204" s="24" t="s">
        <v>193</v>
      </c>
      <c r="C5204" s="21">
        <f t="shared" si="85"/>
        <v>-8.3650000000000002</v>
      </c>
      <c r="BU5204" s="106">
        <v>-8.3650000000000002</v>
      </c>
    </row>
    <row r="5205" spans="1:216" x14ac:dyDescent="0.25">
      <c r="A5205" s="127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6">
        <v>-8.83</v>
      </c>
      <c r="EL5205" s="106">
        <v>-8.2349999999999994</v>
      </c>
      <c r="EM5205" s="150">
        <v>-17.48</v>
      </c>
    </row>
    <row r="5206" spans="1:216" x14ac:dyDescent="0.25">
      <c r="A5206" s="127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27">
        <v>45763</v>
      </c>
      <c r="B5207" s="24" t="s">
        <v>113</v>
      </c>
      <c r="C5207" s="21">
        <f t="shared" si="85"/>
        <v>877.52499999999998</v>
      </c>
      <c r="AW5207" s="74">
        <v>32.284999999999997</v>
      </c>
      <c r="BC5207" s="74">
        <v>32.04</v>
      </c>
      <c r="BI5207" s="106">
        <v>129.47</v>
      </c>
      <c r="BO5207" s="74">
        <f>147.375+14.9</f>
        <v>162.27500000000001</v>
      </c>
      <c r="BU5207" s="106">
        <v>142.965</v>
      </c>
      <c r="CA5207" s="106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27">
        <v>45763</v>
      </c>
      <c r="B5208" s="24" t="s">
        <v>192</v>
      </c>
      <c r="C5208" s="21">
        <f t="shared" si="85"/>
        <v>-51.884999999999998</v>
      </c>
      <c r="BO5208" s="74">
        <v>-8.48</v>
      </c>
      <c r="DE5208" s="74">
        <v>-43.405000000000001</v>
      </c>
    </row>
    <row r="5209" spans="1:216" x14ac:dyDescent="0.25">
      <c r="A5209" s="127">
        <v>45764</v>
      </c>
      <c r="B5209" s="24" t="s">
        <v>213</v>
      </c>
      <c r="C5209" s="21">
        <f t="shared" si="85"/>
        <v>-64.09</v>
      </c>
      <c r="BI5209" s="106">
        <v>-16.055</v>
      </c>
      <c r="BO5209" s="74">
        <v>-32.024999999999999</v>
      </c>
      <c r="BU5209" s="106">
        <v>-16.010000000000002</v>
      </c>
    </row>
    <row r="5210" spans="1:216" x14ac:dyDescent="0.25">
      <c r="A5210" s="127">
        <v>45764</v>
      </c>
      <c r="B5210" s="24" t="s">
        <v>171</v>
      </c>
      <c r="C5210" s="21">
        <f t="shared" si="85"/>
        <v>-16.739999999999998</v>
      </c>
      <c r="BU5210" s="106">
        <v>-8.31</v>
      </c>
      <c r="CA5210" s="106">
        <v>-8.43</v>
      </c>
    </row>
    <row r="5211" spans="1:216" x14ac:dyDescent="0.25">
      <c r="A5211" s="127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27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74">
        <v>-8.5299999999999994</v>
      </c>
      <c r="BC5212" s="74">
        <v>-16.010000000000002</v>
      </c>
      <c r="BI5212" s="106">
        <v>-8.0950000000000006</v>
      </c>
    </row>
    <row r="5213" spans="1:216" x14ac:dyDescent="0.25">
      <c r="A5213" s="127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74">
        <v>-33</v>
      </c>
      <c r="BI5213" s="106">
        <v>-64.63</v>
      </c>
      <c r="BO5213" s="74">
        <v>-63.945</v>
      </c>
      <c r="BU5213" s="106">
        <v>-95.015000000000001</v>
      </c>
      <c r="CA5213" s="106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27">
        <v>45764</v>
      </c>
      <c r="B5214" s="24" t="s">
        <v>184</v>
      </c>
      <c r="C5214" s="21">
        <f t="shared" si="85"/>
        <v>-112.395</v>
      </c>
      <c r="AR5214" s="74">
        <v>-8.6449999999999996</v>
      </c>
      <c r="AW5214" s="74">
        <v>-16.559999999999999</v>
      </c>
      <c r="BU5214" s="106">
        <v>-8.0250000000000004</v>
      </c>
      <c r="CM5214" s="74">
        <v>-33.465000000000003</v>
      </c>
      <c r="CS5214" s="74">
        <v>-16.47</v>
      </c>
      <c r="CY5214" s="74">
        <v>-29.23</v>
      </c>
    </row>
    <row r="5215" spans="1:216" x14ac:dyDescent="0.25">
      <c r="A5215" s="127">
        <v>45764</v>
      </c>
      <c r="B5215" s="24" t="s">
        <v>133</v>
      </c>
      <c r="C5215" s="21">
        <f t="shared" si="85"/>
        <v>-96.88</v>
      </c>
      <c r="AR5215" s="74">
        <v>-25.145</v>
      </c>
      <c r="BO5215" s="74">
        <v>-16.545000000000002</v>
      </c>
      <c r="CA5215" s="106">
        <v>-30.61</v>
      </c>
      <c r="CS5215" s="74">
        <v>-24.58</v>
      </c>
    </row>
    <row r="5216" spans="1:216" x14ac:dyDescent="0.25">
      <c r="A5216" s="127">
        <v>45764</v>
      </c>
      <c r="B5216" s="24" t="s">
        <v>48</v>
      </c>
      <c r="C5216" s="21">
        <f t="shared" si="85"/>
        <v>-16.190000000000001</v>
      </c>
      <c r="CS5216" s="74">
        <v>-8.01</v>
      </c>
      <c r="CY5216" s="74">
        <v>-8.18</v>
      </c>
    </row>
    <row r="5217" spans="1:231" x14ac:dyDescent="0.25">
      <c r="A5217" s="127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106">
        <v>-15.975</v>
      </c>
    </row>
    <row r="5218" spans="1:231" x14ac:dyDescent="0.25">
      <c r="A5218" s="127">
        <v>45764</v>
      </c>
      <c r="B5218" s="24" t="s">
        <v>33</v>
      </c>
      <c r="C5218" s="21">
        <f t="shared" si="85"/>
        <v>-8.0850000000000009</v>
      </c>
      <c r="BI5218" s="106">
        <v>-8.0850000000000009</v>
      </c>
    </row>
    <row r="5219" spans="1:231" x14ac:dyDescent="0.25">
      <c r="A5219" s="127">
        <v>45765</v>
      </c>
      <c r="B5219" s="24" t="s">
        <v>20</v>
      </c>
      <c r="C5219" s="21">
        <f t="shared" si="85"/>
        <v>-32.65</v>
      </c>
      <c r="BB5219" s="69">
        <v>-8.41</v>
      </c>
      <c r="BI5219" s="106">
        <v>-8.2100000000000009</v>
      </c>
      <c r="BO5219" s="74">
        <v>-8.09</v>
      </c>
      <c r="BU5219" s="106">
        <v>-7.94</v>
      </c>
    </row>
    <row r="5220" spans="1:231" x14ac:dyDescent="0.25">
      <c r="A5220" s="127">
        <v>45766</v>
      </c>
      <c r="B5220" s="24" t="s">
        <v>218</v>
      </c>
      <c r="C5220" s="21">
        <f t="shared" si="85"/>
        <v>137.72</v>
      </c>
      <c r="BQ5220" s="126">
        <v>36.51</v>
      </c>
      <c r="DA5220" s="126">
        <v>33.83</v>
      </c>
      <c r="DG5220" s="126">
        <v>33.659999999999997</v>
      </c>
      <c r="EU5220" s="126">
        <v>33.72</v>
      </c>
    </row>
    <row r="5221" spans="1:231" x14ac:dyDescent="0.25">
      <c r="A5221" s="127">
        <v>45766</v>
      </c>
      <c r="B5221" s="24" t="s">
        <v>222</v>
      </c>
      <c r="C5221" s="21">
        <f t="shared" si="85"/>
        <v>-16.684999999999999</v>
      </c>
      <c r="AB5221" s="69">
        <v>-8.5950000000000006</v>
      </c>
      <c r="BI5221" s="106">
        <v>-8.09</v>
      </c>
    </row>
    <row r="5222" spans="1:231" x14ac:dyDescent="0.25">
      <c r="A5222" s="127">
        <v>45768</v>
      </c>
      <c r="B5222" s="24" t="s">
        <v>222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27">
        <v>45769</v>
      </c>
      <c r="B5223" s="24" t="s">
        <v>137</v>
      </c>
      <c r="C5223" s="21">
        <f t="shared" si="85"/>
        <v>-24.795000000000002</v>
      </c>
      <c r="AR5223" s="74">
        <v>-8.5449999999999999</v>
      </c>
      <c r="BC5223" s="74">
        <v>-7.99</v>
      </c>
      <c r="BO5223" s="74">
        <v>-8.26</v>
      </c>
    </row>
    <row r="5224" spans="1:231" x14ac:dyDescent="0.25">
      <c r="A5224" s="127">
        <v>45769</v>
      </c>
      <c r="B5224" s="24" t="s">
        <v>197</v>
      </c>
      <c r="C5224" s="21">
        <f t="shared" si="85"/>
        <v>-83.46</v>
      </c>
      <c r="DP5224" s="74">
        <v>-25.504999999999999</v>
      </c>
      <c r="DT5224" s="69">
        <v>-8.3350000000000009</v>
      </c>
      <c r="DU5224" s="106">
        <v>-15.96</v>
      </c>
      <c r="EU5224" s="126">
        <v>-33.659999999999997</v>
      </c>
    </row>
    <row r="5225" spans="1:231" x14ac:dyDescent="0.25">
      <c r="A5225" s="127">
        <v>45769</v>
      </c>
      <c r="B5225" s="24" t="s">
        <v>223</v>
      </c>
      <c r="C5225" s="21">
        <f t="shared" si="85"/>
        <v>-82.67</v>
      </c>
      <c r="AW5225" s="74">
        <v>-16.47</v>
      </c>
      <c r="BC5225" s="74">
        <v>-8.0350000000000001</v>
      </c>
      <c r="BO5225" s="74">
        <v>-16.5</v>
      </c>
      <c r="CA5225" s="106">
        <v>-7.53</v>
      </c>
      <c r="CG5225" s="106">
        <v>-8.4499999999999993</v>
      </c>
      <c r="CM5225" s="74">
        <v>-25.684999999999999</v>
      </c>
    </row>
    <row r="5226" spans="1:231" x14ac:dyDescent="0.25">
      <c r="A5226" s="127">
        <v>45769</v>
      </c>
      <c r="B5226" s="24" t="s">
        <v>213</v>
      </c>
      <c r="C5226" s="21">
        <f t="shared" si="85"/>
        <v>-66.14</v>
      </c>
      <c r="BC5226" s="74">
        <v>-7.9950000000000001</v>
      </c>
      <c r="BI5226" s="106">
        <v>-8.0950000000000006</v>
      </c>
      <c r="BO5226" s="74">
        <v>-16.52</v>
      </c>
      <c r="CA5226" s="106">
        <v>-16.655000000000001</v>
      </c>
      <c r="CG5226" s="106">
        <v>-16.875</v>
      </c>
    </row>
    <row r="5227" spans="1:231" x14ac:dyDescent="0.25">
      <c r="A5227" s="127">
        <v>45769</v>
      </c>
      <c r="B5227" s="24" t="s">
        <v>127</v>
      </c>
      <c r="C5227" s="21">
        <f t="shared" si="85"/>
        <v>-17.649999999999999</v>
      </c>
      <c r="BQ5227" s="126">
        <v>-17.649999999999999</v>
      </c>
    </row>
    <row r="5228" spans="1:231" x14ac:dyDescent="0.25">
      <c r="A5228" s="127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27">
        <v>45769</v>
      </c>
      <c r="B5229" s="24" t="s">
        <v>79</v>
      </c>
      <c r="C5229" s="21">
        <f t="shared" si="85"/>
        <v>-25.23</v>
      </c>
      <c r="AW5229" s="74">
        <v>-8.67</v>
      </c>
      <c r="BI5229" s="106">
        <v>-8.2100000000000009</v>
      </c>
      <c r="BU5229" s="106">
        <v>-8.35</v>
      </c>
    </row>
    <row r="5230" spans="1:231" x14ac:dyDescent="0.25">
      <c r="A5230" s="127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27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27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27">
        <v>45770</v>
      </c>
      <c r="B5233" s="24" t="s">
        <v>218</v>
      </c>
      <c r="C5233" s="21">
        <f t="shared" ref="C5233:C5296" si="86">SUM(D5233:JT5233)</f>
        <v>-25.24</v>
      </c>
      <c r="AR5233" s="74">
        <v>-8.5649999999999995</v>
      </c>
      <c r="CA5233" s="106">
        <v>-8.4</v>
      </c>
      <c r="CG5233" s="106">
        <v>-8.2750000000000004</v>
      </c>
    </row>
    <row r="5234" spans="1:137" x14ac:dyDescent="0.25">
      <c r="A5234" s="127">
        <v>45770</v>
      </c>
      <c r="B5234" s="24" t="s">
        <v>113</v>
      </c>
      <c r="C5234" s="21">
        <f t="shared" si="86"/>
        <v>812.17499999999995</v>
      </c>
      <c r="AR5234" s="74">
        <v>66.114999999999995</v>
      </c>
      <c r="BC5234" s="74">
        <v>66.194999999999993</v>
      </c>
      <c r="BI5234" s="106">
        <v>101.69499999999999</v>
      </c>
      <c r="BO5234" s="74">
        <v>108.125</v>
      </c>
      <c r="BU5234" s="106">
        <v>167.215</v>
      </c>
      <c r="CA5234" s="106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27">
        <v>45771</v>
      </c>
      <c r="B5235" s="24" t="s">
        <v>112</v>
      </c>
      <c r="C5235" s="21">
        <f t="shared" si="86"/>
        <v>-23.93</v>
      </c>
      <c r="BC5235" s="74">
        <v>-8.0950000000000006</v>
      </c>
      <c r="CA5235" s="106">
        <v>-8.6199999999999992</v>
      </c>
      <c r="CG5235" s="106">
        <v>-7.2149999999999999</v>
      </c>
    </row>
    <row r="5236" spans="1:137" x14ac:dyDescent="0.25">
      <c r="A5236" s="127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27">
        <v>45771</v>
      </c>
      <c r="B5237" s="24" t="s">
        <v>133</v>
      </c>
      <c r="C5237" s="21">
        <f t="shared" si="86"/>
        <v>-164.74</v>
      </c>
      <c r="BC5237" s="74">
        <v>-33.774999999999999</v>
      </c>
      <c r="BO5237" s="74">
        <v>-30.32</v>
      </c>
      <c r="BU5237" s="106">
        <v>-34.265000000000001</v>
      </c>
      <c r="CA5237" s="106">
        <v>-33.299999999999997</v>
      </c>
      <c r="CG5237" s="106">
        <v>-33.08</v>
      </c>
    </row>
    <row r="5238" spans="1:137" x14ac:dyDescent="0.25">
      <c r="A5238" s="127">
        <v>45771</v>
      </c>
      <c r="B5238" s="24" t="s">
        <v>184</v>
      </c>
      <c r="C5238" s="21">
        <f t="shared" si="86"/>
        <v>-168.30500000000001</v>
      </c>
      <c r="BI5238" s="106">
        <v>-33.86</v>
      </c>
      <c r="CA5238" s="106">
        <v>-67.625</v>
      </c>
      <c r="DK5238" s="74">
        <v>-33.76</v>
      </c>
      <c r="EG5238" s="74">
        <v>-33.06</v>
      </c>
    </row>
    <row r="5239" spans="1:137" x14ac:dyDescent="0.25">
      <c r="A5239" s="127">
        <v>45771</v>
      </c>
      <c r="B5239" s="24" t="s">
        <v>213</v>
      </c>
      <c r="C5239" s="21">
        <f t="shared" si="86"/>
        <v>-132.06</v>
      </c>
      <c r="BI5239" s="106">
        <v>-33.880000000000003</v>
      </c>
      <c r="BO5239" s="74">
        <v>-30.524999999999999</v>
      </c>
      <c r="BU5239" s="106">
        <v>-34.685000000000002</v>
      </c>
      <c r="CS5239" s="74">
        <v>-32.97</v>
      </c>
    </row>
    <row r="5240" spans="1:137" x14ac:dyDescent="0.25">
      <c r="A5240" s="127">
        <v>45772</v>
      </c>
      <c r="B5240" s="24" t="s">
        <v>223</v>
      </c>
      <c r="C5240" s="21">
        <f t="shared" si="86"/>
        <v>-32.69</v>
      </c>
      <c r="BI5240" s="106">
        <f>-8.505-8.47</f>
        <v>-16.975000000000001</v>
      </c>
      <c r="BU5240" s="106">
        <f>-7.86-7.855</f>
        <v>-15.715</v>
      </c>
    </row>
    <row r="5241" spans="1:137" x14ac:dyDescent="0.25">
      <c r="A5241" s="127">
        <v>45772</v>
      </c>
      <c r="B5241" s="24" t="s">
        <v>68</v>
      </c>
      <c r="C5241" s="21">
        <f t="shared" si="86"/>
        <v>-63.61</v>
      </c>
      <c r="AG5241" s="106">
        <v>-8.6</v>
      </c>
      <c r="AN5241" s="74">
        <v>-5.83</v>
      </c>
      <c r="AR5241" s="74">
        <v>-8.2899999999999991</v>
      </c>
      <c r="AW5241" s="74">
        <v>-8.0449999999999999</v>
      </c>
      <c r="BC5241" s="74">
        <v>-8</v>
      </c>
      <c r="BI5241" s="106">
        <v>-8.5050000000000008</v>
      </c>
      <c r="BO5241" s="74">
        <v>-7.8949999999999996</v>
      </c>
      <c r="BU5241" s="106">
        <v>-8.4450000000000003</v>
      </c>
    </row>
    <row r="5242" spans="1:137" x14ac:dyDescent="0.25">
      <c r="A5242" s="127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106">
        <v>-8.4749999999999996</v>
      </c>
    </row>
    <row r="5243" spans="1:137" x14ac:dyDescent="0.25">
      <c r="A5243" s="127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27">
        <v>45772</v>
      </c>
      <c r="B5244" s="24" t="s">
        <v>184</v>
      </c>
      <c r="C5244" s="21">
        <f t="shared" si="86"/>
        <v>-87.614999999999995</v>
      </c>
      <c r="AG5244" s="106">
        <v>-8.58</v>
      </c>
      <c r="BC5244" s="74">
        <v>-24.324999999999999</v>
      </c>
      <c r="BO5244" s="74">
        <v>-7.8650000000000002</v>
      </c>
      <c r="BU5244" s="106">
        <v>-7.12</v>
      </c>
      <c r="CA5244" s="106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27">
        <v>45772</v>
      </c>
      <c r="B5245" s="24" t="s">
        <v>33</v>
      </c>
      <c r="C5245" s="21">
        <f t="shared" si="86"/>
        <v>-15.975</v>
      </c>
      <c r="AW5245" s="74">
        <v>-8.0950000000000006</v>
      </c>
      <c r="BO5245" s="74">
        <v>-7.88</v>
      </c>
    </row>
    <row r="5246" spans="1:137" x14ac:dyDescent="0.25">
      <c r="A5246" s="127">
        <v>45772</v>
      </c>
      <c r="B5246" s="24" t="s">
        <v>20</v>
      </c>
      <c r="C5246" s="21">
        <f t="shared" si="86"/>
        <v>-24.765000000000001</v>
      </c>
      <c r="BU5246" s="106">
        <v>-7.8949999999999996</v>
      </c>
      <c r="BZ5246" s="69">
        <v>-8.5399999999999991</v>
      </c>
      <c r="CG5246" s="106">
        <v>-8.33</v>
      </c>
    </row>
    <row r="5247" spans="1:137" x14ac:dyDescent="0.25">
      <c r="A5247" s="127">
        <v>45772</v>
      </c>
      <c r="B5247" s="24" t="s">
        <v>197</v>
      </c>
      <c r="C5247" s="21">
        <f t="shared" si="86"/>
        <v>-92.41</v>
      </c>
      <c r="BU5247" s="106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6">
        <v>-16.71</v>
      </c>
    </row>
    <row r="5248" spans="1:137" x14ac:dyDescent="0.25">
      <c r="A5248" s="127">
        <v>45772</v>
      </c>
      <c r="B5248" s="24" t="s">
        <v>162</v>
      </c>
      <c r="C5248" s="21">
        <f t="shared" si="86"/>
        <v>-34.18</v>
      </c>
      <c r="DK5248" s="74">
        <v>-34.18</v>
      </c>
    </row>
    <row r="5249" spans="1:230" x14ac:dyDescent="0.25">
      <c r="A5249" s="127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27">
        <v>45776</v>
      </c>
      <c r="B5250" s="24" t="s">
        <v>20</v>
      </c>
      <c r="C5250" s="21">
        <f t="shared" si="86"/>
        <v>-8.1999999999999993</v>
      </c>
      <c r="CM5250" s="74">
        <v>-8.1999999999999993</v>
      </c>
    </row>
    <row r="5251" spans="1:230" x14ac:dyDescent="0.25">
      <c r="A5251" s="127">
        <v>45776</v>
      </c>
      <c r="B5251" s="24" t="s">
        <v>75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27">
        <v>45776</v>
      </c>
      <c r="B5252" s="24" t="s">
        <v>39</v>
      </c>
      <c r="C5252" s="21">
        <f t="shared" si="86"/>
        <v>-24.86</v>
      </c>
      <c r="BO5252" s="74">
        <v>-7.88</v>
      </c>
      <c r="BU5252" s="106">
        <v>-8.44</v>
      </c>
      <c r="BZ5252" s="69">
        <v>-8.5399999999999991</v>
      </c>
    </row>
    <row r="5253" spans="1:230" x14ac:dyDescent="0.25">
      <c r="A5253" s="127">
        <v>45776</v>
      </c>
      <c r="B5253" s="24" t="s">
        <v>218</v>
      </c>
      <c r="C5253" s="21">
        <f t="shared" si="86"/>
        <v>-19.055</v>
      </c>
      <c r="AG5253" s="106">
        <v>-35.774999999999999</v>
      </c>
      <c r="BZ5253" s="69">
        <v>-8.58</v>
      </c>
      <c r="CA5253" s="106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6">
        <f>8.43+8.36+7.68+8.38+8.66</f>
        <v>41.51</v>
      </c>
      <c r="HV5253" s="92">
        <v>7.23</v>
      </c>
    </row>
    <row r="5254" spans="1:230" x14ac:dyDescent="0.25">
      <c r="A5254" s="127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27">
        <v>45777</v>
      </c>
      <c r="B5255" s="24" t="s">
        <v>184</v>
      </c>
      <c r="C5255" s="21">
        <f t="shared" si="86"/>
        <v>-96.98</v>
      </c>
      <c r="AR5255" s="74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27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27">
        <v>45779</v>
      </c>
      <c r="B5257" s="24" t="s">
        <v>192</v>
      </c>
      <c r="C5257" s="21">
        <f t="shared" si="86"/>
        <v>-8.4450000000000003</v>
      </c>
      <c r="BU5257" s="106">
        <v>-8.4450000000000003</v>
      </c>
    </row>
    <row r="5258" spans="1:230" x14ac:dyDescent="0.25">
      <c r="A5258" s="127">
        <v>45779</v>
      </c>
      <c r="B5258" s="24" t="s">
        <v>162</v>
      </c>
      <c r="C5258" s="21">
        <f t="shared" si="86"/>
        <v>-26.97</v>
      </c>
      <c r="CY5258" s="74">
        <v>-8.42</v>
      </c>
      <c r="DG5258" s="126">
        <v>-18.55</v>
      </c>
    </row>
    <row r="5259" spans="1:230" x14ac:dyDescent="0.25">
      <c r="A5259" s="127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27">
        <v>45780</v>
      </c>
      <c r="B5260" s="24" t="s">
        <v>173</v>
      </c>
      <c r="C5260" s="21">
        <f t="shared" si="86"/>
        <v>-17.295000000000002</v>
      </c>
      <c r="BU5260" s="106">
        <v>-8.4350000000000005</v>
      </c>
      <c r="DG5260" s="126">
        <v>-8.86</v>
      </c>
    </row>
    <row r="5261" spans="1:230" x14ac:dyDescent="0.25">
      <c r="A5261" s="127">
        <v>45782</v>
      </c>
      <c r="B5261" s="24" t="s">
        <v>44</v>
      </c>
      <c r="C5261" s="21">
        <f t="shared" si="86"/>
        <v>-136.58500000000001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27">
        <v>45783</v>
      </c>
      <c r="B5262" s="24" t="s">
        <v>113</v>
      </c>
      <c r="C5262" s="21">
        <f t="shared" si="86"/>
        <v>905.68</v>
      </c>
      <c r="AR5262" s="74">
        <v>66.2</v>
      </c>
      <c r="AW5262" s="74">
        <v>101.21</v>
      </c>
      <c r="BC5262" s="74">
        <v>65.165000000000006</v>
      </c>
      <c r="BO5262" s="74">
        <v>101.06</v>
      </c>
      <c r="CA5262" s="106">
        <v>94.88</v>
      </c>
      <c r="CG5262" s="106">
        <v>103.73</v>
      </c>
      <c r="CM5262" s="74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27">
        <v>45784</v>
      </c>
      <c r="B5263" s="24" t="s">
        <v>213</v>
      </c>
      <c r="C5263" s="21">
        <f t="shared" si="86"/>
        <v>-83.17</v>
      </c>
      <c r="AW5263" s="74">
        <v>-8.26</v>
      </c>
      <c r="BC5263" s="74">
        <v>-33.125</v>
      </c>
      <c r="BO5263" s="74">
        <v>-8.3450000000000006</v>
      </c>
      <c r="CA5263" s="106">
        <v>-15.79</v>
      </c>
      <c r="CG5263" s="106">
        <v>-17.649999999999999</v>
      </c>
    </row>
    <row r="5264" spans="1:230" x14ac:dyDescent="0.25">
      <c r="A5264" s="127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74">
        <v>-8.24</v>
      </c>
      <c r="AR5264" s="74">
        <v>-8.32</v>
      </c>
      <c r="AW5264" s="74">
        <v>-16.765000000000001</v>
      </c>
      <c r="BO5264" s="74">
        <v>-16.73</v>
      </c>
      <c r="CA5264" s="106">
        <v>-7.9</v>
      </c>
    </row>
    <row r="5265" spans="1:131" x14ac:dyDescent="0.25">
      <c r="A5265" s="127">
        <v>45784</v>
      </c>
      <c r="B5265" s="24" t="s">
        <v>139</v>
      </c>
      <c r="C5265" s="21">
        <f t="shared" si="86"/>
        <v>-25.15</v>
      </c>
      <c r="BU5265" s="106">
        <v>-8.4649999999999999</v>
      </c>
      <c r="CA5265" s="106">
        <v>-7.88</v>
      </c>
      <c r="CG5265" s="106">
        <v>-8.8049999999999997</v>
      </c>
    </row>
    <row r="5266" spans="1:131" x14ac:dyDescent="0.25">
      <c r="A5266" s="127">
        <v>45784</v>
      </c>
      <c r="B5266" s="24" t="s">
        <v>20</v>
      </c>
      <c r="C5266" s="21">
        <f t="shared" si="86"/>
        <v>-7.71</v>
      </c>
      <c r="AW5266" s="74">
        <v>-7.71</v>
      </c>
    </row>
    <row r="5267" spans="1:131" x14ac:dyDescent="0.25">
      <c r="A5267" s="127">
        <v>45784</v>
      </c>
      <c r="B5267" s="24" t="s">
        <v>184</v>
      </c>
      <c r="C5267" s="21">
        <f t="shared" si="86"/>
        <v>-133.14500000000001</v>
      </c>
      <c r="P5267" s="106">
        <v>-8.4849999999999994</v>
      </c>
      <c r="AR5267" s="74">
        <v>-41.475000000000001</v>
      </c>
      <c r="BO5267" s="74">
        <v>-33.83</v>
      </c>
      <c r="CA5267" s="106">
        <v>-31.725000000000001</v>
      </c>
      <c r="CG5267" s="106">
        <v>-17.63</v>
      </c>
    </row>
    <row r="5268" spans="1:131" x14ac:dyDescent="0.25">
      <c r="A5268" s="127">
        <v>45784</v>
      </c>
      <c r="B5268" s="24" t="s">
        <v>218</v>
      </c>
      <c r="C5268" s="21">
        <f t="shared" si="86"/>
        <v>-57.994999999999997</v>
      </c>
      <c r="AR5268" s="74">
        <v>-8.3849999999999998</v>
      </c>
      <c r="AW5268" s="74">
        <f>-8.17-8.015-9.06</f>
        <v>-25.245000000000001</v>
      </c>
      <c r="BC5268" s="74">
        <f>-8.01-8.02</f>
        <v>-16.03</v>
      </c>
      <c r="BO5268" s="74">
        <v>-8.3350000000000009</v>
      </c>
    </row>
    <row r="5269" spans="1:131" x14ac:dyDescent="0.25">
      <c r="A5269" s="127">
        <v>45784</v>
      </c>
      <c r="B5269" s="24" t="s">
        <v>213</v>
      </c>
      <c r="C5269" s="21">
        <f t="shared" si="86"/>
        <v>-8.0850000000000009</v>
      </c>
      <c r="AR5269" s="74">
        <v>-8.0850000000000009</v>
      </c>
    </row>
    <row r="5270" spans="1:131" x14ac:dyDescent="0.25">
      <c r="A5270" s="127">
        <v>45784</v>
      </c>
      <c r="B5270" s="24" t="s">
        <v>127</v>
      </c>
      <c r="C5270" s="21">
        <f t="shared" si="86"/>
        <v>-16.364999999999998</v>
      </c>
      <c r="AR5270" s="74">
        <v>-8.3450000000000006</v>
      </c>
      <c r="BC5270" s="74">
        <v>-8.02</v>
      </c>
    </row>
    <row r="5271" spans="1:131" x14ac:dyDescent="0.25">
      <c r="A5271" s="127">
        <v>45785</v>
      </c>
      <c r="B5271" s="24" t="s">
        <v>32</v>
      </c>
      <c r="C5271" s="21">
        <f t="shared" si="86"/>
        <v>-43.71</v>
      </c>
      <c r="AR5271" s="74">
        <v>-8.3450000000000006</v>
      </c>
      <c r="CG5271" s="106">
        <v>-35.365000000000002</v>
      </c>
    </row>
    <row r="5272" spans="1:131" x14ac:dyDescent="0.25">
      <c r="A5272" s="127">
        <v>45785</v>
      </c>
      <c r="B5272" s="24" t="s">
        <v>174</v>
      </c>
      <c r="C5272" s="21">
        <f t="shared" si="86"/>
        <v>-16.79</v>
      </c>
      <c r="AW5272" s="74">
        <v>-8.8000000000000007</v>
      </c>
      <c r="BC5272" s="74">
        <v>-7.99</v>
      </c>
    </row>
    <row r="5273" spans="1:131" x14ac:dyDescent="0.25">
      <c r="A5273" s="127">
        <v>45785</v>
      </c>
      <c r="B5273" s="24" t="s">
        <v>174</v>
      </c>
      <c r="C5273" s="21">
        <f t="shared" si="86"/>
        <v>-8.44</v>
      </c>
      <c r="BU5273" s="106">
        <v>-8.44</v>
      </c>
    </row>
    <row r="5274" spans="1:131" x14ac:dyDescent="0.25">
      <c r="A5274" s="127">
        <v>45786</v>
      </c>
      <c r="B5274" s="24" t="s">
        <v>113</v>
      </c>
      <c r="C5274" s="21">
        <f t="shared" si="86"/>
        <v>428.70499999999998</v>
      </c>
      <c r="AR5274" s="74">
        <v>34.74</v>
      </c>
      <c r="BC5274" s="74">
        <v>30.63</v>
      </c>
      <c r="BI5274" s="106">
        <v>100.09</v>
      </c>
      <c r="BU5274" s="106">
        <v>34.35</v>
      </c>
      <c r="CA5274" s="106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27">
        <v>45786</v>
      </c>
      <c r="B5275" s="24" t="s">
        <v>115</v>
      </c>
      <c r="C5275" s="21">
        <f t="shared" si="86"/>
        <v>60.57</v>
      </c>
      <c r="D5275" s="145">
        <v>28.35</v>
      </c>
      <c r="F5275" s="145">
        <v>32.22</v>
      </c>
    </row>
    <row r="5276" spans="1:131" x14ac:dyDescent="0.25">
      <c r="A5276" s="127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</v>
      </c>
    </row>
    <row r="5277" spans="1:131" x14ac:dyDescent="0.25">
      <c r="A5277" s="127">
        <v>45786</v>
      </c>
      <c r="B5277" s="24" t="s">
        <v>20</v>
      </c>
      <c r="C5277" s="21">
        <f t="shared" si="86"/>
        <v>-26.734999999999999</v>
      </c>
      <c r="BC5277" s="74">
        <v>-8.0549999999999997</v>
      </c>
      <c r="BI5277" s="106">
        <v>-8.34</v>
      </c>
      <c r="BQ5277" s="126">
        <v>-10.34</v>
      </c>
    </row>
    <row r="5278" spans="1:131" x14ac:dyDescent="0.25">
      <c r="A5278" s="127">
        <v>45786</v>
      </c>
      <c r="B5278" s="24" t="s">
        <v>213</v>
      </c>
      <c r="C5278" s="21">
        <f t="shared" si="86"/>
        <v>-91.114999999999995</v>
      </c>
      <c r="AR5278" s="74">
        <v>-8.2799999999999994</v>
      </c>
      <c r="BI5278" s="106">
        <v>-33.53</v>
      </c>
      <c r="BO5278" s="74">
        <v>-15.76</v>
      </c>
      <c r="BU5278" s="106">
        <v>-17.204999999999998</v>
      </c>
      <c r="CA5278" s="106">
        <v>-16.34</v>
      </c>
    </row>
    <row r="5279" spans="1:131" x14ac:dyDescent="0.25">
      <c r="A5279" s="127">
        <v>45786</v>
      </c>
      <c r="B5279" s="24" t="s">
        <v>138</v>
      </c>
      <c r="C5279" s="21">
        <f t="shared" si="86"/>
        <v>-44.395000000000003</v>
      </c>
      <c r="AW5279" s="74">
        <v>-8.4149999999999991</v>
      </c>
      <c r="BI5279" s="106">
        <v>-16.445</v>
      </c>
      <c r="BU5279" s="106">
        <v>-8.57</v>
      </c>
      <c r="DO5279" s="69">
        <v>-3.45</v>
      </c>
      <c r="DP5279" s="74">
        <v>-7.5149999999999997</v>
      </c>
    </row>
    <row r="5280" spans="1:131" x14ac:dyDescent="0.25">
      <c r="A5280" s="127">
        <v>45786</v>
      </c>
      <c r="B5280" s="24" t="s">
        <v>188</v>
      </c>
      <c r="C5280" s="21">
        <f t="shared" si="86"/>
        <v>-17.015000000000001</v>
      </c>
      <c r="AR5280" s="74">
        <v>-8.44</v>
      </c>
      <c r="BU5280" s="106">
        <v>-8.5749999999999993</v>
      </c>
    </row>
    <row r="5281" spans="1:91" x14ac:dyDescent="0.25">
      <c r="A5281" s="127">
        <v>45786</v>
      </c>
      <c r="B5281" s="24" t="s">
        <v>20</v>
      </c>
      <c r="C5281" s="21">
        <f t="shared" si="86"/>
        <v>-7.8949999999999996</v>
      </c>
      <c r="CA5281" s="106">
        <v>-7.8949999999999996</v>
      </c>
    </row>
    <row r="5282" spans="1:91" x14ac:dyDescent="0.25">
      <c r="A5282" s="127">
        <v>45789</v>
      </c>
      <c r="B5282" s="24" t="s">
        <v>184</v>
      </c>
      <c r="C5282" s="21">
        <f t="shared" si="86"/>
        <v>-113.745</v>
      </c>
      <c r="AN5282" s="74">
        <v>-12.68</v>
      </c>
      <c r="AR5282" s="74">
        <v>-17.149999999999999</v>
      </c>
      <c r="AW5282" s="74">
        <v>-16.940000000000001</v>
      </c>
      <c r="BI5282" s="106">
        <v>-16.7</v>
      </c>
      <c r="BO5282" s="74">
        <v>-16.87</v>
      </c>
      <c r="CA5282" s="106">
        <v>-16.094999999999999</v>
      </c>
      <c r="CM5282" s="74">
        <v>-17.309999999999999</v>
      </c>
    </row>
    <row r="5283" spans="1:91" x14ac:dyDescent="0.25">
      <c r="A5283" s="127">
        <v>45790</v>
      </c>
      <c r="B5283" s="24" t="s">
        <v>25</v>
      </c>
      <c r="C5283" s="21">
        <f t="shared" si="86"/>
        <v>-31.41</v>
      </c>
      <c r="BC5283" s="74">
        <v>-8</v>
      </c>
      <c r="BI5283" s="106">
        <v>-8.3699999999999992</v>
      </c>
      <c r="BO5283" s="74">
        <v>-8.4749999999999996</v>
      </c>
      <c r="CG5283" s="106">
        <v>-6.5650000000000004</v>
      </c>
    </row>
    <row r="5284" spans="1:91" x14ac:dyDescent="0.25">
      <c r="A5284" s="127">
        <v>45790</v>
      </c>
      <c r="B5284" s="24" t="s">
        <v>192</v>
      </c>
      <c r="C5284" s="21">
        <f t="shared" si="86"/>
        <v>-15.77</v>
      </c>
      <c r="CA5284" s="106">
        <v>-15.77</v>
      </c>
    </row>
    <row r="5285" spans="1:91" x14ac:dyDescent="0.25">
      <c r="A5285" s="127">
        <v>45790</v>
      </c>
      <c r="B5285" s="24" t="s">
        <v>139</v>
      </c>
      <c r="C5285" s="21">
        <f t="shared" si="86"/>
        <v>-15.55</v>
      </c>
      <c r="CA5285" s="106">
        <v>-6.71</v>
      </c>
      <c r="CG5285" s="106">
        <v>-8.84</v>
      </c>
    </row>
    <row r="5286" spans="1:91" x14ac:dyDescent="0.25">
      <c r="A5286" s="127">
        <v>45790</v>
      </c>
      <c r="B5286" s="24" t="s">
        <v>75</v>
      </c>
      <c r="C5286" s="21">
        <f t="shared" si="86"/>
        <v>-34.484999999999999</v>
      </c>
      <c r="AR5286" s="74">
        <v>-8.7650000000000006</v>
      </c>
      <c r="BI5286" s="106">
        <v>-8.3699999999999992</v>
      </c>
      <c r="BO5286" s="74">
        <v>-8.4749999999999996</v>
      </c>
      <c r="CG5286" s="106">
        <v>-8.875</v>
      </c>
    </row>
    <row r="5287" spans="1:91" x14ac:dyDescent="0.25">
      <c r="A5287" s="127">
        <v>45791</v>
      </c>
      <c r="B5287" s="24" t="s">
        <v>58</v>
      </c>
      <c r="C5287" s="21">
        <f t="shared" si="86"/>
        <v>-8.2550000000000008</v>
      </c>
      <c r="CM5287" s="74">
        <v>-8.2550000000000008</v>
      </c>
    </row>
    <row r="5288" spans="1:91" x14ac:dyDescent="0.25">
      <c r="A5288" s="127">
        <v>45791</v>
      </c>
      <c r="B5288" s="24" t="s">
        <v>24</v>
      </c>
      <c r="C5288" s="21">
        <f t="shared" si="86"/>
        <v>-30.87</v>
      </c>
      <c r="AN5288" s="74">
        <v>-7.42</v>
      </c>
      <c r="AW5288" s="74">
        <v>-7.98</v>
      </c>
      <c r="BC5288" s="74">
        <v>-7.4850000000000003</v>
      </c>
      <c r="CM5288" s="74">
        <v>-7.9850000000000003</v>
      </c>
    </row>
    <row r="5289" spans="1:91" x14ac:dyDescent="0.25">
      <c r="A5289" s="127">
        <v>45792</v>
      </c>
      <c r="B5289" s="24" t="s">
        <v>19</v>
      </c>
      <c r="C5289" s="21">
        <f t="shared" si="86"/>
        <v>0</v>
      </c>
    </row>
    <row r="5290" spans="1:91" x14ac:dyDescent="0.25">
      <c r="A5290" s="127">
        <v>45792</v>
      </c>
      <c r="B5290" s="24" t="s">
        <v>202</v>
      </c>
      <c r="C5290" s="21">
        <f t="shared" si="86"/>
        <v>-8.23</v>
      </c>
      <c r="D5290" s="145">
        <v>-8.23</v>
      </c>
    </row>
    <row r="5291" spans="1:91" x14ac:dyDescent="0.25">
      <c r="A5291" s="127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27">
        <v>45796</v>
      </c>
      <c r="B5292" s="24" t="s">
        <v>33</v>
      </c>
      <c r="C5292" s="21">
        <f t="shared" si="86"/>
        <v>-14.824999999999999</v>
      </c>
      <c r="AR5292" s="74">
        <v>-7.7350000000000003</v>
      </c>
      <c r="BC5292" s="74">
        <v>-7.09</v>
      </c>
    </row>
    <row r="5293" spans="1:91" x14ac:dyDescent="0.25">
      <c r="A5293" s="127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74">
        <f>-4.42-4.36</f>
        <v>-8.7799999999999994</v>
      </c>
      <c r="AW5293" s="74">
        <v>-7.98</v>
      </c>
      <c r="BI5293" s="106">
        <v>-8.3350000000000009</v>
      </c>
      <c r="BQ5293" s="126">
        <v>-8.52</v>
      </c>
    </row>
    <row r="5294" spans="1:91" x14ac:dyDescent="0.25">
      <c r="A5294" s="127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27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27">
        <v>45797</v>
      </c>
      <c r="B5296" s="24" t="s">
        <v>169</v>
      </c>
      <c r="C5296" s="21">
        <f t="shared" si="86"/>
        <v>-50.52</v>
      </c>
      <c r="E5296" s="145">
        <v>-18.3</v>
      </c>
      <c r="F5296" s="145">
        <v>-32.22</v>
      </c>
    </row>
    <row r="5297" spans="1:199" x14ac:dyDescent="0.25">
      <c r="A5297" s="127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27">
        <v>45798</v>
      </c>
      <c r="B5298" s="24" t="s">
        <v>197</v>
      </c>
      <c r="C5298" s="21">
        <f t="shared" si="87"/>
        <v>-24.425000000000001</v>
      </c>
      <c r="Z5298" s="79">
        <v>-8.1549999999999994</v>
      </c>
      <c r="DU5298" s="106">
        <v>-16.27</v>
      </c>
    </row>
    <row r="5299" spans="1:199" x14ac:dyDescent="0.25">
      <c r="A5299" s="127">
        <v>45798</v>
      </c>
      <c r="B5299" s="24" t="s">
        <v>213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27">
        <v>45799</v>
      </c>
      <c r="B5300" s="24" t="s">
        <v>113</v>
      </c>
      <c r="C5300" s="21">
        <f t="shared" si="87"/>
        <v>935.29499999999996</v>
      </c>
      <c r="BC5300" s="74">
        <v>64.265000000000001</v>
      </c>
      <c r="BI5300" s="106">
        <v>93.504999999999995</v>
      </c>
      <c r="BO5300" s="74">
        <v>130.11000000000001</v>
      </c>
      <c r="BU5300" s="106">
        <v>154.01499999999999</v>
      </c>
      <c r="CA5300" s="106">
        <f>93.545+41.3</f>
        <v>134.845</v>
      </c>
      <c r="CG5300" s="106">
        <f>43.735+73.405</f>
        <v>117.14</v>
      </c>
      <c r="CM5300" s="74">
        <v>58.435000000000002</v>
      </c>
      <c r="DU5300" s="106">
        <v>67.215000000000003</v>
      </c>
      <c r="EA5300" s="74">
        <v>115.765</v>
      </c>
    </row>
    <row r="5301" spans="1:199" x14ac:dyDescent="0.25">
      <c r="A5301" s="127">
        <v>45799</v>
      </c>
      <c r="B5301" s="24" t="s">
        <v>152</v>
      </c>
      <c r="C5301" s="21">
        <f t="shared" si="87"/>
        <v>-497.13</v>
      </c>
      <c r="AN5301" s="74">
        <v>-35.57</v>
      </c>
      <c r="BO5301" s="74">
        <v>-65.474999999999994</v>
      </c>
      <c r="BU5301" s="106">
        <v>-69.174999999999997</v>
      </c>
      <c r="CA5301" s="106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27">
        <v>45799</v>
      </c>
      <c r="B5302" s="24" t="s">
        <v>39</v>
      </c>
      <c r="C5302" s="21">
        <f t="shared" si="87"/>
        <v>-32.58</v>
      </c>
      <c r="BC5302" s="74">
        <v>-8.0350000000000001</v>
      </c>
      <c r="BI5302" s="106">
        <v>-8.0299999999999994</v>
      </c>
      <c r="BO5302" s="74">
        <v>-8.0950000000000006</v>
      </c>
      <c r="BU5302" s="106">
        <v>-8.42</v>
      </c>
    </row>
    <row r="5303" spans="1:199" x14ac:dyDescent="0.25">
      <c r="A5303" s="127">
        <v>45799</v>
      </c>
      <c r="B5303" s="24" t="s">
        <v>218</v>
      </c>
      <c r="C5303" s="21">
        <f t="shared" si="87"/>
        <v>-72.915000000000006</v>
      </c>
      <c r="AN5303" s="74">
        <v>-7.7</v>
      </c>
      <c r="BC5303" s="74">
        <v>-16.055</v>
      </c>
      <c r="BI5303" s="106">
        <v>-23.785</v>
      </c>
      <c r="CA5303" s="106">
        <v>-25.375</v>
      </c>
    </row>
    <row r="5304" spans="1:199" x14ac:dyDescent="0.25">
      <c r="A5304" s="127">
        <v>45799</v>
      </c>
      <c r="B5304" s="24" t="s">
        <v>44</v>
      </c>
      <c r="C5304" s="21">
        <f t="shared" si="87"/>
        <v>-86.227000000000004</v>
      </c>
      <c r="GO5304" s="110">
        <v>-29.74</v>
      </c>
      <c r="GQ5304" s="92">
        <v>-56.487000000000002</v>
      </c>
    </row>
    <row r="5305" spans="1:199" x14ac:dyDescent="0.25">
      <c r="A5305" s="127">
        <v>45800</v>
      </c>
      <c r="B5305" s="24" t="s">
        <v>224</v>
      </c>
      <c r="C5305" s="21">
        <f t="shared" si="87"/>
        <v>-8.93</v>
      </c>
      <c r="BU5305" s="106">
        <v>-8.93</v>
      </c>
    </row>
    <row r="5306" spans="1:199" x14ac:dyDescent="0.25">
      <c r="A5306" s="127">
        <v>45800</v>
      </c>
      <c r="B5306" s="24" t="s">
        <v>75</v>
      </c>
      <c r="C5306" s="21">
        <f t="shared" si="87"/>
        <v>-16.670000000000002</v>
      </c>
      <c r="BO5306" s="74">
        <v>-8.0749999999999993</v>
      </c>
      <c r="BU5306" s="106">
        <v>-8.5950000000000006</v>
      </c>
    </row>
    <row r="5307" spans="1:199" x14ac:dyDescent="0.25">
      <c r="A5307" s="127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27">
        <v>45800</v>
      </c>
      <c r="B5308" s="24" t="s">
        <v>20</v>
      </c>
      <c r="C5308" s="21">
        <f t="shared" si="87"/>
        <v>-32.28</v>
      </c>
      <c r="BO5308" s="74">
        <v>-8.2100000000000009</v>
      </c>
      <c r="BU5308" s="106">
        <v>-8.2799999999999994</v>
      </c>
      <c r="CG5308" s="106">
        <v>-7.56</v>
      </c>
      <c r="CM5308" s="74">
        <v>-8.23</v>
      </c>
    </row>
    <row r="5309" spans="1:199" x14ac:dyDescent="0.25">
      <c r="A5309" s="127">
        <v>45800</v>
      </c>
      <c r="B5309" s="24" t="s">
        <v>139</v>
      </c>
      <c r="C5309" s="21">
        <f t="shared" si="87"/>
        <v>-23.72</v>
      </c>
      <c r="BU5309" s="106">
        <v>-8.3650000000000002</v>
      </c>
      <c r="CA5309" s="106">
        <v>-8.4550000000000001</v>
      </c>
      <c r="CG5309" s="106">
        <v>-6.9</v>
      </c>
    </row>
    <row r="5310" spans="1:199" x14ac:dyDescent="0.25">
      <c r="A5310" s="127">
        <v>45800</v>
      </c>
      <c r="B5310" s="24" t="s">
        <v>171</v>
      </c>
      <c r="C5310" s="21">
        <f t="shared" si="87"/>
        <v>-8.2050000000000001</v>
      </c>
      <c r="BI5310" s="106">
        <v>-8.2050000000000001</v>
      </c>
    </row>
    <row r="5311" spans="1:199" x14ac:dyDescent="0.25">
      <c r="A5311" s="127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27">
        <v>45803</v>
      </c>
      <c r="B5312" s="24" t="s">
        <v>184</v>
      </c>
      <c r="C5312" s="21">
        <f t="shared" si="87"/>
        <v>-143.37</v>
      </c>
      <c r="BC5312" s="74">
        <v>-16.094999999999999</v>
      </c>
      <c r="BI5312" s="106">
        <v>-15.515000000000001</v>
      </c>
      <c r="BO5312" s="74">
        <v>-16.309999999999999</v>
      </c>
      <c r="BU5312" s="106">
        <v>-17.239999999999998</v>
      </c>
      <c r="CA5312" s="106">
        <v>-17.14</v>
      </c>
      <c r="CM5312" s="74">
        <v>-15.21</v>
      </c>
      <c r="CY5312" s="74">
        <v>-16.38</v>
      </c>
      <c r="DE5312" s="74">
        <v>-29.48</v>
      </c>
    </row>
    <row r="5313" spans="1:208" x14ac:dyDescent="0.25">
      <c r="A5313" s="127">
        <v>45803</v>
      </c>
      <c r="B5313" s="24" t="s">
        <v>213</v>
      </c>
      <c r="C5313" s="21">
        <f t="shared" si="87"/>
        <v>-126.795</v>
      </c>
      <c r="BC5313" s="74">
        <v>-16.035</v>
      </c>
      <c r="BI5313" s="106">
        <v>-15.31</v>
      </c>
      <c r="BO5313" s="74">
        <v>-16.225000000000001</v>
      </c>
      <c r="BU5313" s="106">
        <v>-17.21</v>
      </c>
      <c r="CA5313" s="106">
        <v>-16.905000000000001</v>
      </c>
      <c r="CG5313" s="106">
        <v>-28.9</v>
      </c>
      <c r="CY5313" s="74">
        <v>-16.21</v>
      </c>
    </row>
    <row r="5314" spans="1:208" x14ac:dyDescent="0.25">
      <c r="A5314" s="127">
        <v>45803</v>
      </c>
      <c r="B5314" s="24" t="s">
        <v>33</v>
      </c>
      <c r="C5314" s="21">
        <f t="shared" si="87"/>
        <v>-15.62</v>
      </c>
      <c r="BI5314" s="106">
        <v>-7.9</v>
      </c>
      <c r="BO5314" s="74">
        <v>-7.72</v>
      </c>
    </row>
    <row r="5315" spans="1:208" x14ac:dyDescent="0.25">
      <c r="A5315" s="127">
        <v>45803</v>
      </c>
      <c r="B5315" s="24" t="s">
        <v>192</v>
      </c>
      <c r="C5315" s="21">
        <f t="shared" si="87"/>
        <v>-5.9249999999999998</v>
      </c>
      <c r="CG5315" s="106">
        <v>-5.9249999999999998</v>
      </c>
    </row>
    <row r="5316" spans="1:208" x14ac:dyDescent="0.25">
      <c r="A5316" s="127">
        <v>45804</v>
      </c>
      <c r="B5316" s="24" t="s">
        <v>20</v>
      </c>
      <c r="C5316" s="21">
        <f t="shared" si="87"/>
        <v>-7.4450000000000003</v>
      </c>
      <c r="CG5316" s="106">
        <v>-7.4450000000000003</v>
      </c>
    </row>
    <row r="5317" spans="1:208" x14ac:dyDescent="0.25">
      <c r="A5317" s="127">
        <v>45804</v>
      </c>
      <c r="B5317" s="24" t="s">
        <v>115</v>
      </c>
      <c r="C5317" s="21">
        <f t="shared" si="87"/>
        <v>32.494999999999997</v>
      </c>
      <c r="E5317" s="145">
        <v>32.494999999999997</v>
      </c>
    </row>
    <row r="5318" spans="1:208" x14ac:dyDescent="0.25">
      <c r="A5318" s="127">
        <v>45805</v>
      </c>
      <c r="B5318" s="24" t="s">
        <v>113</v>
      </c>
      <c r="C5318" s="21">
        <f t="shared" si="87"/>
        <v>966.33</v>
      </c>
      <c r="AR5318" s="74">
        <v>31.91</v>
      </c>
      <c r="AW5318" s="74">
        <v>36</v>
      </c>
      <c r="BC5318" s="74">
        <v>130.08000000000001</v>
      </c>
      <c r="CA5318" s="106">
        <v>46.604999999999997</v>
      </c>
      <c r="CG5318" s="106">
        <v>98.245000000000005</v>
      </c>
      <c r="CM5318" s="74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27">
        <v>45805</v>
      </c>
      <c r="B5319" s="24" t="s">
        <v>113</v>
      </c>
      <c r="C5319" s="21">
        <f t="shared" si="87"/>
        <v>161.72499999999999</v>
      </c>
      <c r="BI5319" s="106">
        <v>61.78</v>
      </c>
      <c r="BO5319" s="74">
        <v>66.349999999999994</v>
      </c>
      <c r="BU5319" s="106">
        <v>33.594999999999999</v>
      </c>
    </row>
    <row r="5320" spans="1:208" x14ac:dyDescent="0.25">
      <c r="A5320" s="127">
        <v>45805</v>
      </c>
      <c r="B5320" s="24" t="s">
        <v>113</v>
      </c>
      <c r="C5320" s="21">
        <f t="shared" si="87"/>
        <v>100.55500000000001</v>
      </c>
      <c r="BU5320" s="106">
        <f>75.875+24.68</f>
        <v>100.55500000000001</v>
      </c>
    </row>
    <row r="5321" spans="1:208" x14ac:dyDescent="0.25">
      <c r="A5321" s="127">
        <v>45805</v>
      </c>
      <c r="B5321" s="24" t="s">
        <v>115</v>
      </c>
      <c r="C5321" s="21">
        <f t="shared" si="87"/>
        <v>37.5</v>
      </c>
      <c r="F5321" s="145">
        <v>37.5</v>
      </c>
    </row>
    <row r="5322" spans="1:208" x14ac:dyDescent="0.25">
      <c r="A5322" s="127">
        <v>45805</v>
      </c>
      <c r="B5322" s="24" t="s">
        <v>139</v>
      </c>
      <c r="C5322" s="21">
        <f t="shared" si="87"/>
        <v>-14.4</v>
      </c>
      <c r="Z5322" s="79">
        <v>-6.31</v>
      </c>
      <c r="BO5322" s="74">
        <v>-8.09</v>
      </c>
    </row>
    <row r="5323" spans="1:208" x14ac:dyDescent="0.25">
      <c r="A5323" s="127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27">
        <v>45806</v>
      </c>
      <c r="B5324" s="24" t="s">
        <v>133</v>
      </c>
      <c r="C5324" s="21">
        <f t="shared" si="87"/>
        <v>-232.935</v>
      </c>
      <c r="AW5324" s="74">
        <v>-36</v>
      </c>
      <c r="BC5324" s="74">
        <v>-66.03</v>
      </c>
      <c r="BI5324" s="106">
        <v>-30.585000000000001</v>
      </c>
      <c r="BO5324" s="74">
        <v>-32.844999999999999</v>
      </c>
      <c r="BU5324" s="106">
        <v>-67.474999999999994</v>
      </c>
    </row>
    <row r="5325" spans="1:208" x14ac:dyDescent="0.25">
      <c r="A5325" s="127">
        <v>45806</v>
      </c>
      <c r="B5325" s="24" t="s">
        <v>169</v>
      </c>
      <c r="C5325" s="21">
        <f t="shared" si="87"/>
        <v>-32.494999999999997</v>
      </c>
      <c r="E5325" s="145">
        <v>-32.494999999999997</v>
      </c>
    </row>
    <row r="5326" spans="1:208" x14ac:dyDescent="0.25">
      <c r="A5326" s="127">
        <v>45806</v>
      </c>
      <c r="B5326" s="24" t="s">
        <v>213</v>
      </c>
      <c r="C5326" s="21">
        <f t="shared" si="87"/>
        <v>-65.56</v>
      </c>
      <c r="BI5326" s="106">
        <v>-16.414999999999999</v>
      </c>
      <c r="BO5326" s="74">
        <v>-8.4</v>
      </c>
      <c r="BU5326" s="106">
        <v>-16.86</v>
      </c>
      <c r="CG5326" s="106">
        <v>-8.0749999999999993</v>
      </c>
      <c r="CM5326" s="74">
        <v>-15.81</v>
      </c>
    </row>
    <row r="5327" spans="1:208" x14ac:dyDescent="0.25">
      <c r="A5327" s="127">
        <v>45806</v>
      </c>
      <c r="B5327" s="24" t="s">
        <v>197</v>
      </c>
      <c r="C5327" s="21">
        <f t="shared" si="87"/>
        <v>-53.42</v>
      </c>
      <c r="BU5327" s="106">
        <v>-8.3149999999999995</v>
      </c>
      <c r="CA5327" s="106">
        <v>-6.91</v>
      </c>
      <c r="CG5327" s="106">
        <v>-8.0649999999999995</v>
      </c>
      <c r="DG5327" s="126">
        <v>-30.13</v>
      </c>
    </row>
    <row r="5328" spans="1:208" x14ac:dyDescent="0.25">
      <c r="A5328" s="127">
        <v>45806</v>
      </c>
      <c r="B5328" s="24" t="s">
        <v>218</v>
      </c>
      <c r="C5328" s="21">
        <f t="shared" si="87"/>
        <v>229.23</v>
      </c>
      <c r="BQ5328" s="126">
        <v>31.87</v>
      </c>
      <c r="DG5328" s="126">
        <v>23.43</v>
      </c>
      <c r="DW5328" s="126">
        <v>59.48</v>
      </c>
      <c r="EC5328" s="126">
        <v>35.450000000000003</v>
      </c>
      <c r="EI5328" s="150">
        <v>35.92</v>
      </c>
      <c r="EM5328" s="150">
        <v>43.08</v>
      </c>
    </row>
    <row r="5329" spans="1:226" x14ac:dyDescent="0.25">
      <c r="A5329" s="127">
        <v>45807</v>
      </c>
      <c r="B5329" s="24" t="s">
        <v>224</v>
      </c>
      <c r="C5329" s="21">
        <f t="shared" si="87"/>
        <v>-32.51</v>
      </c>
      <c r="CY5329" s="74">
        <v>-32.51</v>
      </c>
    </row>
    <row r="5330" spans="1:226" x14ac:dyDescent="0.25">
      <c r="A5330" s="127">
        <v>45807</v>
      </c>
      <c r="B5330" s="24" t="s">
        <v>48</v>
      </c>
      <c r="C5330" s="21">
        <f t="shared" si="87"/>
        <v>-17.015000000000001</v>
      </c>
      <c r="BO5330" s="74">
        <v>-17.015000000000001</v>
      </c>
    </row>
    <row r="5331" spans="1:226" x14ac:dyDescent="0.25">
      <c r="A5331" s="127">
        <v>45807</v>
      </c>
      <c r="B5331" s="24" t="s">
        <v>79</v>
      </c>
      <c r="C5331" s="21">
        <f t="shared" si="87"/>
        <v>-39.119999999999997</v>
      </c>
      <c r="BI5331" s="106">
        <v>-14.545</v>
      </c>
      <c r="BQ5331" s="126">
        <v>-8.89</v>
      </c>
      <c r="CA5331" s="106">
        <v>-15.685</v>
      </c>
    </row>
    <row r="5332" spans="1:226" x14ac:dyDescent="0.25">
      <c r="A5332" s="127">
        <v>45807</v>
      </c>
      <c r="B5332" s="24" t="s">
        <v>75</v>
      </c>
      <c r="C5332" s="21">
        <f t="shared" si="87"/>
        <v>-8.06</v>
      </c>
      <c r="CG5332" s="106">
        <v>-8.06</v>
      </c>
    </row>
    <row r="5333" spans="1:226" x14ac:dyDescent="0.25">
      <c r="A5333" s="127">
        <v>45807</v>
      </c>
      <c r="B5333" s="24" t="s">
        <v>213</v>
      </c>
      <c r="C5333" s="21">
        <f t="shared" si="87"/>
        <v>-7.49</v>
      </c>
      <c r="BQ5333" s="126">
        <v>-7.49</v>
      </c>
    </row>
    <row r="5334" spans="1:226" x14ac:dyDescent="0.25">
      <c r="A5334" s="127">
        <v>45807</v>
      </c>
      <c r="B5334" s="24" t="s">
        <v>213</v>
      </c>
      <c r="C5334" s="21">
        <f t="shared" si="87"/>
        <v>-25.504999999999999</v>
      </c>
      <c r="BU5334" s="106">
        <v>-16.87</v>
      </c>
      <c r="CA5334" s="106">
        <v>-8.6349999999999998</v>
      </c>
    </row>
    <row r="5335" spans="1:226" x14ac:dyDescent="0.25">
      <c r="A5335" s="127">
        <v>45810</v>
      </c>
      <c r="B5335" s="24" t="s">
        <v>138</v>
      </c>
      <c r="C5335" s="21">
        <f t="shared" si="87"/>
        <v>-7.8</v>
      </c>
      <c r="BU5335" s="106">
        <v>-7.8</v>
      </c>
    </row>
    <row r="5336" spans="1:226" x14ac:dyDescent="0.25">
      <c r="A5336" s="127">
        <v>45810</v>
      </c>
      <c r="B5336" s="24" t="s">
        <v>25</v>
      </c>
      <c r="C5336" s="21">
        <f t="shared" si="87"/>
        <v>-39.85</v>
      </c>
      <c r="BC5336" s="74">
        <v>-7.9950000000000001</v>
      </c>
      <c r="BQ5336" s="126">
        <v>-7.75</v>
      </c>
      <c r="BU5336" s="106">
        <v>-7.95</v>
      </c>
      <c r="CG5336" s="106">
        <v>-8.08</v>
      </c>
      <c r="CM5336" s="74">
        <v>-8.0749999999999993</v>
      </c>
    </row>
    <row r="5337" spans="1:226" x14ac:dyDescent="0.25">
      <c r="A5337" s="127">
        <v>45810</v>
      </c>
      <c r="B5337" s="24" t="s">
        <v>17</v>
      </c>
      <c r="C5337" s="21">
        <f t="shared" si="87"/>
        <v>-15.895</v>
      </c>
      <c r="BI5337" s="106">
        <v>-15.895</v>
      </c>
    </row>
    <row r="5338" spans="1:226" x14ac:dyDescent="0.25">
      <c r="A5338" s="127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27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74">
        <v>-15.955</v>
      </c>
      <c r="AW5339" s="74">
        <v>-7.94</v>
      </c>
      <c r="BC5339" s="74">
        <v>-15.994999999999999</v>
      </c>
      <c r="BU5339" s="106">
        <v>-8.4049999999999994</v>
      </c>
      <c r="CG5339" s="106">
        <v>-17.545000000000002</v>
      </c>
      <c r="CM5339" s="74">
        <v>-15.475</v>
      </c>
    </row>
    <row r="5340" spans="1:226" x14ac:dyDescent="0.25">
      <c r="A5340" s="127">
        <v>45810</v>
      </c>
      <c r="B5340" s="24" t="s">
        <v>218</v>
      </c>
      <c r="C5340" s="21">
        <f t="shared" si="87"/>
        <v>627.62</v>
      </c>
      <c r="CU5340" s="126">
        <v>8.1999999999999993</v>
      </c>
      <c r="DA5340" s="126">
        <v>34.28</v>
      </c>
      <c r="DG5340" s="126">
        <v>8.3800000000000008</v>
      </c>
      <c r="DM5340" s="150">
        <v>53.11</v>
      </c>
      <c r="DR5340" s="46">
        <v>42.18</v>
      </c>
      <c r="DW5340" s="126">
        <v>25.85</v>
      </c>
      <c r="EC5340" s="126">
        <v>16.45</v>
      </c>
      <c r="EI5340" s="150">
        <v>8.8800000000000008</v>
      </c>
      <c r="EM5340" s="150">
        <v>41.32</v>
      </c>
      <c r="EQ5340" s="46">
        <v>41.15</v>
      </c>
      <c r="EU5340" s="126">
        <f>86.65+17.57</f>
        <v>104.22</v>
      </c>
      <c r="EV5340" s="170">
        <v>14.1</v>
      </c>
      <c r="EX5340" s="251">
        <v>13.9</v>
      </c>
      <c r="FH5340" s="46">
        <v>26.35</v>
      </c>
      <c r="FN5340" s="150">
        <v>24.2</v>
      </c>
      <c r="FO5340" s="210">
        <v>48.15</v>
      </c>
      <c r="FP5340" s="210">
        <v>23.75</v>
      </c>
      <c r="FW5340" s="150">
        <v>67.95</v>
      </c>
      <c r="GI5340" s="251">
        <v>25.2</v>
      </c>
    </row>
    <row r="5341" spans="1:226" x14ac:dyDescent="0.25">
      <c r="A5341" s="127">
        <v>45811</v>
      </c>
      <c r="B5341" s="24" t="s">
        <v>33</v>
      </c>
      <c r="C5341" s="21">
        <f t="shared" si="87"/>
        <v>-24.864999999999998</v>
      </c>
      <c r="BC5341" s="74">
        <v>-8.0449999999999999</v>
      </c>
      <c r="BU5341" s="106">
        <v>-8.2799999999999994</v>
      </c>
      <c r="CA5341" s="106">
        <v>-8.5399999999999991</v>
      </c>
    </row>
    <row r="5342" spans="1:226" x14ac:dyDescent="0.25">
      <c r="A5342" s="127">
        <v>45811</v>
      </c>
      <c r="B5342" s="24" t="s">
        <v>58</v>
      </c>
      <c r="C5342" s="21">
        <f t="shared" si="87"/>
        <v>-23.75</v>
      </c>
      <c r="FP5342" s="210">
        <v>-23.75</v>
      </c>
    </row>
    <row r="5343" spans="1:226" x14ac:dyDescent="0.25">
      <c r="A5343" s="127">
        <v>45812</v>
      </c>
      <c r="B5343" s="24" t="s">
        <v>127</v>
      </c>
      <c r="C5343" s="21">
        <f t="shared" si="87"/>
        <v>-7.74</v>
      </c>
      <c r="BQ5343" s="126">
        <v>-7.74</v>
      </c>
    </row>
    <row r="5344" spans="1:226" x14ac:dyDescent="0.25">
      <c r="A5344" s="127">
        <v>45818</v>
      </c>
      <c r="B5344" s="24" t="s">
        <v>82</v>
      </c>
      <c r="C5344" s="21">
        <f t="shared" si="87"/>
        <v>-83.915000000000006</v>
      </c>
      <c r="HM5344" s="106">
        <v>-32.67</v>
      </c>
      <c r="HR5344" s="92">
        <v>-51.244999999999997</v>
      </c>
    </row>
    <row r="5345" spans="1:179" x14ac:dyDescent="0.25">
      <c r="A5345" s="127">
        <v>45818</v>
      </c>
      <c r="B5345" s="24" t="s">
        <v>33</v>
      </c>
      <c r="C5345" s="21">
        <f t="shared" si="87"/>
        <v>-9.25</v>
      </c>
      <c r="EC5345" s="126">
        <v>-9.25</v>
      </c>
    </row>
    <row r="5346" spans="1:179" x14ac:dyDescent="0.25">
      <c r="A5346" s="127">
        <v>45818</v>
      </c>
      <c r="B5346" s="24" t="s">
        <v>192</v>
      </c>
      <c r="C5346" s="21">
        <f t="shared" si="87"/>
        <v>-8.08</v>
      </c>
      <c r="CG5346" s="106">
        <v>-8.08</v>
      </c>
    </row>
    <row r="5347" spans="1:179" x14ac:dyDescent="0.25">
      <c r="A5347" s="127">
        <v>45819</v>
      </c>
      <c r="B5347" s="24" t="s">
        <v>20</v>
      </c>
      <c r="C5347" s="21">
        <f t="shared" si="87"/>
        <v>-41.305</v>
      </c>
      <c r="AW5347" s="74">
        <v>-7.98</v>
      </c>
      <c r="BC5347" s="74">
        <v>-8.0250000000000004</v>
      </c>
      <c r="CA5347" s="106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27">
        <v>45819</v>
      </c>
      <c r="B5348" s="24" t="s">
        <v>138</v>
      </c>
      <c r="C5348" s="21">
        <f t="shared" si="87"/>
        <v>-8.5350000000000001</v>
      </c>
      <c r="CM5348" s="74">
        <v>-8.5350000000000001</v>
      </c>
    </row>
    <row r="5349" spans="1:179" x14ac:dyDescent="0.25">
      <c r="A5349" s="127">
        <v>45819</v>
      </c>
      <c r="B5349" s="24" t="s">
        <v>152</v>
      </c>
      <c r="C5349" s="21">
        <f t="shared" si="87"/>
        <v>-67.915000000000006</v>
      </c>
      <c r="CY5349" s="74">
        <v>-32.564999999999998</v>
      </c>
      <c r="EI5349" s="150">
        <v>-35.35</v>
      </c>
    </row>
    <row r="5350" spans="1:179" x14ac:dyDescent="0.25">
      <c r="A5350" s="127">
        <v>45819</v>
      </c>
      <c r="B5350" s="24" t="s">
        <v>48</v>
      </c>
      <c r="C5350" s="21">
        <f t="shared" si="87"/>
        <v>-76.605000000000004</v>
      </c>
      <c r="DP5350" s="74">
        <v>-17.38</v>
      </c>
      <c r="EA5350" s="74">
        <v>-16.574999999999999</v>
      </c>
      <c r="EC5350" s="126">
        <v>-42.65</v>
      </c>
    </row>
    <row r="5351" spans="1:179" x14ac:dyDescent="0.25">
      <c r="A5351" s="127">
        <v>45820</v>
      </c>
      <c r="B5351" s="24" t="s">
        <v>24</v>
      </c>
      <c r="C5351" s="21">
        <f t="shared" si="87"/>
        <v>-30.065000000000001</v>
      </c>
      <c r="AW5351" s="74">
        <v>-6</v>
      </c>
      <c r="BC5351" s="74">
        <v>-7.95</v>
      </c>
      <c r="CG5351" s="106">
        <v>-16.114999999999998</v>
      </c>
    </row>
    <row r="5352" spans="1:179" x14ac:dyDescent="0.25">
      <c r="A5352" s="127">
        <v>45820</v>
      </c>
      <c r="B5352" s="24" t="s">
        <v>193</v>
      </c>
      <c r="C5352" s="21">
        <f t="shared" si="87"/>
        <v>-24.38</v>
      </c>
      <c r="CG5352" s="106">
        <v>-8.07</v>
      </c>
      <c r="CU5352" s="126">
        <v>-8.1999999999999993</v>
      </c>
      <c r="CY5352" s="74">
        <v>-8.11</v>
      </c>
    </row>
    <row r="5353" spans="1:179" x14ac:dyDescent="0.25">
      <c r="A5353" s="127">
        <v>45820</v>
      </c>
      <c r="B5353" s="24" t="s">
        <v>218</v>
      </c>
      <c r="C5353" s="21">
        <f t="shared" si="87"/>
        <v>-40.96</v>
      </c>
      <c r="AG5353" s="106">
        <f>-8.61-8.615</f>
        <v>-17.225000000000001</v>
      </c>
      <c r="AN5353" s="74">
        <v>-8.44</v>
      </c>
      <c r="AR5353" s="74">
        <v>-7.9950000000000001</v>
      </c>
      <c r="AW5353" s="74">
        <v>-7.3</v>
      </c>
    </row>
    <row r="5354" spans="1:179" x14ac:dyDescent="0.25">
      <c r="A5354" s="127">
        <v>45820</v>
      </c>
      <c r="B5354" s="24" t="s">
        <v>48</v>
      </c>
      <c r="C5354" s="21">
        <f t="shared" si="87"/>
        <v>-22.55</v>
      </c>
      <c r="FW5354" s="150">
        <v>-22.55</v>
      </c>
    </row>
    <row r="5355" spans="1:179" x14ac:dyDescent="0.25">
      <c r="A5355" s="127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74">
        <v>-7.96</v>
      </c>
      <c r="BC5355" s="74">
        <v>-8.0050000000000008</v>
      </c>
    </row>
    <row r="5356" spans="1:179" x14ac:dyDescent="0.25">
      <c r="A5356" s="127">
        <v>45821</v>
      </c>
      <c r="B5356" s="24" t="s">
        <v>138</v>
      </c>
      <c r="C5356" s="21">
        <f t="shared" si="87"/>
        <v>-40.549999999999997</v>
      </c>
      <c r="AW5356" s="74">
        <v>-15.88</v>
      </c>
      <c r="BC5356" s="74">
        <v>-16.079999999999998</v>
      </c>
      <c r="CM5356" s="74">
        <v>-8.59</v>
      </c>
    </row>
    <row r="5357" spans="1:179" x14ac:dyDescent="0.25">
      <c r="A5357" s="127">
        <v>45821</v>
      </c>
      <c r="B5357" s="24" t="s">
        <v>50</v>
      </c>
      <c r="C5357" s="21">
        <f t="shared" si="87"/>
        <v>-67.010000000000005</v>
      </c>
      <c r="DP5357" s="74">
        <v>-24.83</v>
      </c>
      <c r="DR5357" s="46">
        <v>-42.18</v>
      </c>
    </row>
    <row r="5358" spans="1:179" x14ac:dyDescent="0.25">
      <c r="A5358" s="127">
        <v>45821</v>
      </c>
      <c r="B5358" s="24" t="s">
        <v>25</v>
      </c>
      <c r="C5358" s="21">
        <f t="shared" si="87"/>
        <v>-16.594999999999999</v>
      </c>
      <c r="CG5358" s="106">
        <v>-8.0749999999999993</v>
      </c>
      <c r="CM5358" s="74">
        <v>-8.52</v>
      </c>
    </row>
    <row r="5359" spans="1:179" x14ac:dyDescent="0.25">
      <c r="A5359" s="127">
        <v>45825</v>
      </c>
      <c r="B5359" s="24" t="s">
        <v>113</v>
      </c>
      <c r="C5359" s="21">
        <f t="shared" si="87"/>
        <v>286.26</v>
      </c>
      <c r="BC5359" s="74">
        <v>34.555</v>
      </c>
      <c r="BI5359" s="106">
        <v>64.44</v>
      </c>
      <c r="BO5359" s="74">
        <v>44.005000000000003</v>
      </c>
      <c r="BU5359" s="106">
        <v>41.515000000000001</v>
      </c>
      <c r="CA5359" s="106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27">
        <v>45825</v>
      </c>
      <c r="B5360" s="24" t="s">
        <v>79</v>
      </c>
      <c r="C5360" s="21">
        <f t="shared" si="87"/>
        <v>-7.1</v>
      </c>
      <c r="BU5360" s="106">
        <v>-7.1</v>
      </c>
    </row>
    <row r="5361" spans="1:242" x14ac:dyDescent="0.25">
      <c r="A5361" s="127">
        <v>45825</v>
      </c>
      <c r="B5361" s="24" t="s">
        <v>197</v>
      </c>
      <c r="C5361" s="21">
        <f t="shared" ref="C5361:C5424" si="88">SUM(D5361:JT5361)</f>
        <v>-34.604999999999997</v>
      </c>
      <c r="BC5361" s="74">
        <v>-16.785</v>
      </c>
      <c r="BI5361" s="106">
        <v>-17.82</v>
      </c>
    </row>
    <row r="5362" spans="1:242" x14ac:dyDescent="0.25">
      <c r="A5362" s="127">
        <v>45825</v>
      </c>
      <c r="B5362" s="24" t="s">
        <v>138</v>
      </c>
      <c r="C5362" s="21">
        <f t="shared" si="88"/>
        <v>-96.04</v>
      </c>
      <c r="AN5362" s="74">
        <v>-8.32</v>
      </c>
      <c r="BI5362" s="106">
        <v>-8.06</v>
      </c>
      <c r="BO5362" s="74">
        <v>-13.78</v>
      </c>
      <c r="BU5362" s="106">
        <v>-14.22</v>
      </c>
      <c r="CA5362" s="106">
        <v>-17.77</v>
      </c>
      <c r="CG5362" s="106">
        <v>-8.6999999999999993</v>
      </c>
      <c r="CM5362" s="74">
        <v>-25.19</v>
      </c>
    </row>
    <row r="5363" spans="1:242" x14ac:dyDescent="0.25">
      <c r="A5363" s="127">
        <v>45825</v>
      </c>
      <c r="B5363" s="24" t="s">
        <v>20</v>
      </c>
      <c r="C5363" s="21">
        <f t="shared" si="88"/>
        <v>-14.54</v>
      </c>
      <c r="BI5363" s="106">
        <v>-7.6349999999999998</v>
      </c>
      <c r="BO5363" s="74">
        <v>-6.9050000000000002</v>
      </c>
    </row>
    <row r="5364" spans="1:242" x14ac:dyDescent="0.25">
      <c r="A5364" s="127">
        <v>45825</v>
      </c>
      <c r="B5364" s="24" t="s">
        <v>213</v>
      </c>
      <c r="C5364" s="21">
        <f t="shared" si="88"/>
        <v>-109.94</v>
      </c>
      <c r="BI5364" s="106">
        <v>-30.925000000000001</v>
      </c>
      <c r="BO5364" s="74">
        <v>-16.094999999999999</v>
      </c>
      <c r="BU5364" s="106">
        <v>-13.09</v>
      </c>
      <c r="CA5364" s="106">
        <v>-15.065</v>
      </c>
      <c r="CG5364" s="106">
        <v>-18.61</v>
      </c>
      <c r="CS5364" s="74">
        <v>-16.155000000000001</v>
      </c>
    </row>
    <row r="5365" spans="1:242" x14ac:dyDescent="0.25">
      <c r="A5365" s="127">
        <v>45826</v>
      </c>
      <c r="B5365" s="24" t="s">
        <v>224</v>
      </c>
      <c r="C5365" s="21">
        <f t="shared" si="88"/>
        <v>-8.8650000000000002</v>
      </c>
      <c r="CG5365" s="106">
        <v>-8.8650000000000002</v>
      </c>
    </row>
    <row r="5366" spans="1:242" x14ac:dyDescent="0.25">
      <c r="A5366" s="127">
        <v>45827</v>
      </c>
      <c r="B5366" s="24" t="s">
        <v>44</v>
      </c>
      <c r="C5366" s="21">
        <f t="shared" si="88"/>
        <v>-71.959999999999994</v>
      </c>
      <c r="GO5366" s="110">
        <v>-7.34</v>
      </c>
      <c r="GQ5366" s="92">
        <v>-64.62</v>
      </c>
    </row>
    <row r="5367" spans="1:242" x14ac:dyDescent="0.25">
      <c r="A5367" s="127">
        <v>45827</v>
      </c>
      <c r="B5367" s="24" t="s">
        <v>184</v>
      </c>
      <c r="C5367" s="21">
        <f t="shared" si="88"/>
        <v>-67.25</v>
      </c>
      <c r="CM5367" s="74">
        <v>-8.5</v>
      </c>
      <c r="DA5367" s="126">
        <v>-7.77</v>
      </c>
      <c r="DK5367" s="74">
        <v>-17</v>
      </c>
      <c r="DW5367" s="126">
        <v>-33.979999999999997</v>
      </c>
    </row>
    <row r="5368" spans="1:242" x14ac:dyDescent="0.25">
      <c r="A5368" s="127">
        <v>45827</v>
      </c>
      <c r="B5368" s="24" t="s">
        <v>218</v>
      </c>
      <c r="C5368" s="21">
        <f t="shared" si="88"/>
        <v>59.56</v>
      </c>
      <c r="EX5368" s="251">
        <v>-13.9</v>
      </c>
      <c r="IB5368" s="42">
        <v>37.299999999999997</v>
      </c>
      <c r="IH5368" s="34">
        <v>36.159999999999997</v>
      </c>
    </row>
    <row r="5369" spans="1:242" x14ac:dyDescent="0.25">
      <c r="A5369" s="127">
        <v>45828</v>
      </c>
      <c r="B5369" s="24" t="s">
        <v>20</v>
      </c>
      <c r="C5369" s="21">
        <f t="shared" si="88"/>
        <v>-16.945</v>
      </c>
      <c r="CM5369" s="74">
        <v>-8.6300000000000008</v>
      </c>
      <c r="CS5369" s="74">
        <v>-8.3149999999999995</v>
      </c>
    </row>
    <row r="5370" spans="1:242" x14ac:dyDescent="0.25">
      <c r="A5370" s="127">
        <v>45829</v>
      </c>
      <c r="B5370" s="24" t="s">
        <v>113</v>
      </c>
      <c r="C5370" s="21">
        <f t="shared" si="88"/>
        <v>341.04</v>
      </c>
      <c r="BI5370" s="106">
        <f>39.985+37.55</f>
        <v>77.534999999999997</v>
      </c>
      <c r="BO5370" s="74">
        <v>65.36</v>
      </c>
      <c r="BU5370" s="106">
        <v>70.055000000000007</v>
      </c>
      <c r="CA5370" s="106">
        <v>64.575000000000003</v>
      </c>
      <c r="CG5370" s="106">
        <v>31.13</v>
      </c>
      <c r="CS5370" s="74">
        <v>32.384999999999998</v>
      </c>
    </row>
    <row r="5371" spans="1:242" x14ac:dyDescent="0.25">
      <c r="A5371" s="127">
        <v>45831</v>
      </c>
      <c r="B5371" s="24" t="s">
        <v>33</v>
      </c>
      <c r="C5371" s="21">
        <f t="shared" si="88"/>
        <v>-32.15</v>
      </c>
      <c r="BI5371" s="106">
        <v>-8.0399999999999991</v>
      </c>
      <c r="BO5371" s="74">
        <v>-7.2249999999999996</v>
      </c>
      <c r="BU5371" s="106">
        <v>-8.93</v>
      </c>
      <c r="CA5371" s="106">
        <v>-7.9550000000000001</v>
      </c>
    </row>
    <row r="5372" spans="1:242" x14ac:dyDescent="0.25">
      <c r="A5372" s="127">
        <v>45831</v>
      </c>
      <c r="B5372" s="24" t="s">
        <v>197</v>
      </c>
      <c r="C5372" s="21">
        <f t="shared" si="88"/>
        <v>-59.185000000000002</v>
      </c>
      <c r="BU5372" s="106">
        <v>-15.875</v>
      </c>
      <c r="CM5372" s="74">
        <v>-17.05</v>
      </c>
      <c r="DA5372" s="126">
        <v>-26.26</v>
      </c>
    </row>
    <row r="5373" spans="1:242" x14ac:dyDescent="0.25">
      <c r="A5373" s="127">
        <v>45831</v>
      </c>
      <c r="B5373" s="24" t="s">
        <v>24</v>
      </c>
      <c r="C5373" s="21">
        <f t="shared" si="88"/>
        <v>-110.685</v>
      </c>
      <c r="BC5373" s="74">
        <v>-8.81</v>
      </c>
      <c r="BI5373" s="106">
        <v>-14.535</v>
      </c>
      <c r="BO5373" s="74">
        <v>-16.12</v>
      </c>
      <c r="BU5373" s="106">
        <v>-17.12</v>
      </c>
      <c r="CA5373" s="106">
        <v>-15.685</v>
      </c>
      <c r="CM5373" s="74">
        <v>-13.56</v>
      </c>
      <c r="CS5373" s="74">
        <v>-24.855</v>
      </c>
    </row>
    <row r="5374" spans="1:242" x14ac:dyDescent="0.25">
      <c r="A5374" s="127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27">
        <v>45831</v>
      </c>
      <c r="B5375" s="24" t="s">
        <v>213</v>
      </c>
      <c r="C5375" s="21">
        <f t="shared" si="88"/>
        <v>-138.33000000000001</v>
      </c>
      <c r="BC5375" s="74">
        <v>-8.9600000000000009</v>
      </c>
      <c r="BI5375" s="106">
        <v>-31.97</v>
      </c>
      <c r="BO5375" s="74">
        <v>-16.785</v>
      </c>
      <c r="BU5375" s="106">
        <v>-17.594999999999999</v>
      </c>
      <c r="CA5375" s="106">
        <v>-16.094999999999999</v>
      </c>
      <c r="CG5375" s="106">
        <v>-31.13</v>
      </c>
      <c r="CS5375" s="74">
        <v>-15.795</v>
      </c>
    </row>
    <row r="5376" spans="1:242" x14ac:dyDescent="0.25">
      <c r="A5376" s="127">
        <v>45831</v>
      </c>
      <c r="B5376" s="24" t="s">
        <v>184</v>
      </c>
      <c r="C5376" s="21">
        <f t="shared" si="88"/>
        <v>-16.559999999999999</v>
      </c>
      <c r="AN5376" s="74">
        <v>-8.56</v>
      </c>
      <c r="BO5376" s="74">
        <v>-8</v>
      </c>
    </row>
    <row r="5377" spans="1:199" x14ac:dyDescent="0.25">
      <c r="A5377" s="127">
        <v>45831</v>
      </c>
      <c r="B5377" s="24" t="s">
        <v>192</v>
      </c>
      <c r="C5377" s="21">
        <f t="shared" si="88"/>
        <v>-8.94</v>
      </c>
      <c r="CA5377" s="106">
        <v>-8.94</v>
      </c>
    </row>
    <row r="5378" spans="1:199" x14ac:dyDescent="0.25">
      <c r="A5378" s="127">
        <v>45831</v>
      </c>
      <c r="B5378" s="24" t="s">
        <v>212</v>
      </c>
      <c r="C5378" s="21">
        <f t="shared" si="88"/>
        <v>-88.944999999999993</v>
      </c>
      <c r="AN5378" s="74">
        <v>-7.96</v>
      </c>
      <c r="BI5378" s="106">
        <v>-22.99</v>
      </c>
      <c r="BO5378" s="74">
        <v>-24.454999999999998</v>
      </c>
      <c r="BU5378" s="106">
        <v>-17.64</v>
      </c>
      <c r="CA5378" s="106">
        <v>-15.9</v>
      </c>
    </row>
    <row r="5379" spans="1:199" x14ac:dyDescent="0.25">
      <c r="A5379" s="127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27">
        <v>45833</v>
      </c>
      <c r="B5380" s="24" t="s">
        <v>113</v>
      </c>
      <c r="C5380" s="21">
        <f t="shared" si="88"/>
        <v>381.72500000000002</v>
      </c>
      <c r="BI5380" s="106">
        <v>64.375</v>
      </c>
      <c r="BU5380" s="106">
        <v>33.08</v>
      </c>
      <c r="CM5380" s="74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27">
        <v>45833</v>
      </c>
      <c r="B5381" s="24" t="s">
        <v>113</v>
      </c>
      <c r="C5381" s="21">
        <f t="shared" si="88"/>
        <v>708.94200000000001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74">
        <v>98.355000000000004</v>
      </c>
      <c r="BC5381" s="74">
        <v>34.104999999999997</v>
      </c>
      <c r="BO5381" s="74">
        <v>34.774999999999999</v>
      </c>
      <c r="BU5381" s="106">
        <v>32.549999999999997</v>
      </c>
      <c r="CG5381" s="106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27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27">
        <v>45834</v>
      </c>
      <c r="B5383" s="24" t="s">
        <v>184</v>
      </c>
      <c r="C5383" s="21">
        <f t="shared" si="88"/>
        <v>-114.36</v>
      </c>
      <c r="AR5383" s="74">
        <v>-8.33</v>
      </c>
      <c r="EA5383" s="74">
        <v>-106.03</v>
      </c>
    </row>
    <row r="5384" spans="1:199" x14ac:dyDescent="0.25">
      <c r="A5384" s="127">
        <v>45834</v>
      </c>
      <c r="B5384" s="24" t="s">
        <v>197</v>
      </c>
      <c r="C5384" s="21">
        <f t="shared" si="88"/>
        <v>-15.71</v>
      </c>
      <c r="CG5384" s="106">
        <v>-15.71</v>
      </c>
    </row>
    <row r="5385" spans="1:199" x14ac:dyDescent="0.25">
      <c r="A5385" s="127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27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74">
        <v>-8.42</v>
      </c>
      <c r="AW5386" s="74">
        <v>-8.2550000000000008</v>
      </c>
      <c r="BC5386" s="74">
        <v>-8.51</v>
      </c>
      <c r="BU5386" s="106">
        <v>-8.16</v>
      </c>
    </row>
    <row r="5387" spans="1:199" x14ac:dyDescent="0.25">
      <c r="A5387" s="127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27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74">
        <v>-8.35</v>
      </c>
      <c r="AW5388" s="74">
        <v>-8.0050000000000008</v>
      </c>
      <c r="BU5388" s="106">
        <f>-7.935-8.42</f>
        <v>-16.355</v>
      </c>
    </row>
    <row r="5389" spans="1:199" x14ac:dyDescent="0.25">
      <c r="A5389" s="127">
        <v>45834</v>
      </c>
      <c r="B5389" s="24" t="s">
        <v>213</v>
      </c>
      <c r="C5389" s="21">
        <f t="shared" si="88"/>
        <v>-117.95</v>
      </c>
      <c r="AW5389" s="74">
        <v>-8.2449999999999992</v>
      </c>
      <c r="BI5389" s="106">
        <v>-24.66</v>
      </c>
      <c r="BO5389" s="74">
        <v>-8.125</v>
      </c>
      <c r="BU5389" s="106">
        <v>-16.675000000000001</v>
      </c>
      <c r="CM5389" s="74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27">
        <v>45834</v>
      </c>
      <c r="B5390" s="24" t="s">
        <v>213</v>
      </c>
      <c r="C5390" s="21">
        <f t="shared" si="88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27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27">
        <v>45834</v>
      </c>
      <c r="B5392" s="24" t="s">
        <v>115</v>
      </c>
      <c r="C5392" s="21">
        <f t="shared" si="88"/>
        <v>101.325</v>
      </c>
      <c r="D5392" s="145">
        <v>27.58</v>
      </c>
      <c r="E5392" s="145">
        <v>73.745000000000005</v>
      </c>
    </row>
    <row r="5393" spans="1:235" x14ac:dyDescent="0.25">
      <c r="A5393" s="127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74">
        <v>-8.3149999999999995</v>
      </c>
      <c r="AW5393" s="74">
        <v>-8.0399999999999991</v>
      </c>
      <c r="BI5393" s="106">
        <v>-7.78</v>
      </c>
    </row>
    <row r="5394" spans="1:235" x14ac:dyDescent="0.25">
      <c r="A5394" s="127">
        <v>45835</v>
      </c>
      <c r="B5394" s="24" t="s">
        <v>127</v>
      </c>
      <c r="C5394" s="21">
        <f t="shared" si="88"/>
        <v>-16.32</v>
      </c>
      <c r="DW5394" s="126">
        <v>-16.32</v>
      </c>
    </row>
    <row r="5395" spans="1:235" x14ac:dyDescent="0.25">
      <c r="A5395" s="127">
        <v>45835</v>
      </c>
      <c r="B5395" s="24" t="s">
        <v>31</v>
      </c>
      <c r="C5395" s="21">
        <f t="shared" si="88"/>
        <v>-43.204999999999998</v>
      </c>
      <c r="GO5395" s="110">
        <v>-28.245000000000001</v>
      </c>
      <c r="GW5395" s="92">
        <v>-8.94</v>
      </c>
      <c r="IA5395" s="79">
        <v>-6.02</v>
      </c>
    </row>
    <row r="5396" spans="1:235" x14ac:dyDescent="0.25">
      <c r="A5396" s="127">
        <v>45835</v>
      </c>
      <c r="B5396" s="24" t="s">
        <v>202</v>
      </c>
      <c r="C5396" s="21">
        <f t="shared" si="88"/>
        <v>-36.9</v>
      </c>
      <c r="E5396" s="145">
        <v>-36.9</v>
      </c>
    </row>
    <row r="5397" spans="1:235" x14ac:dyDescent="0.25">
      <c r="A5397" s="127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74">
        <v>-8.94</v>
      </c>
    </row>
    <row r="5398" spans="1:235" x14ac:dyDescent="0.25">
      <c r="A5398" s="127">
        <v>45835</v>
      </c>
      <c r="B5398" s="24" t="s">
        <v>25</v>
      </c>
      <c r="C5398" s="21">
        <f t="shared" si="88"/>
        <v>-46.24</v>
      </c>
      <c r="AW5398" s="74">
        <v>-8.3800000000000008</v>
      </c>
      <c r="BI5398" s="106">
        <v>-8.1649999999999991</v>
      </c>
      <c r="BO5398" s="74">
        <v>-8.875</v>
      </c>
      <c r="BU5398" s="106">
        <v>-8.1449999999999996</v>
      </c>
      <c r="CG5398" s="106">
        <v>-5.6950000000000003</v>
      </c>
      <c r="CM5398" s="74">
        <v>-6.98</v>
      </c>
    </row>
    <row r="5399" spans="1:235" x14ac:dyDescent="0.25">
      <c r="A5399" s="127">
        <v>45835</v>
      </c>
      <c r="B5399" s="24" t="s">
        <v>138</v>
      </c>
      <c r="C5399" s="21">
        <f t="shared" si="88"/>
        <v>-57.395000000000003</v>
      </c>
      <c r="AW5399" s="74">
        <v>-16.04</v>
      </c>
      <c r="BI5399" s="106">
        <v>-15.904999999999999</v>
      </c>
      <c r="BO5399" s="74">
        <v>-8.8350000000000009</v>
      </c>
      <c r="BU5399" s="106">
        <v>-8.1199999999999992</v>
      </c>
      <c r="CG5399" s="106">
        <v>-8.4949999999999992</v>
      </c>
    </row>
    <row r="5400" spans="1:235" x14ac:dyDescent="0.25">
      <c r="A5400" s="127">
        <v>45836</v>
      </c>
      <c r="B5400" s="24" t="s">
        <v>192</v>
      </c>
      <c r="C5400" s="21">
        <f t="shared" si="88"/>
        <v>-7.8650000000000002</v>
      </c>
      <c r="BI5400" s="106">
        <v>-7.8650000000000002</v>
      </c>
    </row>
    <row r="5401" spans="1:235" x14ac:dyDescent="0.25">
      <c r="A5401" s="127">
        <v>45839</v>
      </c>
      <c r="B5401" s="24" t="s">
        <v>113</v>
      </c>
      <c r="C5401" s="21">
        <f t="shared" si="88"/>
        <v>334.125</v>
      </c>
      <c r="GO5401" s="110">
        <v>334.125</v>
      </c>
    </row>
    <row r="5402" spans="1:235" x14ac:dyDescent="0.25">
      <c r="A5402" s="127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27">
        <v>45839</v>
      </c>
      <c r="B5403" s="24" t="s">
        <v>31</v>
      </c>
      <c r="C5403" s="21">
        <f t="shared" si="88"/>
        <v>-7.42</v>
      </c>
      <c r="GO5403" s="110">
        <v>-7.42</v>
      </c>
    </row>
    <row r="5404" spans="1:235" x14ac:dyDescent="0.25">
      <c r="A5404" s="127">
        <v>45840</v>
      </c>
      <c r="B5404" s="24" t="s">
        <v>44</v>
      </c>
      <c r="C5404" s="21">
        <f t="shared" si="88"/>
        <v>-141</v>
      </c>
      <c r="GO5404" s="110">
        <v>-116.47499999999999</v>
      </c>
      <c r="GQ5404" s="92">
        <v>-24.524999999999999</v>
      </c>
    </row>
    <row r="5405" spans="1:235" x14ac:dyDescent="0.25">
      <c r="A5405" s="127">
        <v>45840</v>
      </c>
      <c r="B5405" s="24" t="s">
        <v>202</v>
      </c>
      <c r="C5405" s="21">
        <f t="shared" si="88"/>
        <v>-9.25</v>
      </c>
      <c r="E5405" s="145">
        <v>-9.25</v>
      </c>
    </row>
    <row r="5406" spans="1:235" x14ac:dyDescent="0.25">
      <c r="A5406" s="127">
        <v>45841</v>
      </c>
      <c r="B5406" s="24" t="s">
        <v>213</v>
      </c>
      <c r="C5406" s="21">
        <f t="shared" si="88"/>
        <v>-8.4450000000000003</v>
      </c>
      <c r="DK5406" s="74">
        <v>-8.4450000000000003</v>
      </c>
    </row>
    <row r="5407" spans="1:235" x14ac:dyDescent="0.25">
      <c r="A5407" s="127">
        <v>45842</v>
      </c>
      <c r="B5407" s="24" t="s">
        <v>113</v>
      </c>
      <c r="C5407" s="21">
        <f t="shared" si="88"/>
        <v>397.33</v>
      </c>
      <c r="BO5407" s="74">
        <v>95.11</v>
      </c>
      <c r="BU5407" s="106">
        <v>63.86</v>
      </c>
      <c r="CA5407" s="106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27">
        <v>45842</v>
      </c>
      <c r="B5408" s="24" t="s">
        <v>133</v>
      </c>
      <c r="C5408" s="21">
        <f t="shared" si="88"/>
        <v>-301.95499999999998</v>
      </c>
      <c r="AW5408" s="74">
        <v>-18.585000000000001</v>
      </c>
      <c r="BO5408" s="74">
        <v>-49.31</v>
      </c>
      <c r="BU5408" s="106">
        <v>-40.270000000000003</v>
      </c>
      <c r="CA5408" s="106">
        <v>-34.625</v>
      </c>
      <c r="CG5408" s="106">
        <v>-37.765000000000001</v>
      </c>
      <c r="CM5408" s="74">
        <v>-79.144999999999996</v>
      </c>
      <c r="CS5408" s="74">
        <v>-8.2550000000000008</v>
      </c>
      <c r="DE5408" s="74">
        <v>-34</v>
      </c>
    </row>
    <row r="5409" spans="1:214" x14ac:dyDescent="0.25">
      <c r="A5409" s="127">
        <v>45842</v>
      </c>
      <c r="B5409" s="24" t="s">
        <v>193</v>
      </c>
      <c r="C5409" s="21">
        <f t="shared" si="88"/>
        <v>-22.91</v>
      </c>
      <c r="CA5409" s="106">
        <v>-8.64</v>
      </c>
      <c r="CM5409" s="74">
        <v>-5.98</v>
      </c>
      <c r="CS5409" s="74">
        <v>-8.2899999999999991</v>
      </c>
    </row>
    <row r="5410" spans="1:214" x14ac:dyDescent="0.25">
      <c r="A5410" s="127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27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27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27">
        <v>45843</v>
      </c>
      <c r="B5413" s="24" t="s">
        <v>197</v>
      </c>
      <c r="C5413" s="21">
        <f t="shared" si="88"/>
        <v>-50.98</v>
      </c>
      <c r="P5413" s="106">
        <v>-8.3450000000000006</v>
      </c>
      <c r="CG5413" s="106">
        <v>-8.85</v>
      </c>
      <c r="CM5413" s="74">
        <v>-8.5299999999999994</v>
      </c>
      <c r="DP5413" s="74">
        <v>-8.0449999999999999</v>
      </c>
      <c r="DU5413" s="106">
        <v>-17.21</v>
      </c>
    </row>
    <row r="5414" spans="1:214" x14ac:dyDescent="0.25">
      <c r="A5414" s="127">
        <v>45843</v>
      </c>
      <c r="B5414" s="24" t="s">
        <v>224</v>
      </c>
      <c r="C5414" s="21">
        <f t="shared" si="88"/>
        <v>-25.36</v>
      </c>
      <c r="BU5414" s="106">
        <v>-8.125</v>
      </c>
      <c r="CA5414" s="106">
        <v>-8.625</v>
      </c>
      <c r="CM5414" s="74">
        <v>-8.61</v>
      </c>
    </row>
    <row r="5415" spans="1:214" x14ac:dyDescent="0.25">
      <c r="A5415" s="127">
        <v>45843</v>
      </c>
      <c r="B5415" s="24" t="s">
        <v>20</v>
      </c>
      <c r="C5415" s="21">
        <f t="shared" si="88"/>
        <v>-8.26</v>
      </c>
      <c r="BO5415" s="74">
        <v>-8.26</v>
      </c>
    </row>
    <row r="5416" spans="1:214" x14ac:dyDescent="0.25">
      <c r="A5416" s="127">
        <v>45845</v>
      </c>
      <c r="B5416" s="24" t="s">
        <v>79</v>
      </c>
      <c r="C5416" s="21">
        <f t="shared" si="88"/>
        <v>-21.204999999999998</v>
      </c>
      <c r="CM5416" s="74">
        <v>-21.204999999999998</v>
      </c>
    </row>
    <row r="5417" spans="1:214" x14ac:dyDescent="0.25">
      <c r="A5417" s="127">
        <v>45845</v>
      </c>
      <c r="B5417" s="24" t="s">
        <v>115</v>
      </c>
      <c r="C5417" s="21">
        <f t="shared" si="88"/>
        <v>58.024999999999999</v>
      </c>
      <c r="E5417" s="145">
        <v>58.024999999999999</v>
      </c>
    </row>
    <row r="5418" spans="1:214" x14ac:dyDescent="0.25">
      <c r="A5418" s="127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27">
        <v>45846</v>
      </c>
      <c r="B5419" s="24" t="s">
        <v>134</v>
      </c>
      <c r="C5419" s="21">
        <f t="shared" si="88"/>
        <v>-67.224999999999994</v>
      </c>
      <c r="E5419" s="145">
        <v>-67.224999999999994</v>
      </c>
    </row>
    <row r="5420" spans="1:214" x14ac:dyDescent="0.25">
      <c r="A5420" s="127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106">
        <v>-8.4550000000000001</v>
      </c>
      <c r="CA5420" s="106">
        <v>-8.6050000000000004</v>
      </c>
      <c r="CG5420" s="106">
        <v>-8.8849999999999998</v>
      </c>
      <c r="CM5420" s="74">
        <v>-7.12</v>
      </c>
    </row>
    <row r="5421" spans="1:214" x14ac:dyDescent="0.25">
      <c r="A5421" s="127">
        <v>45847</v>
      </c>
      <c r="B5421" s="24" t="s">
        <v>113</v>
      </c>
      <c r="C5421" s="21">
        <f t="shared" si="88"/>
        <v>380.88299999999998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27">
        <v>45847</v>
      </c>
      <c r="B5422" s="24" t="s">
        <v>113</v>
      </c>
      <c r="C5422" s="21">
        <f t="shared" si="88"/>
        <v>646.76499999999999</v>
      </c>
      <c r="BO5422" s="74">
        <v>66.040000000000006</v>
      </c>
      <c r="CA5422" s="106">
        <v>67.72</v>
      </c>
      <c r="CM5422" s="74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27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27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74">
        <v>-16.64</v>
      </c>
      <c r="BO5424" s="74">
        <v>-15.2</v>
      </c>
      <c r="CA5424" s="106">
        <v>-16.190000000000001</v>
      </c>
      <c r="CM5424" s="74">
        <v>-34.145000000000003</v>
      </c>
    </row>
    <row r="5425" spans="1:236" x14ac:dyDescent="0.25">
      <c r="A5425" s="127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27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74">
        <v>-8.3550000000000004</v>
      </c>
      <c r="BO5426" s="74">
        <v>-22.34</v>
      </c>
      <c r="CA5426" s="106">
        <v>-17.344999999999999</v>
      </c>
      <c r="CG5426" s="106">
        <v>-17.64</v>
      </c>
      <c r="CM5426" s="74">
        <v>-7.68</v>
      </c>
      <c r="CS5426" s="74">
        <v>-16.754999999999999</v>
      </c>
      <c r="DP5426" s="74">
        <v>-18.48</v>
      </c>
      <c r="DU5426" s="106">
        <v>-8.625</v>
      </c>
      <c r="DW5426" s="126">
        <v>-8.77</v>
      </c>
      <c r="EA5426" s="74">
        <v>-32.755000000000003</v>
      </c>
      <c r="GZ5426" s="106">
        <v>-7</v>
      </c>
    </row>
    <row r="5427" spans="1:236" x14ac:dyDescent="0.25">
      <c r="A5427" s="127">
        <v>45847</v>
      </c>
      <c r="B5427" s="24" t="s">
        <v>173</v>
      </c>
      <c r="C5427" s="21">
        <f t="shared" si="89"/>
        <v>-17.11</v>
      </c>
      <c r="BU5427" s="106">
        <v>-8.4450000000000003</v>
      </c>
      <c r="CA5427" s="106">
        <v>-8.6649999999999991</v>
      </c>
    </row>
    <row r="5428" spans="1:236" x14ac:dyDescent="0.25">
      <c r="A5428" s="127">
        <v>45848</v>
      </c>
      <c r="B5428" s="24" t="s">
        <v>130</v>
      </c>
      <c r="C5428" s="21">
        <f t="shared" si="89"/>
        <v>-8.67</v>
      </c>
      <c r="CA5428" s="106">
        <v>-8.67</v>
      </c>
    </row>
    <row r="5429" spans="1:236" x14ac:dyDescent="0.25">
      <c r="A5429" s="127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27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27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27">
        <v>45852</v>
      </c>
      <c r="B5432" s="24" t="s">
        <v>213</v>
      </c>
      <c r="C5432" s="21">
        <f t="shared" si="89"/>
        <v>-83.745000000000005</v>
      </c>
      <c r="BO5432" s="74">
        <v>-25.52</v>
      </c>
      <c r="BU5432" s="106">
        <v>-6.69</v>
      </c>
      <c r="CA5432" s="106">
        <v>-25.125</v>
      </c>
      <c r="CG5432" s="106">
        <v>-26.41</v>
      </c>
    </row>
    <row r="5433" spans="1:236" x14ac:dyDescent="0.25">
      <c r="A5433" s="127">
        <v>45852</v>
      </c>
      <c r="B5433" s="24" t="s">
        <v>173</v>
      </c>
      <c r="C5433" s="21">
        <f t="shared" si="89"/>
        <v>-24.23</v>
      </c>
      <c r="CM5433" s="74">
        <v>-7.86</v>
      </c>
      <c r="CS5433" s="74">
        <v>-16.37</v>
      </c>
    </row>
    <row r="5434" spans="1:236" x14ac:dyDescent="0.25">
      <c r="A5434" s="127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27">
        <v>45853</v>
      </c>
      <c r="B5435" s="24" t="s">
        <v>193</v>
      </c>
      <c r="C5435" s="21">
        <f t="shared" si="89"/>
        <v>-24.234999999999999</v>
      </c>
      <c r="CM5435" s="74">
        <v>-7.2</v>
      </c>
      <c r="CS5435" s="74">
        <v>-8.3849999999999998</v>
      </c>
      <c r="DE5435" s="74">
        <v>-8.65</v>
      </c>
    </row>
    <row r="5436" spans="1:236" x14ac:dyDescent="0.25">
      <c r="A5436" s="127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27">
        <v>45854</v>
      </c>
      <c r="B5437" s="24" t="s">
        <v>113</v>
      </c>
      <c r="C5437" s="21">
        <f t="shared" si="89"/>
        <v>874.32</v>
      </c>
      <c r="AW5437" s="74">
        <v>50.96</v>
      </c>
      <c r="BC5437" s="74">
        <v>66.930000000000007</v>
      </c>
      <c r="BI5437" s="106">
        <v>140.96</v>
      </c>
      <c r="BO5437" s="74">
        <v>96.275000000000006</v>
      </c>
      <c r="BU5437" s="106">
        <v>101.64</v>
      </c>
      <c r="CA5437" s="106">
        <v>115.36499999999999</v>
      </c>
      <c r="CG5437" s="106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27">
        <v>45854</v>
      </c>
      <c r="B5438" s="24" t="s">
        <v>197</v>
      </c>
      <c r="C5438" s="21">
        <f t="shared" si="89"/>
        <v>-101.06</v>
      </c>
      <c r="BO5438" s="74">
        <v>-16.515000000000001</v>
      </c>
      <c r="BU5438" s="106">
        <v>-17.175000000000001</v>
      </c>
      <c r="CA5438" s="106">
        <v>-16.614999999999998</v>
      </c>
      <c r="CG5438" s="106">
        <v>-16.940000000000001</v>
      </c>
      <c r="CM5438" s="74">
        <v>-17.09</v>
      </c>
      <c r="CS5438" s="74">
        <v>-16.725000000000001</v>
      </c>
    </row>
    <row r="5439" spans="1:236" x14ac:dyDescent="0.25">
      <c r="A5439" s="127">
        <v>45854</v>
      </c>
      <c r="B5439" s="24" t="s">
        <v>192</v>
      </c>
      <c r="C5439" s="21">
        <f t="shared" si="89"/>
        <v>-71.709999999999994</v>
      </c>
      <c r="AW5439" s="74">
        <v>-6.45</v>
      </c>
      <c r="BC5439" s="74">
        <v>-8.23</v>
      </c>
      <c r="BO5439" s="74">
        <v>-7.18</v>
      </c>
      <c r="BU5439" s="106">
        <v>-7.88</v>
      </c>
      <c r="CA5439" s="106">
        <v>-24.905000000000001</v>
      </c>
      <c r="CG5439" s="106">
        <v>-8.51</v>
      </c>
      <c r="CM5439" s="74">
        <v>-8.5549999999999997</v>
      </c>
    </row>
    <row r="5440" spans="1:236" x14ac:dyDescent="0.25">
      <c r="A5440" s="127">
        <v>45854</v>
      </c>
      <c r="B5440" s="24" t="s">
        <v>25</v>
      </c>
      <c r="C5440" s="21">
        <f t="shared" si="89"/>
        <v>-115.54</v>
      </c>
      <c r="BC5440" s="74">
        <v>-8.3550000000000004</v>
      </c>
      <c r="BI5440" s="106">
        <v>-17</v>
      </c>
      <c r="BO5440" s="74">
        <v>-16.09</v>
      </c>
      <c r="BU5440" s="106">
        <v>-17.204999999999998</v>
      </c>
      <c r="CA5440" s="106">
        <v>-16.61</v>
      </c>
      <c r="CG5440" s="106">
        <v>-16.95</v>
      </c>
      <c r="CM5440" s="74">
        <v>-14.74</v>
      </c>
      <c r="DA5440" s="126">
        <v>-8.59</v>
      </c>
    </row>
    <row r="5441" spans="1:197" x14ac:dyDescent="0.25">
      <c r="A5441" s="127">
        <v>45854</v>
      </c>
      <c r="B5441" s="24" t="s">
        <v>138</v>
      </c>
      <c r="C5441" s="21">
        <f t="shared" si="89"/>
        <v>-8.4049999999999994</v>
      </c>
      <c r="AR5441" s="74">
        <v>-8.4049999999999994</v>
      </c>
    </row>
    <row r="5442" spans="1:197" x14ac:dyDescent="0.25">
      <c r="A5442" s="127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27">
        <v>45854</v>
      </c>
      <c r="B5443" s="24" t="s">
        <v>213</v>
      </c>
      <c r="C5443" s="21">
        <f t="shared" si="89"/>
        <v>-134.26499999999999</v>
      </c>
      <c r="BC5443" s="74">
        <v>-8.3000000000000007</v>
      </c>
      <c r="BI5443" s="106">
        <v>-34.229999999999997</v>
      </c>
      <c r="BO5443" s="74">
        <v>-23.56</v>
      </c>
      <c r="BU5443" s="106">
        <v>-17.504999999999999</v>
      </c>
      <c r="CA5443" s="106">
        <v>-16.594999999999999</v>
      </c>
      <c r="CG5443" s="106">
        <v>-34.075000000000003</v>
      </c>
    </row>
    <row r="5444" spans="1:197" x14ac:dyDescent="0.25">
      <c r="A5444" s="127">
        <v>45854</v>
      </c>
      <c r="B5444" s="24" t="s">
        <v>24</v>
      </c>
      <c r="C5444" s="21">
        <f t="shared" si="89"/>
        <v>-86.465000000000003</v>
      </c>
      <c r="AW5444" s="74">
        <v>-6.1050000000000004</v>
      </c>
      <c r="BC5444" s="74">
        <v>-8.3949999999999996</v>
      </c>
      <c r="BI5444" s="106">
        <v>-13.615</v>
      </c>
      <c r="BO5444" s="74">
        <v>-17.59</v>
      </c>
      <c r="BU5444" s="106">
        <v>-8.6950000000000003</v>
      </c>
      <c r="CA5444" s="106">
        <v>-15.505000000000001</v>
      </c>
      <c r="CG5444" s="106">
        <v>-8.52</v>
      </c>
      <c r="CM5444" s="74">
        <v>-8.0399999999999991</v>
      </c>
    </row>
    <row r="5445" spans="1:197" x14ac:dyDescent="0.25">
      <c r="A5445" s="127">
        <v>45854</v>
      </c>
      <c r="B5445" s="24" t="s">
        <v>33</v>
      </c>
      <c r="C5445" s="21">
        <f t="shared" si="89"/>
        <v>-8.4949999999999992</v>
      </c>
      <c r="BI5445" s="106">
        <v>-8.4949999999999992</v>
      </c>
    </row>
    <row r="5446" spans="1:197" x14ac:dyDescent="0.25">
      <c r="A5446" s="127">
        <v>45854</v>
      </c>
      <c r="B5446" s="24" t="s">
        <v>68</v>
      </c>
      <c r="C5446" s="21">
        <f t="shared" si="89"/>
        <v>-31.04</v>
      </c>
      <c r="AW5446" s="74">
        <v>-6.5750000000000002</v>
      </c>
      <c r="BC5446" s="74">
        <v>-8.48</v>
      </c>
      <c r="BI5446" s="106">
        <v>-8.2249999999999996</v>
      </c>
      <c r="BO5446" s="74">
        <v>-7.76</v>
      </c>
    </row>
    <row r="5447" spans="1:197" x14ac:dyDescent="0.25">
      <c r="A5447" s="127">
        <v>45854</v>
      </c>
      <c r="B5447" s="24" t="s">
        <v>173</v>
      </c>
      <c r="C5447" s="21">
        <f t="shared" si="89"/>
        <v>-15.994999999999999</v>
      </c>
      <c r="BI5447" s="106">
        <v>-7.49</v>
      </c>
      <c r="CG5447" s="106">
        <v>-8.5050000000000008</v>
      </c>
    </row>
    <row r="5448" spans="1:197" x14ac:dyDescent="0.25">
      <c r="A5448" s="127">
        <v>45854</v>
      </c>
      <c r="B5448" s="24" t="s">
        <v>225</v>
      </c>
      <c r="C5448" s="21">
        <f t="shared" si="89"/>
        <v>-34.65</v>
      </c>
      <c r="DM5448" s="150">
        <v>-34.65</v>
      </c>
    </row>
    <row r="5449" spans="1:197" x14ac:dyDescent="0.25">
      <c r="A5449" s="127">
        <v>45855</v>
      </c>
      <c r="B5449" s="24" t="s">
        <v>44</v>
      </c>
      <c r="C5449" s="21">
        <f t="shared" si="89"/>
        <v>-85.99</v>
      </c>
      <c r="GO5449" s="110">
        <v>-85.99</v>
      </c>
    </row>
    <row r="5450" spans="1:197" x14ac:dyDescent="0.25">
      <c r="A5450" s="127">
        <v>45855</v>
      </c>
      <c r="B5450" s="24" t="s">
        <v>162</v>
      </c>
      <c r="C5450" s="21">
        <f t="shared" si="89"/>
        <v>-44.265000000000001</v>
      </c>
      <c r="AW5450" s="74">
        <v>-12.69</v>
      </c>
      <c r="BI5450" s="106">
        <v>-15.01</v>
      </c>
      <c r="BO5450" s="74">
        <v>-16.565000000000001</v>
      </c>
    </row>
    <row r="5451" spans="1:197" x14ac:dyDescent="0.25">
      <c r="A5451" s="127">
        <v>45855</v>
      </c>
      <c r="B5451" s="24" t="s">
        <v>184</v>
      </c>
      <c r="C5451" s="21">
        <f t="shared" si="89"/>
        <v>-132.54499999999999</v>
      </c>
      <c r="AW5451" s="74">
        <v>-12.765000000000001</v>
      </c>
      <c r="BC5451" s="74">
        <v>-25.11</v>
      </c>
      <c r="BI5451" s="106">
        <v>-29.39</v>
      </c>
      <c r="BO5451" s="74">
        <v>-15.46</v>
      </c>
      <c r="BU5451" s="106">
        <v>-33.18</v>
      </c>
      <c r="CA5451" s="106">
        <v>-16.64</v>
      </c>
    </row>
    <row r="5452" spans="1:197" x14ac:dyDescent="0.25">
      <c r="A5452" s="127">
        <v>45855</v>
      </c>
      <c r="B5452" s="24" t="s">
        <v>169</v>
      </c>
      <c r="C5452" s="21">
        <f t="shared" si="89"/>
        <v>-55.895000000000003</v>
      </c>
      <c r="E5452" s="145">
        <v>-18.395</v>
      </c>
      <c r="F5452" s="145">
        <v>-37.5</v>
      </c>
    </row>
    <row r="5453" spans="1:197" x14ac:dyDescent="0.25">
      <c r="A5453" s="127">
        <v>45855</v>
      </c>
      <c r="B5453" s="24" t="s">
        <v>193</v>
      </c>
      <c r="C5453" s="21">
        <f t="shared" si="89"/>
        <v>-8.5</v>
      </c>
      <c r="CG5453" s="106">
        <v>-8.5</v>
      </c>
    </row>
    <row r="5454" spans="1:197" x14ac:dyDescent="0.25">
      <c r="A5454" s="127">
        <v>45856</v>
      </c>
      <c r="B5454" s="24" t="s">
        <v>20</v>
      </c>
      <c r="C5454" s="21">
        <f t="shared" si="89"/>
        <v>-15.88</v>
      </c>
      <c r="BI5454" s="106">
        <v>-7.5049999999999999</v>
      </c>
      <c r="BO5454" s="74">
        <v>-8.375</v>
      </c>
    </row>
    <row r="5455" spans="1:197" x14ac:dyDescent="0.25">
      <c r="A5455" s="127">
        <v>45856</v>
      </c>
      <c r="B5455" s="24" t="s">
        <v>138</v>
      </c>
      <c r="C5455" s="21">
        <f t="shared" si="89"/>
        <v>-24.594999999999999</v>
      </c>
      <c r="CM5455" s="74">
        <v>-8.0399999999999991</v>
      </c>
      <c r="CS5455" s="74">
        <v>-16.555</v>
      </c>
    </row>
    <row r="5456" spans="1:197" x14ac:dyDescent="0.25">
      <c r="A5456" s="127">
        <v>45856</v>
      </c>
      <c r="B5456" s="24" t="s">
        <v>224</v>
      </c>
      <c r="C5456" s="21">
        <f t="shared" si="89"/>
        <v>-8.07</v>
      </c>
      <c r="CM5456" s="74">
        <v>-8.07</v>
      </c>
    </row>
    <row r="5457" spans="1:212" x14ac:dyDescent="0.25">
      <c r="A5457" s="127">
        <v>45859</v>
      </c>
      <c r="B5457" s="24" t="s">
        <v>113</v>
      </c>
      <c r="C5457" s="21">
        <f t="shared" si="89"/>
        <v>960.91499999999996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27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74">
        <v>32.82</v>
      </c>
      <c r="BC5458" s="74">
        <v>95.13</v>
      </c>
      <c r="BI5458" s="106">
        <v>98.355000000000004</v>
      </c>
      <c r="BO5458" s="74">
        <v>97.35</v>
      </c>
      <c r="BU5458" s="106">
        <v>102.76</v>
      </c>
      <c r="CA5458" s="106">
        <v>105.325</v>
      </c>
      <c r="CG5458" s="106">
        <v>102.14</v>
      </c>
      <c r="CM5458" s="74">
        <v>100.11499999999999</v>
      </c>
      <c r="CS5458" s="74">
        <v>33.89</v>
      </c>
      <c r="CY5458" s="74">
        <v>32.24</v>
      </c>
    </row>
    <row r="5459" spans="1:212" x14ac:dyDescent="0.25">
      <c r="A5459" s="127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27">
        <v>45859</v>
      </c>
      <c r="B5460" s="24" t="s">
        <v>50</v>
      </c>
      <c r="C5460" s="21">
        <f t="shared" si="89"/>
        <v>-12.32</v>
      </c>
      <c r="GT5460" s="110">
        <v>-12.32</v>
      </c>
    </row>
    <row r="5461" spans="1:212" x14ac:dyDescent="0.25">
      <c r="A5461" s="127">
        <v>45859</v>
      </c>
      <c r="B5461" s="24" t="s">
        <v>184</v>
      </c>
      <c r="C5461" s="21">
        <f t="shared" si="89"/>
        <v>-219.79</v>
      </c>
      <c r="P5461" s="106">
        <v>-8.0649999999999995</v>
      </c>
      <c r="AN5461" s="74">
        <v>-15.875</v>
      </c>
      <c r="AR5461" s="74">
        <v>-16.704999999999998</v>
      </c>
      <c r="AW5461" s="74">
        <v>-24.645</v>
      </c>
      <c r="BC5461" s="74">
        <v>-8.34</v>
      </c>
      <c r="BI5461" s="106">
        <v>-32.520000000000003</v>
      </c>
      <c r="BO5461" s="74">
        <v>-8.18</v>
      </c>
      <c r="BU5461" s="106">
        <v>-8.6449999999999996</v>
      </c>
      <c r="CA5461" s="106">
        <v>-17.37</v>
      </c>
      <c r="CG5461" s="106">
        <v>-17.045000000000002</v>
      </c>
      <c r="CM5461" s="74">
        <v>-17.074999999999999</v>
      </c>
      <c r="CS5461" s="74">
        <v>-8.3550000000000004</v>
      </c>
      <c r="DP5461" s="74">
        <v>-36.97</v>
      </c>
    </row>
    <row r="5462" spans="1:212" x14ac:dyDescent="0.25">
      <c r="A5462" s="127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74">
        <v>-24.69</v>
      </c>
      <c r="BC5462" s="74">
        <v>-23.54</v>
      </c>
      <c r="BO5462" s="74">
        <v>-32.380000000000003</v>
      </c>
      <c r="BU5462" s="106">
        <v>-17.34</v>
      </c>
      <c r="CA5462" s="106">
        <v>-34.72</v>
      </c>
      <c r="CG5462" s="106">
        <v>-17.04</v>
      </c>
    </row>
    <row r="5463" spans="1:212" x14ac:dyDescent="0.25">
      <c r="A5463" s="127">
        <v>45859</v>
      </c>
      <c r="B5463" s="24" t="s">
        <v>213</v>
      </c>
      <c r="C5463" s="21">
        <f t="shared" si="89"/>
        <v>-168.595</v>
      </c>
      <c r="AW5463" s="74">
        <v>-8.1649999999999991</v>
      </c>
      <c r="BC5463" s="74">
        <v>-16.149999999999999</v>
      </c>
      <c r="BI5463" s="106">
        <v>-33.04</v>
      </c>
      <c r="BU5463" s="106">
        <v>-34.045000000000002</v>
      </c>
      <c r="CA5463" s="106">
        <v>-35.86</v>
      </c>
      <c r="CG5463" s="106">
        <v>-33.994999999999997</v>
      </c>
      <c r="CM5463" s="74">
        <v>-7.34</v>
      </c>
    </row>
    <row r="5464" spans="1:212" x14ac:dyDescent="0.25">
      <c r="A5464" s="127">
        <v>45859</v>
      </c>
      <c r="B5464" s="24" t="s">
        <v>138</v>
      </c>
      <c r="C5464" s="21">
        <f t="shared" si="89"/>
        <v>-8.5549999999999997</v>
      </c>
      <c r="CM5464" s="74">
        <v>-8.5549999999999997</v>
      </c>
    </row>
    <row r="5465" spans="1:212" x14ac:dyDescent="0.25">
      <c r="A5465" s="127">
        <v>45859</v>
      </c>
      <c r="B5465" s="24" t="s">
        <v>173</v>
      </c>
      <c r="C5465" s="21">
        <f t="shared" si="89"/>
        <v>-24.31</v>
      </c>
      <c r="BC5465" s="74">
        <v>-7.4249999999999998</v>
      </c>
      <c r="BI5465" s="106">
        <v>-8.2200000000000006</v>
      </c>
      <c r="CY5465" s="74">
        <v>-8.6649999999999991</v>
      </c>
    </row>
    <row r="5466" spans="1:212" x14ac:dyDescent="0.25">
      <c r="A5466" s="127">
        <v>45859</v>
      </c>
      <c r="B5466" s="24" t="s">
        <v>115</v>
      </c>
      <c r="C5466" s="21">
        <f t="shared" si="89"/>
        <v>96.23</v>
      </c>
      <c r="E5466" s="145">
        <v>58.9</v>
      </c>
      <c r="F5466" s="145">
        <v>37.33</v>
      </c>
    </row>
    <row r="5467" spans="1:212" x14ac:dyDescent="0.25">
      <c r="A5467" s="127">
        <v>45860</v>
      </c>
      <c r="B5467" s="24" t="s">
        <v>169</v>
      </c>
      <c r="C5467" s="21">
        <f t="shared" si="89"/>
        <v>-14.7</v>
      </c>
      <c r="E5467" s="145">
        <v>-14.7</v>
      </c>
    </row>
    <row r="5468" spans="1:212" x14ac:dyDescent="0.25">
      <c r="A5468" s="127">
        <v>45860</v>
      </c>
      <c r="B5468" s="24" t="s">
        <v>188</v>
      </c>
      <c r="C5468" s="21">
        <f t="shared" si="89"/>
        <v>-15.095000000000001</v>
      </c>
      <c r="BC5468" s="74">
        <v>-7.85</v>
      </c>
      <c r="CM5468" s="74">
        <v>-7.2450000000000001</v>
      </c>
    </row>
    <row r="5469" spans="1:212" x14ac:dyDescent="0.25">
      <c r="A5469" s="127">
        <v>45860</v>
      </c>
      <c r="B5469" s="24" t="s">
        <v>212</v>
      </c>
      <c r="C5469" s="21">
        <f t="shared" si="89"/>
        <v>-8.4350000000000005</v>
      </c>
      <c r="AR5469" s="74">
        <v>-8.4350000000000005</v>
      </c>
    </row>
    <row r="5470" spans="1:212" x14ac:dyDescent="0.25">
      <c r="A5470" s="127">
        <v>45860</v>
      </c>
      <c r="B5470" s="24" t="s">
        <v>75</v>
      </c>
      <c r="C5470" s="21">
        <f t="shared" si="89"/>
        <v>-15.91</v>
      </c>
      <c r="BC5470" s="74">
        <v>-7.8049999999999997</v>
      </c>
      <c r="BI5470" s="106">
        <v>-8.1050000000000004</v>
      </c>
    </row>
    <row r="5471" spans="1:212" x14ac:dyDescent="0.25">
      <c r="A5471" s="127">
        <v>45860</v>
      </c>
      <c r="B5471" s="24" t="s">
        <v>33</v>
      </c>
      <c r="C5471" s="21">
        <f t="shared" si="89"/>
        <v>-8.09</v>
      </c>
      <c r="BC5471" s="74">
        <v>-8.09</v>
      </c>
    </row>
    <row r="5472" spans="1:212" x14ac:dyDescent="0.25">
      <c r="A5472" s="127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27">
        <v>45860</v>
      </c>
      <c r="B5473" s="24" t="s">
        <v>48</v>
      </c>
      <c r="C5473" s="21">
        <f t="shared" si="89"/>
        <v>-29.38</v>
      </c>
      <c r="DE5473" s="74">
        <v>-8.2200000000000006</v>
      </c>
      <c r="FX5473" s="34">
        <v>-21.16</v>
      </c>
    </row>
    <row r="5474" spans="1:199" x14ac:dyDescent="0.25">
      <c r="A5474" s="127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27">
        <v>45860</v>
      </c>
      <c r="B5475" s="24" t="s">
        <v>17</v>
      </c>
      <c r="C5475" s="21">
        <f t="shared" si="89"/>
        <v>-16.73</v>
      </c>
      <c r="AW5475" s="74">
        <v>-16.73</v>
      </c>
    </row>
    <row r="5476" spans="1:199" x14ac:dyDescent="0.25">
      <c r="A5476" s="127">
        <v>45862</v>
      </c>
      <c r="B5476" s="24" t="s">
        <v>197</v>
      </c>
      <c r="C5476" s="21">
        <f t="shared" si="89"/>
        <v>-51.645000000000003</v>
      </c>
      <c r="DP5476" s="74">
        <v>-27.035</v>
      </c>
      <c r="DU5476" s="106">
        <v>-24.61</v>
      </c>
    </row>
    <row r="5477" spans="1:199" x14ac:dyDescent="0.25">
      <c r="A5477" s="127">
        <v>45863</v>
      </c>
      <c r="B5477" s="24" t="s">
        <v>202</v>
      </c>
      <c r="C5477" s="21">
        <f t="shared" si="89"/>
        <v>-36.835000000000001</v>
      </c>
      <c r="E5477" s="145">
        <v>-36.835000000000001</v>
      </c>
    </row>
    <row r="5478" spans="1:199" x14ac:dyDescent="0.25">
      <c r="A5478" s="127">
        <v>45863</v>
      </c>
      <c r="B5478" s="24" t="s">
        <v>212</v>
      </c>
      <c r="C5478" s="21">
        <f t="shared" si="89"/>
        <v>-17.135000000000002</v>
      </c>
      <c r="BU5478" s="106">
        <v>-17.135000000000002</v>
      </c>
    </row>
    <row r="5479" spans="1:199" x14ac:dyDescent="0.25">
      <c r="A5479" s="127">
        <v>45863</v>
      </c>
      <c r="B5479" s="24" t="s">
        <v>31</v>
      </c>
      <c r="C5479" s="21">
        <f t="shared" si="89"/>
        <v>-44.604999999999997</v>
      </c>
      <c r="GO5479" s="110">
        <v>-44.604999999999997</v>
      </c>
    </row>
    <row r="5480" spans="1:199" x14ac:dyDescent="0.25">
      <c r="A5480" s="127">
        <v>45863</v>
      </c>
      <c r="B5480" s="24" t="s">
        <v>197</v>
      </c>
      <c r="C5480" s="21">
        <f t="shared" si="89"/>
        <v>-70.614999999999995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27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27">
        <v>45863</v>
      </c>
      <c r="B5482" s="24" t="s">
        <v>224</v>
      </c>
      <c r="C5482" s="21">
        <f t="shared" si="89"/>
        <v>-16.87</v>
      </c>
      <c r="AW5482" s="74">
        <v>-8.42</v>
      </c>
      <c r="CS5482" s="74">
        <v>-8.4499999999999993</v>
      </c>
    </row>
    <row r="5483" spans="1:199" x14ac:dyDescent="0.25">
      <c r="A5483" s="127">
        <v>45863</v>
      </c>
      <c r="B5483" s="24" t="s">
        <v>192</v>
      </c>
      <c r="C5483" s="21">
        <f t="shared" si="89"/>
        <v>-101.515</v>
      </c>
      <c r="BI5483" s="106">
        <v>-8.2349999999999994</v>
      </c>
      <c r="BO5483" s="74">
        <v>-8.1649999999999991</v>
      </c>
      <c r="DE5483" s="74">
        <v>-9.0950000000000006</v>
      </c>
      <c r="DK5483" s="74">
        <v>-76.02</v>
      </c>
    </row>
    <row r="5484" spans="1:199" x14ac:dyDescent="0.25">
      <c r="A5484" s="127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74">
        <v>-8.4</v>
      </c>
    </row>
    <row r="5485" spans="1:199" x14ac:dyDescent="0.25">
      <c r="A5485" s="127">
        <v>45864</v>
      </c>
      <c r="B5485" s="24" t="s">
        <v>113</v>
      </c>
      <c r="C5485" s="21">
        <f t="shared" si="89"/>
        <v>894.81</v>
      </c>
      <c r="AN5485" s="74">
        <v>34.28</v>
      </c>
      <c r="AR5485" s="74">
        <v>33.46</v>
      </c>
      <c r="AW5485" s="74">
        <v>99.375</v>
      </c>
      <c r="BC5485" s="74">
        <v>68.36</v>
      </c>
      <c r="BI5485" s="106">
        <f>40.545+56.645</f>
        <v>97.19</v>
      </c>
      <c r="BO5485" s="74">
        <v>97.435000000000002</v>
      </c>
      <c r="BU5485" s="106">
        <f>68.25+34.765</f>
        <v>103.015</v>
      </c>
      <c r="CA5485" s="106">
        <v>69.545000000000002</v>
      </c>
      <c r="CG5485" s="106">
        <v>35.424999999999997</v>
      </c>
      <c r="CM5485" s="74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27">
        <v>45864</v>
      </c>
      <c r="B5486" s="24" t="s">
        <v>113</v>
      </c>
      <c r="C5486" s="21">
        <f t="shared" si="89"/>
        <v>132.21</v>
      </c>
      <c r="AW5486" s="74">
        <v>66.38</v>
      </c>
      <c r="CS5486" s="74">
        <v>65.83</v>
      </c>
    </row>
    <row r="5487" spans="1:199" x14ac:dyDescent="0.25">
      <c r="A5487" s="127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27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27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106">
        <v>-8.2449999999999992</v>
      </c>
      <c r="CA5489" s="106">
        <v>-8.6850000000000005</v>
      </c>
    </row>
    <row r="5490" spans="1:226" x14ac:dyDescent="0.25">
      <c r="A5490" s="127">
        <v>45866</v>
      </c>
      <c r="B5490" s="24" t="s">
        <v>213</v>
      </c>
      <c r="C5490" s="21">
        <f t="shared" si="90"/>
        <v>-17.145</v>
      </c>
      <c r="BC5490" s="74">
        <v>-17.145</v>
      </c>
    </row>
    <row r="5491" spans="1:226" x14ac:dyDescent="0.25">
      <c r="A5491" s="127">
        <v>45866</v>
      </c>
      <c r="B5491" s="24" t="s">
        <v>213</v>
      </c>
      <c r="C5491" s="21">
        <f t="shared" si="90"/>
        <v>-84.25</v>
      </c>
      <c r="BI5491" s="106">
        <v>-32.344999999999999</v>
      </c>
      <c r="BO5491" s="74">
        <v>-16.195</v>
      </c>
      <c r="CA5491" s="106">
        <v>-17.36</v>
      </c>
      <c r="CG5491" s="106">
        <v>-18.350000000000001</v>
      </c>
    </row>
    <row r="5492" spans="1:226" x14ac:dyDescent="0.25">
      <c r="A5492" s="127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74">
        <v>-33.475000000000001</v>
      </c>
      <c r="AW5492" s="74">
        <v>-8.4550000000000001</v>
      </c>
      <c r="BO5492" s="74">
        <v>-16.265000000000001</v>
      </c>
    </row>
    <row r="5493" spans="1:226" x14ac:dyDescent="0.25">
      <c r="A5493" s="127">
        <v>45866</v>
      </c>
      <c r="B5493" s="24" t="s">
        <v>133</v>
      </c>
      <c r="C5493" s="21">
        <f t="shared" si="90"/>
        <v>-209.41499999999999</v>
      </c>
      <c r="V5493" s="74">
        <v>-16.46</v>
      </c>
      <c r="AC5493" s="74">
        <v>-8.6649999999999991</v>
      </c>
      <c r="AG5493" s="106">
        <v>-17.21</v>
      </c>
      <c r="AR5493" s="74">
        <v>-33.46</v>
      </c>
      <c r="AW5493" s="74">
        <v>-66.38</v>
      </c>
      <c r="BI5493" s="106">
        <v>-32.43</v>
      </c>
      <c r="BO5493" s="74">
        <v>-34.81</v>
      </c>
    </row>
    <row r="5494" spans="1:226" x14ac:dyDescent="0.25">
      <c r="A5494" s="127">
        <v>45866</v>
      </c>
      <c r="B5494" s="24" t="s">
        <v>184</v>
      </c>
      <c r="C5494" s="21">
        <f t="shared" si="90"/>
        <v>-92.295000000000002</v>
      </c>
      <c r="AW5494" s="74">
        <v>-8.3699999999999992</v>
      </c>
      <c r="BC5494" s="74">
        <v>-8.5250000000000004</v>
      </c>
      <c r="BI5494" s="106">
        <v>-16.21</v>
      </c>
      <c r="BO5494" s="74">
        <v>-8.14</v>
      </c>
      <c r="BU5494" s="106">
        <v>-8.4949999999999992</v>
      </c>
      <c r="CA5494" s="106">
        <v>-8.6549999999999994</v>
      </c>
      <c r="CG5494" s="106">
        <v>-16.864999999999998</v>
      </c>
      <c r="CM5494" s="74">
        <v>-8.5449999999999999</v>
      </c>
      <c r="CS5494" s="74">
        <v>-8.49</v>
      </c>
    </row>
    <row r="5495" spans="1:226" x14ac:dyDescent="0.25">
      <c r="A5495" s="127">
        <v>45866</v>
      </c>
      <c r="B5495" s="24" t="s">
        <v>171</v>
      </c>
      <c r="C5495" s="21">
        <f t="shared" si="90"/>
        <v>-16.420000000000002</v>
      </c>
      <c r="AW5495" s="74">
        <v>-8.32</v>
      </c>
      <c r="BO5495" s="74">
        <v>-8.1</v>
      </c>
    </row>
    <row r="5496" spans="1:226" x14ac:dyDescent="0.25">
      <c r="A5496" s="127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27">
        <v>45867</v>
      </c>
      <c r="B5497" s="24" t="s">
        <v>75</v>
      </c>
      <c r="C5497" s="21">
        <f t="shared" si="90"/>
        <v>-16.675000000000001</v>
      </c>
      <c r="BC5497" s="74">
        <v>-8.56</v>
      </c>
      <c r="BI5497" s="106">
        <v>-8.1150000000000002</v>
      </c>
    </row>
    <row r="5498" spans="1:226" x14ac:dyDescent="0.25">
      <c r="A5498" s="127">
        <v>45867</v>
      </c>
      <c r="B5498" s="24" t="s">
        <v>115</v>
      </c>
      <c r="C5498" s="21">
        <f t="shared" si="90"/>
        <v>122.9</v>
      </c>
      <c r="E5498" s="145">
        <v>58.17</v>
      </c>
      <c r="HN5498" s="115">
        <v>64.73</v>
      </c>
    </row>
    <row r="5499" spans="1:226" x14ac:dyDescent="0.25">
      <c r="A5499" s="127">
        <v>45868</v>
      </c>
      <c r="B5499" s="29" t="s">
        <v>218</v>
      </c>
      <c r="C5499" s="21">
        <f t="shared" si="90"/>
        <v>-32.78</v>
      </c>
      <c r="AR5499" s="74">
        <v>-8.36</v>
      </c>
      <c r="BI5499" s="106">
        <v>-16.324999999999999</v>
      </c>
      <c r="BO5499" s="74">
        <v>-8.0950000000000006</v>
      </c>
    </row>
    <row r="5500" spans="1:226" x14ac:dyDescent="0.25">
      <c r="A5500" s="127">
        <v>45868</v>
      </c>
      <c r="B5500" s="29" t="s">
        <v>174</v>
      </c>
      <c r="C5500" s="21">
        <f t="shared" si="90"/>
        <v>-17.059999999999999</v>
      </c>
      <c r="CG5500" s="106">
        <v>-8.5350000000000001</v>
      </c>
      <c r="CM5500" s="74">
        <v>-8.5250000000000004</v>
      </c>
    </row>
    <row r="5501" spans="1:226" x14ac:dyDescent="0.25">
      <c r="A5501" s="127">
        <v>45869</v>
      </c>
      <c r="B5501" s="24" t="s">
        <v>113</v>
      </c>
      <c r="C5501" s="21">
        <f t="shared" si="90"/>
        <v>1753.28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74">
        <v>33.524999999999999</v>
      </c>
      <c r="BC5501" s="74">
        <v>101.145</v>
      </c>
      <c r="BI5501" s="106">
        <v>145.61500000000001</v>
      </c>
      <c r="BO5501" s="74">
        <v>47.975000000000001</v>
      </c>
      <c r="BU5501" s="106">
        <v>34.594999999999999</v>
      </c>
      <c r="CA5501" s="106">
        <v>100.86</v>
      </c>
      <c r="CM5501" s="74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27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74">
        <v>-8.2799999999999994</v>
      </c>
      <c r="BC5502" s="74">
        <v>-6.94</v>
      </c>
      <c r="BI5502" s="106">
        <v>-24.105</v>
      </c>
      <c r="BO5502" s="74">
        <v>-13.99</v>
      </c>
      <c r="BU5502" s="106">
        <v>-17.29</v>
      </c>
      <c r="CA5502" s="106">
        <v>-17.364999999999998</v>
      </c>
      <c r="CM5502" s="74">
        <v>-26.215</v>
      </c>
      <c r="CS5502" s="74">
        <v>-8.36</v>
      </c>
    </row>
    <row r="5503" spans="1:226" x14ac:dyDescent="0.25">
      <c r="A5503" s="127">
        <v>45869</v>
      </c>
      <c r="B5503" s="24" t="s">
        <v>212</v>
      </c>
      <c r="C5503" s="21">
        <f t="shared" si="90"/>
        <v>-378.2</v>
      </c>
      <c r="AN5503" s="74">
        <v>-8.19</v>
      </c>
      <c r="AR5503" s="74">
        <v>-8.41</v>
      </c>
      <c r="AW5503" s="74">
        <v>-41.56</v>
      </c>
      <c r="BC5503" s="74">
        <v>-51.715000000000003</v>
      </c>
      <c r="BI5503" s="106">
        <v>-32.42</v>
      </c>
      <c r="BO5503" s="74">
        <v>-64.984999999999999</v>
      </c>
      <c r="BU5503" s="106">
        <f>-60.685-25.595</f>
        <v>-86.28</v>
      </c>
      <c r="CA5503" s="106">
        <v>-50.414999999999999</v>
      </c>
      <c r="CG5503" s="106">
        <v>-17.074999999999999</v>
      </c>
      <c r="CM5503" s="74">
        <v>-17.149999999999999</v>
      </c>
    </row>
    <row r="5504" spans="1:226" x14ac:dyDescent="0.25">
      <c r="A5504" s="127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27">
        <v>45869</v>
      </c>
      <c r="B5505" s="24" t="s">
        <v>20</v>
      </c>
      <c r="C5505" s="21">
        <f t="shared" si="90"/>
        <v>-58.71</v>
      </c>
      <c r="BC5505" s="74">
        <v>-8.5749999999999993</v>
      </c>
      <c r="BI5505" s="106">
        <v>-8.11</v>
      </c>
      <c r="BO5505" s="74">
        <v>-8.09</v>
      </c>
      <c r="BU5505" s="106">
        <v>-8.4649999999999999</v>
      </c>
      <c r="CA5505" s="106">
        <v>-8.69</v>
      </c>
      <c r="CM5505" s="74">
        <v>-8.5850000000000009</v>
      </c>
      <c r="CS5505" s="74">
        <v>-8.1950000000000003</v>
      </c>
    </row>
    <row r="5506" spans="1:171" x14ac:dyDescent="0.25">
      <c r="A5506" s="127">
        <v>45869</v>
      </c>
      <c r="B5506" s="24" t="s">
        <v>139</v>
      </c>
      <c r="C5506" s="21">
        <f t="shared" si="90"/>
        <v>-25.37</v>
      </c>
      <c r="CA5506" s="106">
        <v>-8.4949999999999992</v>
      </c>
      <c r="CM5506" s="74">
        <v>-8.5449999999999999</v>
      </c>
      <c r="CS5506" s="74">
        <v>-8.33</v>
      </c>
    </row>
    <row r="5507" spans="1:171" x14ac:dyDescent="0.25">
      <c r="A5507" s="127">
        <v>45869</v>
      </c>
      <c r="B5507" s="24" t="s">
        <v>140</v>
      </c>
      <c r="C5507" s="21">
        <f t="shared" si="90"/>
        <v>-50.755000000000003</v>
      </c>
      <c r="D5507" s="145">
        <v>-35.85</v>
      </c>
      <c r="E5507" s="145">
        <v>-14.904999999999999</v>
      </c>
    </row>
    <row r="5508" spans="1:171" x14ac:dyDescent="0.25">
      <c r="A5508" s="127">
        <v>45869</v>
      </c>
      <c r="B5508" s="24" t="s">
        <v>24</v>
      </c>
      <c r="C5508" s="21">
        <f t="shared" si="90"/>
        <v>-49.484999999999999</v>
      </c>
      <c r="AR5508" s="74">
        <v>-8.42</v>
      </c>
      <c r="AW5508" s="74">
        <v>-7.9249999999999998</v>
      </c>
      <c r="BC5508" s="74">
        <v>-8.5150000000000006</v>
      </c>
      <c r="BI5508" s="106">
        <v>-8.0649999999999995</v>
      </c>
      <c r="BO5508" s="74">
        <v>-8.0950000000000006</v>
      </c>
      <c r="BU5508" s="106">
        <v>-8.4649999999999999</v>
      </c>
    </row>
    <row r="5509" spans="1:171" x14ac:dyDescent="0.25">
      <c r="A5509" s="127">
        <v>45869</v>
      </c>
      <c r="B5509" s="24" t="s">
        <v>184</v>
      </c>
      <c r="C5509" s="21">
        <f t="shared" si="90"/>
        <v>-55.835000000000001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6">
        <v>-2.8</v>
      </c>
      <c r="FO5509" s="210">
        <v>-3.08</v>
      </c>
    </row>
    <row r="5510" spans="1:171" x14ac:dyDescent="0.25">
      <c r="A5510" s="127">
        <v>45869</v>
      </c>
      <c r="B5510" s="24" t="s">
        <v>197</v>
      </c>
      <c r="C5510" s="21">
        <f t="shared" si="90"/>
        <v>-77.885000000000005</v>
      </c>
      <c r="BU5510" s="106">
        <v>-17.655000000000001</v>
      </c>
      <c r="CA5510" s="106">
        <v>-8.25</v>
      </c>
      <c r="CM5510" s="74">
        <v>-17.385000000000002</v>
      </c>
      <c r="CS5510" s="74">
        <v>-16.73</v>
      </c>
      <c r="DE5510" s="74">
        <v>-17.864999999999998</v>
      </c>
    </row>
    <row r="5511" spans="1:171" x14ac:dyDescent="0.25">
      <c r="A5511" s="127">
        <v>45870</v>
      </c>
      <c r="B5511" s="24" t="s">
        <v>171</v>
      </c>
      <c r="C5511" s="21">
        <f t="shared" si="90"/>
        <v>-17.015000000000001</v>
      </c>
      <c r="CA5511" s="106">
        <v>-8.3000000000000007</v>
      </c>
      <c r="CM5511" s="74">
        <v>-8.7149999999999999</v>
      </c>
    </row>
    <row r="5512" spans="1:171" x14ac:dyDescent="0.25">
      <c r="A5512" s="127">
        <v>45870</v>
      </c>
      <c r="B5512" s="24" t="s">
        <v>188</v>
      </c>
      <c r="C5512" s="21">
        <f t="shared" si="90"/>
        <v>-33.645000000000003</v>
      </c>
      <c r="AG5512" s="106">
        <v>-8.6050000000000004</v>
      </c>
      <c r="AW5512" s="74">
        <v>-8.2949999999999999</v>
      </c>
      <c r="CG5512" s="106">
        <v>-8.48</v>
      </c>
      <c r="CY5512" s="74">
        <v>-8.2650000000000006</v>
      </c>
    </row>
    <row r="5513" spans="1:171" x14ac:dyDescent="0.25">
      <c r="A5513" s="127">
        <v>45873</v>
      </c>
      <c r="B5513" s="24" t="s">
        <v>25</v>
      </c>
      <c r="C5513" s="21">
        <f t="shared" si="90"/>
        <v>-84.295000000000002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106">
        <v>-16.225000000000001</v>
      </c>
      <c r="BO5513" s="74">
        <v>-8.4849999999999994</v>
      </c>
      <c r="CA5513" s="106">
        <v>-8.27</v>
      </c>
      <c r="CM5513" s="74">
        <v>-8.8949999999999996</v>
      </c>
    </row>
    <row r="5514" spans="1:171" x14ac:dyDescent="0.25">
      <c r="A5514" s="127">
        <v>45873</v>
      </c>
      <c r="B5514" s="24" t="s">
        <v>20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27">
        <v>45874</v>
      </c>
      <c r="B5515" s="24" t="s">
        <v>213</v>
      </c>
      <c r="C5515" s="21">
        <f t="shared" si="90"/>
        <v>-98.194999999999993</v>
      </c>
      <c r="AR5515" s="74">
        <f>-8.55-8.195</f>
        <v>-16.745000000000001</v>
      </c>
      <c r="AW5515" s="74">
        <v>-6.375</v>
      </c>
      <c r="BC5515" s="74">
        <f>-8.535-8.545</f>
        <v>-17.079999999999998</v>
      </c>
      <c r="BI5515" s="106">
        <v>-32.340000000000003</v>
      </c>
      <c r="BO5515" s="74">
        <f>-8.485-8.51</f>
        <v>-16.995000000000001</v>
      </c>
      <c r="BU5515" s="106">
        <v>-8.66</v>
      </c>
    </row>
    <row r="5516" spans="1:171" x14ac:dyDescent="0.25">
      <c r="A5516" s="127">
        <v>45874</v>
      </c>
      <c r="B5516" s="24" t="s">
        <v>184</v>
      </c>
      <c r="C5516" s="21">
        <f t="shared" si="90"/>
        <v>-35.76</v>
      </c>
      <c r="AG5516" s="106">
        <v>-8.61</v>
      </c>
      <c r="CY5516" s="74">
        <v>-27.15</v>
      </c>
    </row>
    <row r="5517" spans="1:171" x14ac:dyDescent="0.25">
      <c r="A5517" s="127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27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74">
        <v>-16.84</v>
      </c>
    </row>
    <row r="5519" spans="1:171" x14ac:dyDescent="0.25">
      <c r="A5519" s="127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27">
        <v>45874</v>
      </c>
      <c r="B5520" s="24" t="s">
        <v>139</v>
      </c>
      <c r="C5520" s="21">
        <f t="shared" si="90"/>
        <v>-24.614999999999998</v>
      </c>
      <c r="CA5520" s="106">
        <v>-8.26</v>
      </c>
      <c r="CM5520" s="74">
        <v>-7.9349999999999996</v>
      </c>
      <c r="CS5520" s="74">
        <v>-8.42</v>
      </c>
    </row>
    <row r="5521" spans="1:199" x14ac:dyDescent="0.25">
      <c r="A5521" s="127">
        <v>45874</v>
      </c>
      <c r="B5521" s="24" t="s">
        <v>48</v>
      </c>
      <c r="C5521" s="21">
        <f t="shared" si="90"/>
        <v>-31.41</v>
      </c>
      <c r="BC5521" s="74">
        <v>-8.51</v>
      </c>
      <c r="FL5521" s="46">
        <v>-22.9</v>
      </c>
    </row>
    <row r="5522" spans="1:199" x14ac:dyDescent="0.25">
      <c r="A5522" s="127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27">
        <v>45874</v>
      </c>
      <c r="B5523" s="24" t="s">
        <v>218</v>
      </c>
      <c r="C5523" s="21">
        <f t="shared" si="90"/>
        <v>149.05000000000001</v>
      </c>
      <c r="FD5523" s="126">
        <v>13.4</v>
      </c>
      <c r="FE5523" s="170">
        <v>14.1</v>
      </c>
      <c r="FL5523" s="46">
        <v>22.9</v>
      </c>
      <c r="GC5523" s="157">
        <v>24.1</v>
      </c>
      <c r="GG5523" s="210">
        <f>24.2+26.05</f>
        <v>50.25</v>
      </c>
      <c r="GI5523" s="251">
        <v>24.3</v>
      </c>
    </row>
    <row r="5524" spans="1:199" x14ac:dyDescent="0.25">
      <c r="A5524" s="127">
        <v>45875</v>
      </c>
      <c r="B5524" s="24" t="s">
        <v>113</v>
      </c>
      <c r="C5524" s="21">
        <f t="shared" si="90"/>
        <v>719.53</v>
      </c>
      <c r="AR5524" s="74">
        <v>32.744999999999997</v>
      </c>
      <c r="AW5524" s="74">
        <v>98.52</v>
      </c>
      <c r="BC5524" s="74">
        <v>66.605000000000004</v>
      </c>
      <c r="BI5524" s="106">
        <v>59.085000000000001</v>
      </c>
      <c r="BO5524" s="74">
        <v>65.194999999999993</v>
      </c>
      <c r="BU5524" s="106">
        <v>100.19</v>
      </c>
      <c r="CA5524" s="106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27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27">
        <v>45876</v>
      </c>
      <c r="B5526" s="24" t="s">
        <v>184</v>
      </c>
      <c r="C5526" s="21">
        <f t="shared" si="90"/>
        <v>-14.835000000000001</v>
      </c>
      <c r="J5526" s="110">
        <v>-7.75</v>
      </c>
      <c r="P5526" s="106">
        <v>-7.085</v>
      </c>
    </row>
    <row r="5527" spans="1:199" x14ac:dyDescent="0.25">
      <c r="A5527" s="127">
        <v>45876</v>
      </c>
      <c r="B5527" s="24" t="s">
        <v>192</v>
      </c>
      <c r="C5527" s="21">
        <f t="shared" si="90"/>
        <v>-65.375</v>
      </c>
      <c r="CA5527" s="106">
        <v>-8.36</v>
      </c>
      <c r="CG5527" s="106">
        <v>-57.015000000000001</v>
      </c>
    </row>
    <row r="5528" spans="1:199" x14ac:dyDescent="0.25">
      <c r="A5528" s="127">
        <v>45876</v>
      </c>
      <c r="B5528" s="24" t="s">
        <v>48</v>
      </c>
      <c r="C5528" s="21">
        <f t="shared" si="90"/>
        <v>-33.61</v>
      </c>
      <c r="BU5528" s="106">
        <v>-16.855</v>
      </c>
      <c r="CA5528" s="106">
        <v>-16.754999999999999</v>
      </c>
    </row>
    <row r="5529" spans="1:199" x14ac:dyDescent="0.25">
      <c r="A5529" s="127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74">
        <v>-8.0850000000000009</v>
      </c>
      <c r="AW5529" s="74">
        <v>-8.0549999999999997</v>
      </c>
      <c r="BC5529" s="74">
        <v>-8.32</v>
      </c>
      <c r="BI5529" s="106">
        <v>-7.5350000000000001</v>
      </c>
      <c r="CA5529" s="106">
        <v>-6.7149999999999999</v>
      </c>
      <c r="CG5529" s="106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27">
        <v>45876</v>
      </c>
      <c r="B5530" s="24" t="s">
        <v>25</v>
      </c>
      <c r="C5530" s="21">
        <f t="shared" si="90"/>
        <v>-16.265000000000001</v>
      </c>
      <c r="BU5530" s="106">
        <v>-8.01</v>
      </c>
      <c r="CG5530" s="106">
        <v>-8.2550000000000008</v>
      </c>
    </row>
    <row r="5531" spans="1:199" x14ac:dyDescent="0.25">
      <c r="A5531" s="127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74">
        <v>-31.164999999999999</v>
      </c>
    </row>
    <row r="5532" spans="1:199" x14ac:dyDescent="0.25">
      <c r="A5532" s="127">
        <v>45877</v>
      </c>
      <c r="B5532" s="24" t="s">
        <v>44</v>
      </c>
      <c r="C5532" s="21">
        <f t="shared" si="90"/>
        <v>-104.06399999999999</v>
      </c>
      <c r="GO5532" s="110">
        <v>-101.425</v>
      </c>
      <c r="GQ5532" s="92">
        <v>-2.6389999999999998</v>
      </c>
    </row>
    <row r="5533" spans="1:199" x14ac:dyDescent="0.25">
      <c r="A5533" s="127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106">
        <v>-3.22</v>
      </c>
      <c r="CY5533" s="74">
        <v>-8.5</v>
      </c>
      <c r="DE5533" s="74">
        <v>-7.48</v>
      </c>
    </row>
    <row r="5534" spans="1:199" x14ac:dyDescent="0.25">
      <c r="A5534" s="127">
        <v>45877</v>
      </c>
      <c r="B5534" s="24" t="s">
        <v>184</v>
      </c>
      <c r="C5534" s="21">
        <f t="shared" si="90"/>
        <v>-87.08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106">
        <v>-15.525</v>
      </c>
      <c r="BO5534" s="74">
        <v>-16.329999999999998</v>
      </c>
      <c r="CM5534" s="74">
        <v>-8.6999999999999993</v>
      </c>
      <c r="CS5534" s="74">
        <v>-8.3350000000000009</v>
      </c>
    </row>
    <row r="5535" spans="1:199" x14ac:dyDescent="0.25">
      <c r="A5535" s="127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106">
        <v>-29.085000000000001</v>
      </c>
      <c r="BU5535" s="106">
        <v>-33.564999999999998</v>
      </c>
      <c r="CM5535" s="74">
        <v>-34.799999999999997</v>
      </c>
      <c r="CY5535" s="74">
        <v>-32.844999999999999</v>
      </c>
    </row>
    <row r="5536" spans="1:199" x14ac:dyDescent="0.25">
      <c r="A5536" s="127">
        <v>45877</v>
      </c>
      <c r="B5536" s="24" t="s">
        <v>213</v>
      </c>
      <c r="C5536" s="21">
        <f t="shared" si="90"/>
        <v>-31.795000000000002</v>
      </c>
      <c r="BI5536" s="106">
        <v>-15.035</v>
      </c>
      <c r="BU5536" s="106">
        <v>-16.760000000000002</v>
      </c>
    </row>
    <row r="5537" spans="1:222" x14ac:dyDescent="0.25">
      <c r="A5537" s="127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74">
        <v>-8.3450000000000006</v>
      </c>
      <c r="AW5537" s="74">
        <v>-16.715</v>
      </c>
      <c r="BC5537" s="74">
        <v>-8.51</v>
      </c>
      <c r="BI5537" s="106">
        <v>-8.1199999999999992</v>
      </c>
      <c r="BO5537" s="74">
        <v>-8.5050000000000008</v>
      </c>
    </row>
    <row r="5538" spans="1:222" x14ac:dyDescent="0.25">
      <c r="A5538" s="127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74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27">
        <v>45880</v>
      </c>
      <c r="B5539" s="24" t="s">
        <v>82</v>
      </c>
      <c r="C5539" s="21">
        <f t="shared" si="90"/>
        <v>-55.92</v>
      </c>
      <c r="HN5539" s="115">
        <v>-55.92</v>
      </c>
    </row>
    <row r="5540" spans="1:222" x14ac:dyDescent="0.25">
      <c r="A5540" s="127">
        <v>45880</v>
      </c>
      <c r="B5540" s="24" t="s">
        <v>115</v>
      </c>
      <c r="C5540" s="21">
        <f t="shared" si="90"/>
        <v>24.23</v>
      </c>
      <c r="HN5540" s="115">
        <v>24.23</v>
      </c>
    </row>
    <row r="5541" spans="1:222" x14ac:dyDescent="0.25">
      <c r="A5541" s="127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74">
        <v>68.375</v>
      </c>
      <c r="AW5541" s="74">
        <v>66.534999999999997</v>
      </c>
      <c r="BC5541" s="74">
        <v>62.98</v>
      </c>
      <c r="BI5541" s="106">
        <f>77.89+21.395</f>
        <v>99.284999999999997</v>
      </c>
      <c r="BO5541" s="74">
        <f>80.345+46.56</f>
        <v>126.905</v>
      </c>
      <c r="BU5541" s="106">
        <v>96.76</v>
      </c>
      <c r="CA5541" s="106">
        <f>32.28+72.77</f>
        <v>105.05</v>
      </c>
      <c r="CG5541" s="106">
        <v>102.86</v>
      </c>
      <c r="CM5541" s="74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27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27">
        <v>45881</v>
      </c>
      <c r="B5543" s="24" t="s">
        <v>133</v>
      </c>
      <c r="C5543" s="21">
        <f t="shared" si="90"/>
        <v>-201.48500000000001</v>
      </c>
      <c r="BO5543" s="74">
        <v>-48.865000000000002</v>
      </c>
      <c r="BU5543" s="106">
        <v>-32.4</v>
      </c>
      <c r="CA5543" s="106">
        <v>-68.83</v>
      </c>
      <c r="CG5543" s="106">
        <v>-51.39</v>
      </c>
    </row>
    <row r="5544" spans="1:222" x14ac:dyDescent="0.25">
      <c r="A5544" s="127">
        <v>45881</v>
      </c>
      <c r="B5544" s="24" t="s">
        <v>139</v>
      </c>
      <c r="C5544" s="21">
        <f t="shared" si="90"/>
        <v>-8.27</v>
      </c>
      <c r="CG5544" s="106">
        <v>-8.27</v>
      </c>
    </row>
    <row r="5545" spans="1:222" x14ac:dyDescent="0.25">
      <c r="A5545" s="127">
        <v>45881</v>
      </c>
      <c r="B5545" s="24" t="s">
        <v>184</v>
      </c>
      <c r="C5545" s="21">
        <f t="shared" si="90"/>
        <v>-114.79</v>
      </c>
      <c r="BU5545" s="106">
        <v>-7.9850000000000003</v>
      </c>
      <c r="CA5545" s="106">
        <v>-8.0250000000000004</v>
      </c>
      <c r="CG5545" s="106">
        <v>-8.5649999999999995</v>
      </c>
      <c r="CM5545" s="74">
        <v>-8.2449999999999992</v>
      </c>
      <c r="DU5545" s="106">
        <v>-49.195</v>
      </c>
      <c r="EA5545" s="74">
        <v>-32.774999999999999</v>
      </c>
    </row>
    <row r="5546" spans="1:222" x14ac:dyDescent="0.25">
      <c r="A5546" s="127">
        <v>45882</v>
      </c>
      <c r="B5546" s="24" t="s">
        <v>169</v>
      </c>
      <c r="C5546" s="21">
        <f t="shared" si="90"/>
        <v>-37.33</v>
      </c>
      <c r="F5546" s="145">
        <v>-37.33</v>
      </c>
    </row>
    <row r="5547" spans="1:222" x14ac:dyDescent="0.25">
      <c r="A5547" s="127">
        <v>45882</v>
      </c>
      <c r="B5547" s="24" t="s">
        <v>151</v>
      </c>
      <c r="C5547" s="21">
        <f t="shared" si="90"/>
        <v>-66.765000000000001</v>
      </c>
      <c r="CY5547" s="74">
        <v>-66.765000000000001</v>
      </c>
    </row>
    <row r="5548" spans="1:222" x14ac:dyDescent="0.25">
      <c r="A5548" s="127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27">
        <v>45883</v>
      </c>
      <c r="B5549" s="24" t="s">
        <v>24</v>
      </c>
      <c r="C5549" s="21">
        <f t="shared" si="90"/>
        <v>-81.575000000000003</v>
      </c>
      <c r="BI5549" s="106">
        <v>-14.125</v>
      </c>
      <c r="BO5549" s="74">
        <v>-16.350000000000001</v>
      </c>
      <c r="BU5549" s="106">
        <v>-15.9</v>
      </c>
      <c r="CA5549" s="106">
        <v>-18.07</v>
      </c>
      <c r="CG5549" s="106">
        <v>-17.13</v>
      </c>
    </row>
    <row r="5550" spans="1:222" x14ac:dyDescent="0.25">
      <c r="A5550" s="127">
        <v>45883</v>
      </c>
      <c r="B5550" s="24" t="s">
        <v>33</v>
      </c>
      <c r="C5550" s="21">
        <f t="shared" si="90"/>
        <v>-24.25</v>
      </c>
      <c r="BI5550" s="106">
        <v>-7.3650000000000002</v>
      </c>
      <c r="BO5550" s="74">
        <v>-8.14</v>
      </c>
      <c r="BU5550" s="106">
        <v>-8.7449999999999992</v>
      </c>
    </row>
    <row r="5551" spans="1:222" x14ac:dyDescent="0.25">
      <c r="A5551" s="127">
        <v>45885</v>
      </c>
      <c r="B5551" s="24" t="s">
        <v>213</v>
      </c>
      <c r="C5551" s="21">
        <f t="shared" si="90"/>
        <v>-33.755000000000003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27">
        <v>45885</v>
      </c>
      <c r="B5552" s="24" t="s">
        <v>213</v>
      </c>
      <c r="C5552" s="21">
        <f t="shared" si="90"/>
        <v>-110.24</v>
      </c>
      <c r="BI5552" s="106">
        <v>-28.135000000000002</v>
      </c>
      <c r="BO5552" s="74">
        <v>-30.265000000000001</v>
      </c>
      <c r="BU5552" s="106">
        <v>-16.53</v>
      </c>
      <c r="CA5552" s="106">
        <v>-18.149999999999999</v>
      </c>
      <c r="CG5552" s="106">
        <v>-17.16</v>
      </c>
    </row>
    <row r="5553" spans="1:257" x14ac:dyDescent="0.25">
      <c r="A5553" s="127">
        <v>45885</v>
      </c>
      <c r="B5553" s="24" t="s">
        <v>39</v>
      </c>
      <c r="C5553" s="21">
        <f t="shared" ref="C5553:C5616" si="91">SUM(D5553:JT5553)</f>
        <v>-31.09</v>
      </c>
      <c r="Z5553" s="79">
        <v>-8.2349999999999994</v>
      </c>
      <c r="AR5553" s="74">
        <v>-8.2449999999999992</v>
      </c>
      <c r="BI5553" s="106">
        <f>-7.4-7.21</f>
        <v>-14.61</v>
      </c>
    </row>
    <row r="5554" spans="1:257" x14ac:dyDescent="0.25">
      <c r="A5554" s="127">
        <v>45885</v>
      </c>
      <c r="B5554" s="24" t="s">
        <v>184</v>
      </c>
      <c r="C5554" s="21">
        <f t="shared" si="91"/>
        <v>-84.69</v>
      </c>
      <c r="AR5554" s="74">
        <v>-17.84</v>
      </c>
      <c r="BI5554" s="106">
        <v>-7.3449999999999998</v>
      </c>
      <c r="BO5554" s="74">
        <v>-8.15</v>
      </c>
      <c r="CG5554" s="106">
        <v>-8.6150000000000002</v>
      </c>
      <c r="CM5554" s="74">
        <v>-17.28</v>
      </c>
      <c r="EA5554" s="74">
        <v>-25.46</v>
      </c>
    </row>
    <row r="5555" spans="1:257" x14ac:dyDescent="0.25">
      <c r="A5555" s="127">
        <v>45885</v>
      </c>
      <c r="B5555" s="24" t="s">
        <v>25</v>
      </c>
      <c r="C5555" s="21">
        <f t="shared" si="91"/>
        <v>-24.96</v>
      </c>
      <c r="AW5555" s="74">
        <v>-8.61</v>
      </c>
      <c r="BU5555" s="106">
        <v>-8.3249999999999993</v>
      </c>
      <c r="CA5555" s="106">
        <v>-8.0250000000000004</v>
      </c>
    </row>
    <row r="5556" spans="1:257" x14ac:dyDescent="0.25">
      <c r="A5556" s="127">
        <v>45887</v>
      </c>
      <c r="B5556" s="24" t="s">
        <v>17</v>
      </c>
      <c r="C5556" s="21">
        <f t="shared" si="91"/>
        <v>-29.23</v>
      </c>
      <c r="AN5556" s="74">
        <v>-6.4950000000000001</v>
      </c>
      <c r="BI5556" s="106">
        <v>-6.65</v>
      </c>
      <c r="BO5556" s="74">
        <v>-8.1549999999999994</v>
      </c>
      <c r="BU5556" s="106">
        <v>-7.93</v>
      </c>
    </row>
    <row r="5557" spans="1:257" x14ac:dyDescent="0.25">
      <c r="A5557" s="127">
        <v>45887</v>
      </c>
      <c r="B5557" s="24" t="s">
        <v>213</v>
      </c>
      <c r="C5557" s="21">
        <f t="shared" si="91"/>
        <v>-33.58</v>
      </c>
      <c r="DW5557" s="126">
        <v>-17.3</v>
      </c>
      <c r="EA5557" s="74">
        <v>-16.28</v>
      </c>
    </row>
    <row r="5558" spans="1:257" x14ac:dyDescent="0.25">
      <c r="A5558" s="127">
        <v>45887</v>
      </c>
      <c r="B5558" s="24" t="s">
        <v>197</v>
      </c>
      <c r="C5558" s="21">
        <f t="shared" si="91"/>
        <v>-85.8</v>
      </c>
      <c r="BI5558" s="106">
        <v>-13.98</v>
      </c>
      <c r="BO5558" s="74">
        <v>-7.0449999999999999</v>
      </c>
      <c r="BU5558" s="106">
        <v>-16.315000000000001</v>
      </c>
      <c r="CM5558" s="74">
        <v>-16.855</v>
      </c>
      <c r="CY5558" s="74">
        <v>-15.02</v>
      </c>
      <c r="DE5558" s="74">
        <v>-16.585000000000001</v>
      </c>
    </row>
    <row r="5559" spans="1:257" x14ac:dyDescent="0.25">
      <c r="A5559" s="127">
        <v>45887</v>
      </c>
      <c r="B5559" s="24" t="s">
        <v>184</v>
      </c>
      <c r="C5559" s="21">
        <f t="shared" si="91"/>
        <v>-123.38</v>
      </c>
      <c r="AW5559" s="74">
        <v>-33.04</v>
      </c>
      <c r="BC5559" s="74">
        <v>-32.125</v>
      </c>
      <c r="BO5559" s="74">
        <v>-32.515000000000001</v>
      </c>
      <c r="CM5559" s="74">
        <v>-8.4049999999999994</v>
      </c>
      <c r="CS5559" s="74">
        <v>-17.295000000000002</v>
      </c>
    </row>
    <row r="5560" spans="1:257" x14ac:dyDescent="0.25">
      <c r="A5560" s="127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3">
        <v>24.27</v>
      </c>
      <c r="AR5560" s="74">
        <f>8.11+5.7</f>
        <v>13.81</v>
      </c>
      <c r="AW5560" s="74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0">
        <v>2.94</v>
      </c>
      <c r="GU5560" s="110">
        <v>3.04</v>
      </c>
      <c r="HB5560" s="277">
        <v>5.58</v>
      </c>
      <c r="HD5560" s="92">
        <v>5.56</v>
      </c>
      <c r="HM5560" s="106">
        <f>5.5+0.94</f>
        <v>6.44</v>
      </c>
      <c r="HR5560" s="92">
        <v>3.18</v>
      </c>
      <c r="HU5560" s="42">
        <v>6.62</v>
      </c>
      <c r="HY5560" s="38">
        <f>6.02+5.38+6+6.2+5.32+5.9+4.94+2.26+0.66+6.12+4.96</f>
        <v>53.76</v>
      </c>
      <c r="IE5560" s="79">
        <v>2.42</v>
      </c>
      <c r="IJ5560" s="268">
        <v>3.4</v>
      </c>
      <c r="IK5560" s="262">
        <v>63.52</v>
      </c>
      <c r="IL5560" s="262">
        <v>10.46</v>
      </c>
      <c r="IP5560" s="262">
        <v>2.5</v>
      </c>
      <c r="IQ5560" s="262">
        <v>16.399999999999999</v>
      </c>
      <c r="IR5560" s="262">
        <v>4.8</v>
      </c>
      <c r="IS5560" s="262">
        <v>9.14</v>
      </c>
      <c r="IT5560" s="262">
        <v>9.2200000000000006</v>
      </c>
      <c r="IU5560" s="262">
        <v>18.5</v>
      </c>
      <c r="IV5560" s="262">
        <v>64.48</v>
      </c>
      <c r="IW5560" s="262">
        <v>52.36</v>
      </c>
    </row>
    <row r="5561" spans="1:257" x14ac:dyDescent="0.25">
      <c r="A5561" s="127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27">
        <v>45888</v>
      </c>
      <c r="B5562" s="24" t="s">
        <v>192</v>
      </c>
      <c r="C5562" s="21">
        <f t="shared" si="91"/>
        <v>-16.72</v>
      </c>
      <c r="CA5562" s="106">
        <v>-16.72</v>
      </c>
    </row>
    <row r="5563" spans="1:257" x14ac:dyDescent="0.25">
      <c r="A5563" s="127">
        <v>45888</v>
      </c>
      <c r="B5563" s="24" t="s">
        <v>218</v>
      </c>
      <c r="C5563" s="21">
        <f t="shared" si="91"/>
        <v>248.345</v>
      </c>
      <c r="AZ5563" s="115">
        <v>102.375</v>
      </c>
      <c r="DW5563" s="126">
        <v>8.31</v>
      </c>
      <c r="EI5563" s="150">
        <v>17.03</v>
      </c>
      <c r="EM5563" s="150">
        <v>25.39</v>
      </c>
      <c r="EQ5563" s="46">
        <v>26.3</v>
      </c>
      <c r="EU5563" s="126">
        <v>24.39</v>
      </c>
      <c r="FN5563" s="150">
        <v>21.65</v>
      </c>
      <c r="FY5563" s="126">
        <v>22.9</v>
      </c>
    </row>
    <row r="5564" spans="1:257" x14ac:dyDescent="0.25">
      <c r="A5564" s="127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27">
        <v>45889</v>
      </c>
      <c r="B5565" s="24" t="s">
        <v>24</v>
      </c>
      <c r="C5565" s="21">
        <f t="shared" si="91"/>
        <v>-100.92</v>
      </c>
      <c r="AW5565" s="74">
        <v>-16.84</v>
      </c>
      <c r="BC5565" s="74">
        <v>-14.875</v>
      </c>
      <c r="BI5565" s="106">
        <v>-11.975</v>
      </c>
      <c r="CA5565" s="106">
        <v>-8.0549999999999997</v>
      </c>
      <c r="CG5565" s="106">
        <v>-14.475</v>
      </c>
      <c r="CM5565" s="74">
        <v>-17.414999999999999</v>
      </c>
      <c r="CS5565" s="74">
        <v>-17.285</v>
      </c>
    </row>
    <row r="5566" spans="1:257" x14ac:dyDescent="0.25">
      <c r="A5566" s="127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27">
        <v>45890</v>
      </c>
      <c r="B5567" s="24" t="s">
        <v>20</v>
      </c>
      <c r="C5567" s="21">
        <f t="shared" si="91"/>
        <v>-24.81</v>
      </c>
      <c r="AR5567" s="74">
        <v>-8.3049999999999997</v>
      </c>
      <c r="AW5567" s="74">
        <v>-8.3450000000000006</v>
      </c>
      <c r="BC5567" s="74">
        <v>-8.16</v>
      </c>
    </row>
    <row r="5568" spans="1:257" x14ac:dyDescent="0.25">
      <c r="A5568" s="127">
        <v>45890</v>
      </c>
      <c r="B5568" s="24" t="s">
        <v>44</v>
      </c>
      <c r="C5568" s="21">
        <f t="shared" si="91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27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74">
        <v>-8.5299999999999994</v>
      </c>
      <c r="AW5569" s="74">
        <v>-8.08</v>
      </c>
      <c r="BC5569" s="74">
        <v>-7.82</v>
      </c>
      <c r="BU5569" s="106">
        <v>-7.9</v>
      </c>
      <c r="CM5569" s="74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27">
        <v>45890</v>
      </c>
      <c r="B5570" s="29" t="s">
        <v>133</v>
      </c>
      <c r="C5570" s="21">
        <f t="shared" si="91"/>
        <v>-99.924999999999997</v>
      </c>
      <c r="CY5570" s="74">
        <v>-47.91</v>
      </c>
      <c r="DA5570" s="126">
        <v>-16.96</v>
      </c>
      <c r="DE5570" s="74">
        <v>-35.055</v>
      </c>
    </row>
    <row r="5571" spans="1:208" x14ac:dyDescent="0.25">
      <c r="A5571" s="127">
        <v>45890</v>
      </c>
      <c r="B5571" s="24" t="s">
        <v>171</v>
      </c>
      <c r="C5571" s="21">
        <f t="shared" si="91"/>
        <v>-17.234999999999999</v>
      </c>
      <c r="CM5571" s="74">
        <v>-17.234999999999999</v>
      </c>
    </row>
    <row r="5572" spans="1:208" x14ac:dyDescent="0.25">
      <c r="A5572" s="127">
        <v>45890</v>
      </c>
      <c r="B5572" s="24" t="s">
        <v>218</v>
      </c>
      <c r="C5572" s="21">
        <f t="shared" si="91"/>
        <v>68.67</v>
      </c>
      <c r="EC5572" s="126">
        <v>68.67</v>
      </c>
    </row>
    <row r="5573" spans="1:208" x14ac:dyDescent="0.25">
      <c r="A5573" s="127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74">
        <v>66.17</v>
      </c>
      <c r="AW5573" s="74">
        <v>96.3</v>
      </c>
      <c r="BI5573" s="106">
        <v>62.41</v>
      </c>
      <c r="BO5573" s="74">
        <v>65.73</v>
      </c>
      <c r="BU5573" s="106">
        <v>65.88</v>
      </c>
      <c r="CA5573" s="106">
        <f>63.09+59.925</f>
        <v>123.015</v>
      </c>
      <c r="CG5573" s="106">
        <f>68.715+42.91</f>
        <v>111.625</v>
      </c>
      <c r="CM5573" s="74">
        <v>31.03</v>
      </c>
      <c r="CS5573" s="74">
        <v>32.195</v>
      </c>
    </row>
    <row r="5574" spans="1:208" x14ac:dyDescent="0.25">
      <c r="A5574" s="127">
        <v>45891</v>
      </c>
      <c r="B5574" s="24" t="s">
        <v>213</v>
      </c>
      <c r="C5574" s="21">
        <f t="shared" si="91"/>
        <v>-98.96</v>
      </c>
      <c r="BI5574" s="106">
        <v>-30.864999999999998</v>
      </c>
      <c r="BU5574" s="106">
        <v>-15.63</v>
      </c>
      <c r="CA5574" s="106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27">
        <v>45892</v>
      </c>
      <c r="B5575" s="24" t="s">
        <v>225</v>
      </c>
      <c r="C5575" s="21">
        <f t="shared" si="91"/>
        <v>-25.844999999999999</v>
      </c>
      <c r="BI5575" s="106">
        <v>-7.89</v>
      </c>
      <c r="CA5575" s="106">
        <v>-9.2899999999999991</v>
      </c>
      <c r="CG5575" s="106">
        <v>-8.6649999999999991</v>
      </c>
    </row>
    <row r="5576" spans="1:208" x14ac:dyDescent="0.25">
      <c r="A5576" s="127">
        <v>45892</v>
      </c>
      <c r="B5576" s="24" t="s">
        <v>127</v>
      </c>
      <c r="C5576" s="21">
        <f t="shared" si="91"/>
        <v>-25.3</v>
      </c>
      <c r="AW5576" s="74">
        <v>-9.4250000000000007</v>
      </c>
      <c r="BI5576" s="106">
        <v>-7.7350000000000003</v>
      </c>
      <c r="BO5576" s="74">
        <v>-8.14</v>
      </c>
    </row>
    <row r="5577" spans="1:208" x14ac:dyDescent="0.25">
      <c r="A5577" s="127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106">
        <v>-8.0150000000000006</v>
      </c>
      <c r="BU5577" s="106">
        <v>-9.17</v>
      </c>
      <c r="CA5577" s="106">
        <v>-9.0549999999999997</v>
      </c>
    </row>
    <row r="5578" spans="1:208" x14ac:dyDescent="0.25">
      <c r="A5578" s="127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27">
        <v>45894</v>
      </c>
      <c r="B5579" s="24" t="s">
        <v>17</v>
      </c>
      <c r="C5579" s="21">
        <f t="shared" si="91"/>
        <v>-16.78</v>
      </c>
      <c r="BO5579" s="74">
        <v>-16.78</v>
      </c>
    </row>
    <row r="5580" spans="1:208" x14ac:dyDescent="0.25">
      <c r="A5580" s="127">
        <v>45894</v>
      </c>
      <c r="B5580" s="24" t="s">
        <v>184</v>
      </c>
      <c r="C5580" s="21">
        <f t="shared" si="91"/>
        <v>-225.215</v>
      </c>
      <c r="AW5580" s="74">
        <v>-18.2</v>
      </c>
      <c r="BO5580" s="74">
        <v>-15.45</v>
      </c>
      <c r="BU5580" s="106">
        <v>-24.524999999999999</v>
      </c>
      <c r="CA5580" s="106">
        <v>-34.1</v>
      </c>
      <c r="CG5580" s="106">
        <v>-14.38</v>
      </c>
      <c r="CM5580" s="74">
        <v>-8.6199999999999992</v>
      </c>
      <c r="DA5580" s="126">
        <v>-16.28</v>
      </c>
      <c r="DP5580" s="74">
        <v>-33.5</v>
      </c>
      <c r="DW5580" s="126">
        <v>-17.27</v>
      </c>
      <c r="EC5580" s="126">
        <v>-42.89</v>
      </c>
    </row>
    <row r="5581" spans="1:208" x14ac:dyDescent="0.25">
      <c r="A5581" s="127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106">
        <v>-8.58</v>
      </c>
      <c r="CM5581" s="74">
        <v>-8.6349999999999998</v>
      </c>
    </row>
    <row r="5582" spans="1:208" x14ac:dyDescent="0.25">
      <c r="A5582" s="127">
        <v>45895</v>
      </c>
      <c r="B5582" s="24" t="s">
        <v>184</v>
      </c>
      <c r="C5582" s="21">
        <f t="shared" si="91"/>
        <v>-36.844999999999999</v>
      </c>
      <c r="DK5582" s="74">
        <v>-36.844999999999999</v>
      </c>
    </row>
    <row r="5583" spans="1:208" x14ac:dyDescent="0.25">
      <c r="A5583" s="127">
        <v>45895</v>
      </c>
      <c r="B5583" s="24" t="s">
        <v>197</v>
      </c>
      <c r="C5583" s="21">
        <f t="shared" si="91"/>
        <v>-46.365000000000002</v>
      </c>
      <c r="CA5583" s="106">
        <v>-18.22</v>
      </c>
      <c r="CG5583" s="106">
        <v>-14.37</v>
      </c>
      <c r="CM5583" s="74">
        <v>-13.775</v>
      </c>
    </row>
    <row r="5584" spans="1:208" x14ac:dyDescent="0.25">
      <c r="A5584" s="127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27">
        <v>45895</v>
      </c>
      <c r="B5585" s="24" t="s">
        <v>138</v>
      </c>
      <c r="C5585" s="21">
        <f t="shared" si="91"/>
        <v>-17.75</v>
      </c>
      <c r="AW5585" s="74">
        <v>-9.11</v>
      </c>
      <c r="BU5585" s="106">
        <v>-8.64</v>
      </c>
    </row>
    <row r="5586" spans="1:199" x14ac:dyDescent="0.25">
      <c r="A5586" s="127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27">
        <v>45896</v>
      </c>
      <c r="B5587" s="24" t="s">
        <v>33</v>
      </c>
      <c r="C5587" s="21">
        <f t="shared" si="91"/>
        <v>-32.67</v>
      </c>
      <c r="AW5587" s="74">
        <v>-7.99</v>
      </c>
      <c r="BO5587" s="74">
        <v>-8.1449999999999996</v>
      </c>
      <c r="BU5587" s="106">
        <v>-7.915</v>
      </c>
      <c r="CA5587" s="106">
        <v>-8.6199999999999992</v>
      </c>
    </row>
    <row r="5588" spans="1:199" x14ac:dyDescent="0.25">
      <c r="A5588" s="127">
        <v>45897</v>
      </c>
      <c r="B5588" s="24" t="s">
        <v>113</v>
      </c>
      <c r="C5588" s="21">
        <f t="shared" si="91"/>
        <v>383.41</v>
      </c>
      <c r="BC5588" s="74">
        <v>95.64</v>
      </c>
      <c r="BI5588" s="106">
        <v>97.974999999999994</v>
      </c>
      <c r="CA5588" s="106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27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74">
        <v>32.99</v>
      </c>
      <c r="AW5589" s="74">
        <v>74.91</v>
      </c>
      <c r="CM5589" s="74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27">
        <v>45897</v>
      </c>
      <c r="B5590" s="24" t="s">
        <v>213</v>
      </c>
      <c r="C5590" s="21">
        <f t="shared" si="91"/>
        <v>-165.88499999999999</v>
      </c>
      <c r="AR5590" s="74">
        <v>-16.574999999999999</v>
      </c>
      <c r="AW5590" s="74">
        <v>-12.9</v>
      </c>
      <c r="BC5590" s="74">
        <v>-7.875</v>
      </c>
      <c r="BI5590" s="106">
        <v>-25.704999999999998</v>
      </c>
      <c r="BO5590" s="74">
        <v>-33.5</v>
      </c>
      <c r="CA5590" s="106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27">
        <v>45897</v>
      </c>
      <c r="B5591" s="24" t="s">
        <v>48</v>
      </c>
      <c r="C5591" s="21">
        <f t="shared" si="91"/>
        <v>-7.85</v>
      </c>
      <c r="DK5591" s="74">
        <v>-7.85</v>
      </c>
    </row>
    <row r="5592" spans="1:199" x14ac:dyDescent="0.25">
      <c r="A5592" s="127">
        <v>45897</v>
      </c>
      <c r="B5592" s="24" t="s">
        <v>193</v>
      </c>
      <c r="C5592" s="21">
        <f t="shared" si="91"/>
        <v>-32.854999999999997</v>
      </c>
      <c r="CA5592" s="106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27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106">
        <v>-16.399999999999999</v>
      </c>
      <c r="CM5593" s="74">
        <v>-32.22</v>
      </c>
    </row>
    <row r="5594" spans="1:199" x14ac:dyDescent="0.25">
      <c r="A5594" s="127">
        <v>45897</v>
      </c>
      <c r="B5594" s="24" t="s">
        <v>133</v>
      </c>
      <c r="C5594" s="21">
        <f t="shared" si="91"/>
        <v>-128.85</v>
      </c>
      <c r="AR5594" s="74">
        <v>-32.99</v>
      </c>
      <c r="BC5594" s="74">
        <v>-31.965</v>
      </c>
      <c r="CG5594" s="106">
        <v>-29.434999999999999</v>
      </c>
      <c r="DE5594" s="74">
        <v>-34.46</v>
      </c>
    </row>
    <row r="5595" spans="1:199" x14ac:dyDescent="0.25">
      <c r="A5595" s="127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6">
        <v>-25.78</v>
      </c>
    </row>
    <row r="5596" spans="1:199" x14ac:dyDescent="0.25">
      <c r="A5596" s="127">
        <v>45897</v>
      </c>
      <c r="B5596" s="24" t="s">
        <v>33</v>
      </c>
      <c r="C5596" s="21">
        <f t="shared" si="91"/>
        <v>-7.04</v>
      </c>
      <c r="BC5596" s="74">
        <v>-7.04</v>
      </c>
    </row>
    <row r="5597" spans="1:199" x14ac:dyDescent="0.25">
      <c r="A5597" s="127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106">
        <f>-7.83-8.04</f>
        <v>-15.87</v>
      </c>
      <c r="CA5597" s="106">
        <f>-8.56-9.315</f>
        <v>-17.875</v>
      </c>
      <c r="CG5597" s="106">
        <f>-8.555-7.22-7.215-7.78</f>
        <v>-30.77</v>
      </c>
      <c r="DE5597" s="74">
        <f>-8.08-7.395-9.07-9.115</f>
        <v>-33.659999999999997</v>
      </c>
    </row>
    <row r="5598" spans="1:199" x14ac:dyDescent="0.25">
      <c r="A5598" s="127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27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0">
        <v>-59.49</v>
      </c>
      <c r="GQ5599" s="92">
        <v>-115.03</v>
      </c>
    </row>
    <row r="5600" spans="1:199" x14ac:dyDescent="0.25">
      <c r="A5600" s="127">
        <v>45898</v>
      </c>
      <c r="B5600" s="24" t="s">
        <v>184</v>
      </c>
      <c r="C5600" s="21">
        <f t="shared" si="91"/>
        <v>-57.9</v>
      </c>
      <c r="Z5600" s="79">
        <v>-26.67</v>
      </c>
      <c r="AN5600" s="74">
        <v>-8.2349999999999994</v>
      </c>
      <c r="AW5600" s="74">
        <v>-7.0750000000000002</v>
      </c>
      <c r="CG5600" s="106">
        <v>-7.18</v>
      </c>
      <c r="CM5600" s="74">
        <v>-8.74</v>
      </c>
    </row>
    <row r="5601" spans="1:169" x14ac:dyDescent="0.25">
      <c r="A5601" s="127">
        <v>45899</v>
      </c>
      <c r="B5601" s="24" t="s">
        <v>127</v>
      </c>
      <c r="C5601" s="21">
        <f t="shared" si="91"/>
        <v>-16.23</v>
      </c>
      <c r="BC5601" s="74">
        <v>-16.23</v>
      </c>
    </row>
    <row r="5602" spans="1:169" x14ac:dyDescent="0.25">
      <c r="A5602" s="127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27">
        <v>45899</v>
      </c>
      <c r="B5603" s="24" t="s">
        <v>48</v>
      </c>
      <c r="C5603" s="21">
        <f t="shared" si="91"/>
        <v>-33.895000000000003</v>
      </c>
      <c r="DK5603" s="74">
        <v>-33.895000000000003</v>
      </c>
    </row>
    <row r="5604" spans="1:169" x14ac:dyDescent="0.25">
      <c r="A5604" s="127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27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27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27">
        <v>45902</v>
      </c>
      <c r="B5607" s="24" t="s">
        <v>75</v>
      </c>
      <c r="C5607" s="21">
        <f t="shared" si="91"/>
        <v>-16.215</v>
      </c>
      <c r="BC5607" s="74">
        <v>-8.1150000000000002</v>
      </c>
      <c r="BI5607" s="106">
        <v>-8.1</v>
      </c>
    </row>
    <row r="5608" spans="1:169" x14ac:dyDescent="0.25">
      <c r="A5608" s="127">
        <v>45902</v>
      </c>
      <c r="B5608" s="24" t="s">
        <v>188</v>
      </c>
      <c r="C5608" s="21">
        <f t="shared" si="91"/>
        <v>-31.76</v>
      </c>
      <c r="BI5608" s="106">
        <v>-7.7649999999999997</v>
      </c>
      <c r="BO5608" s="74">
        <v>-8.0350000000000001</v>
      </c>
      <c r="CG5608" s="106">
        <v>-7.1749999999999998</v>
      </c>
      <c r="CM5608" s="74">
        <v>-8.7850000000000001</v>
      </c>
    </row>
    <row r="5609" spans="1:169" x14ac:dyDescent="0.25">
      <c r="A5609" s="127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27">
        <v>45904</v>
      </c>
      <c r="B5610" s="24" t="s">
        <v>20</v>
      </c>
      <c r="C5610" s="21">
        <f t="shared" si="91"/>
        <v>-8.57</v>
      </c>
      <c r="CG5610" s="106">
        <v>-8.57</v>
      </c>
    </row>
    <row r="5611" spans="1:169" x14ac:dyDescent="0.25">
      <c r="A5611" s="127">
        <v>45904</v>
      </c>
      <c r="B5611" s="24" t="s">
        <v>17</v>
      </c>
      <c r="C5611" s="21">
        <f t="shared" si="91"/>
        <v>-42.48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27">
        <v>45904</v>
      </c>
      <c r="B5612" s="24" t="s">
        <v>224</v>
      </c>
      <c r="C5612" s="21">
        <f t="shared" si="91"/>
        <v>-8.125</v>
      </c>
      <c r="BC5612" s="74">
        <v>-8.125</v>
      </c>
    </row>
    <row r="5613" spans="1:169" x14ac:dyDescent="0.25">
      <c r="A5613" s="127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27">
        <v>45904</v>
      </c>
      <c r="B5614" s="24" t="s">
        <v>218</v>
      </c>
      <c r="C5614" s="21">
        <f t="shared" si="91"/>
        <v>-62.634999999999998</v>
      </c>
      <c r="AR5614" s="74">
        <v>-33.4</v>
      </c>
      <c r="AW5614" s="74">
        <f>-7.15-7.065-7.19</f>
        <v>-21.405000000000001</v>
      </c>
      <c r="BI5614" s="106">
        <v>-7.83</v>
      </c>
    </row>
    <row r="5615" spans="1:169" x14ac:dyDescent="0.25">
      <c r="A5615" s="127">
        <v>45905</v>
      </c>
      <c r="B5615" s="24" t="s">
        <v>68</v>
      </c>
      <c r="C5615" s="21">
        <f t="shared" si="91"/>
        <v>-24.28</v>
      </c>
      <c r="AW5615" s="74">
        <v>-8.0050000000000008</v>
      </c>
      <c r="BC5615" s="74">
        <v>-8.1449999999999996</v>
      </c>
      <c r="BI5615" s="106">
        <v>-8.1300000000000008</v>
      </c>
    </row>
    <row r="5616" spans="1:169" x14ac:dyDescent="0.25">
      <c r="A5616" s="127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27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27">
        <v>45906</v>
      </c>
      <c r="B5618" s="24" t="s">
        <v>192</v>
      </c>
      <c r="C5618" s="21">
        <f t="shared" si="92"/>
        <v>-8.5</v>
      </c>
      <c r="CA5618" s="106">
        <v>-8.5</v>
      </c>
    </row>
    <row r="5619" spans="1:212" x14ac:dyDescent="0.25">
      <c r="A5619" s="127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27">
        <v>45909</v>
      </c>
      <c r="B5620" s="24" t="s">
        <v>197</v>
      </c>
      <c r="C5620" s="21">
        <f t="shared" si="92"/>
        <v>-41.865000000000002</v>
      </c>
      <c r="CM5620" s="74">
        <v>-26.24</v>
      </c>
      <c r="CS5620" s="74">
        <v>-15.625</v>
      </c>
    </row>
    <row r="5621" spans="1:212" x14ac:dyDescent="0.25">
      <c r="A5621" s="127">
        <v>45909</v>
      </c>
      <c r="B5621" s="24" t="s">
        <v>224</v>
      </c>
      <c r="C5621" s="21">
        <f t="shared" si="92"/>
        <v>-25.33</v>
      </c>
      <c r="BO5621" s="74">
        <v>-8.0950000000000006</v>
      </c>
      <c r="CG5621" s="106">
        <v>-8.5350000000000001</v>
      </c>
      <c r="CM5621" s="74">
        <v>-8.6999999999999993</v>
      </c>
    </row>
    <row r="5622" spans="1:212" x14ac:dyDescent="0.25">
      <c r="A5622" s="127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74">
        <v>100.75</v>
      </c>
      <c r="BI5622" s="106">
        <v>117.2</v>
      </c>
      <c r="BO5622" s="74">
        <f>68.1+72.2</f>
        <v>140.30000000000001</v>
      </c>
      <c r="BU5622" s="106">
        <f>108+24.25</f>
        <v>132.25</v>
      </c>
      <c r="CA5622" s="106">
        <v>99.965000000000003</v>
      </c>
      <c r="CG5622" s="106">
        <v>99.55</v>
      </c>
      <c r="CM5622" s="74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27">
        <v>45910</v>
      </c>
      <c r="B5623" s="24" t="s">
        <v>224</v>
      </c>
      <c r="C5623" s="21">
        <f t="shared" si="92"/>
        <v>-22.725000000000001</v>
      </c>
      <c r="AW5623" s="74">
        <v>-6.53</v>
      </c>
      <c r="BU5623" s="106">
        <v>-7.55</v>
      </c>
      <c r="CA5623" s="106">
        <v>-8.6449999999999996</v>
      </c>
    </row>
    <row r="5624" spans="1:212" x14ac:dyDescent="0.25">
      <c r="A5624" s="127">
        <v>45910</v>
      </c>
      <c r="B5624" s="24" t="s">
        <v>193</v>
      </c>
      <c r="C5624" s="21">
        <f t="shared" si="92"/>
        <v>-8</v>
      </c>
      <c r="BU5624" s="106">
        <v>-8</v>
      </c>
    </row>
    <row r="5625" spans="1:212" x14ac:dyDescent="0.25">
      <c r="A5625" s="127">
        <v>45910</v>
      </c>
      <c r="B5625" s="24" t="s">
        <v>48</v>
      </c>
      <c r="C5625" s="21">
        <f t="shared" si="92"/>
        <v>-8.5500000000000007</v>
      </c>
      <c r="AR5625" s="74">
        <v>-8.5500000000000007</v>
      </c>
    </row>
    <row r="5626" spans="1:212" x14ac:dyDescent="0.25">
      <c r="A5626" s="127">
        <v>45910</v>
      </c>
      <c r="B5626" s="24" t="s">
        <v>184</v>
      </c>
      <c r="C5626" s="21">
        <f t="shared" si="92"/>
        <v>-193.45500000000001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74">
        <v>-8.11</v>
      </c>
      <c r="AW5626" s="74">
        <v>-25.83</v>
      </c>
      <c r="BC5626" s="74">
        <v>-27.95</v>
      </c>
      <c r="BI5626" s="106">
        <v>-14.35</v>
      </c>
      <c r="BO5626" s="74">
        <v>-18</v>
      </c>
      <c r="BU5626" s="106">
        <v>-17.3</v>
      </c>
      <c r="CG5626" s="106">
        <v>-15.3</v>
      </c>
      <c r="CM5626" s="74">
        <v>-16.2</v>
      </c>
    </row>
    <row r="5627" spans="1:212" x14ac:dyDescent="0.25">
      <c r="A5627" s="127">
        <v>45910</v>
      </c>
      <c r="B5627" s="24" t="s">
        <v>197</v>
      </c>
      <c r="C5627" s="21">
        <f t="shared" si="92"/>
        <v>-16.600000000000001</v>
      </c>
      <c r="CG5627" s="106">
        <v>-16.600000000000001</v>
      </c>
    </row>
    <row r="5628" spans="1:212" x14ac:dyDescent="0.25">
      <c r="A5628" s="127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106">
        <v>-14.3</v>
      </c>
      <c r="BO5628" s="74">
        <v>-18.149999999999999</v>
      </c>
      <c r="BU5628" s="106">
        <v>-16.600000000000001</v>
      </c>
      <c r="CA5628" s="106">
        <v>-16.350000000000001</v>
      </c>
      <c r="CG5628" s="106">
        <v>-16.7</v>
      </c>
      <c r="CM5628" s="74">
        <v>-16.850000000000001</v>
      </c>
      <c r="CS5628" s="74">
        <v>-8.67</v>
      </c>
      <c r="DE5628" s="74">
        <v>-8.9149999999999991</v>
      </c>
    </row>
    <row r="5629" spans="1:212" x14ac:dyDescent="0.25">
      <c r="A5629" s="127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74">
        <v>-7.35</v>
      </c>
      <c r="BI5629" s="106">
        <v>-7.35</v>
      </c>
      <c r="BO5629" s="74">
        <v>-9.1</v>
      </c>
    </row>
    <row r="5630" spans="1:212" x14ac:dyDescent="0.25">
      <c r="A5630" s="127">
        <v>45910</v>
      </c>
      <c r="B5630" s="24" t="s">
        <v>133</v>
      </c>
      <c r="C5630" s="21">
        <f t="shared" si="92"/>
        <v>-164.745</v>
      </c>
      <c r="AN5630" s="74">
        <v>-32.979999999999997</v>
      </c>
      <c r="BI5630" s="106">
        <v>-28.9</v>
      </c>
      <c r="BO5630" s="74">
        <v>-34.6</v>
      </c>
      <c r="CS5630" s="74">
        <v>-34.049999999999997</v>
      </c>
      <c r="DE5630" s="74">
        <v>-34.215000000000003</v>
      </c>
    </row>
    <row r="5631" spans="1:212" x14ac:dyDescent="0.25">
      <c r="A5631" s="127">
        <v>45910</v>
      </c>
      <c r="B5631" s="24" t="s">
        <v>213</v>
      </c>
      <c r="C5631" s="21">
        <f t="shared" si="92"/>
        <v>-64.03</v>
      </c>
      <c r="BI5631" s="106">
        <f>-7.4-7.7</f>
        <v>-15.1</v>
      </c>
      <c r="BU5631" s="106">
        <f>-8.45-7.8</f>
        <v>-16.25</v>
      </c>
      <c r="CA5631" s="106">
        <v>-32.68</v>
      </c>
    </row>
    <row r="5632" spans="1:212" x14ac:dyDescent="0.25">
      <c r="A5632" s="127">
        <v>45911</v>
      </c>
      <c r="B5632" s="24" t="s">
        <v>171</v>
      </c>
      <c r="C5632" s="21">
        <f t="shared" si="92"/>
        <v>-34.435000000000002</v>
      </c>
      <c r="CG5632" s="106">
        <v>-25.8</v>
      </c>
      <c r="CS5632" s="74">
        <v>-8.6349999999999998</v>
      </c>
    </row>
    <row r="5633" spans="1:131" x14ac:dyDescent="0.25">
      <c r="A5633" s="127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74">
        <v>-12.895</v>
      </c>
      <c r="BU5633" s="106">
        <v>-17.3</v>
      </c>
    </row>
    <row r="5634" spans="1:131" x14ac:dyDescent="0.25">
      <c r="A5634" s="127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-49.265000000000001</v>
      </c>
      <c r="EA5634" s="74">
        <f>-8.2-9.35</f>
        <v>-17.55</v>
      </c>
    </row>
    <row r="5635" spans="1:131" x14ac:dyDescent="0.25">
      <c r="A5635" s="127">
        <v>45911</v>
      </c>
      <c r="B5635" s="24" t="s">
        <v>138</v>
      </c>
      <c r="C5635" s="21">
        <f t="shared" si="92"/>
        <v>-25.5</v>
      </c>
      <c r="BI5635" s="106">
        <v>-7.6</v>
      </c>
      <c r="BO5635" s="74">
        <v>-9.15</v>
      </c>
      <c r="BU5635" s="106">
        <v>-8.75</v>
      </c>
    </row>
    <row r="5636" spans="1:131" x14ac:dyDescent="0.25">
      <c r="A5636" s="127">
        <v>45911</v>
      </c>
      <c r="B5636" s="24" t="s">
        <v>192</v>
      </c>
      <c r="C5636" s="21">
        <f t="shared" si="92"/>
        <v>-51.56</v>
      </c>
      <c r="BU5636" s="106">
        <v>-8.65</v>
      </c>
      <c r="CA5636" s="106">
        <v>-34.659999999999997</v>
      </c>
      <c r="CG5636" s="106">
        <v>-8.25</v>
      </c>
    </row>
    <row r="5637" spans="1:131" x14ac:dyDescent="0.25">
      <c r="A5637" s="127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27">
        <v>45912</v>
      </c>
      <c r="B5638" s="24" t="s">
        <v>213</v>
      </c>
      <c r="C5638" s="21">
        <f t="shared" si="92"/>
        <v>-65.14</v>
      </c>
      <c r="BI5638" s="106">
        <v>-15.324999999999999</v>
      </c>
      <c r="BO5638" s="74">
        <v>-18.3</v>
      </c>
      <c r="BU5638" s="106">
        <v>-14.55</v>
      </c>
      <c r="CS5638" s="74">
        <v>-16.965</v>
      </c>
    </row>
    <row r="5639" spans="1:131" x14ac:dyDescent="0.25">
      <c r="A5639" s="127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27">
        <v>45912</v>
      </c>
      <c r="B5640" s="24" t="s">
        <v>197</v>
      </c>
      <c r="C5640" s="21">
        <f t="shared" si="92"/>
        <v>-8.35</v>
      </c>
      <c r="CM5640" s="74">
        <v>-8.35</v>
      </c>
    </row>
    <row r="5641" spans="1:131" x14ac:dyDescent="0.25">
      <c r="A5641" s="127">
        <v>45912</v>
      </c>
      <c r="B5641" s="24" t="s">
        <v>218</v>
      </c>
      <c r="C5641" s="21">
        <f t="shared" si="92"/>
        <v>-39.244999999999997</v>
      </c>
      <c r="AZ5641" s="115">
        <v>-8.59</v>
      </c>
      <c r="BC5641" s="74">
        <v>-6.9</v>
      </c>
      <c r="BI5641" s="106">
        <v>-15.555</v>
      </c>
      <c r="CA5641" s="106">
        <v>-8.1999999999999993</v>
      </c>
    </row>
    <row r="5642" spans="1:131" x14ac:dyDescent="0.25">
      <c r="A5642" s="127">
        <v>45913</v>
      </c>
      <c r="B5642" s="24" t="s">
        <v>25</v>
      </c>
      <c r="C5642" s="21">
        <f t="shared" si="92"/>
        <v>-24.184999999999999</v>
      </c>
      <c r="DP5642" s="74">
        <v>-8.01</v>
      </c>
      <c r="DU5642" s="106">
        <v>-16.175000000000001</v>
      </c>
    </row>
    <row r="5643" spans="1:131" x14ac:dyDescent="0.25">
      <c r="A5643" s="127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74">
        <v>-8.11</v>
      </c>
      <c r="AW5643" s="74">
        <v>-7.2249999999999996</v>
      </c>
      <c r="BC5643" s="74">
        <v>-6.65</v>
      </c>
      <c r="BU5643" s="106">
        <v>-8.6999999999999993</v>
      </c>
      <c r="CA5643" s="106">
        <v>-8.0749999999999993</v>
      </c>
      <c r="CG5643" s="106">
        <v>-8.65</v>
      </c>
      <c r="CM5643" s="74">
        <v>-8.6999999999999993</v>
      </c>
    </row>
    <row r="5644" spans="1:131" x14ac:dyDescent="0.25">
      <c r="A5644" s="127">
        <v>45916</v>
      </c>
      <c r="B5644" s="24" t="s">
        <v>171</v>
      </c>
      <c r="C5644" s="21">
        <f t="shared" si="92"/>
        <v>-8.25</v>
      </c>
      <c r="CG5644" s="106">
        <v>-8.25</v>
      </c>
    </row>
    <row r="5645" spans="1:131" x14ac:dyDescent="0.25">
      <c r="A5645" s="127">
        <v>45916</v>
      </c>
      <c r="B5645" s="24" t="s">
        <v>113</v>
      </c>
      <c r="C5645" s="21">
        <f t="shared" si="92"/>
        <v>271.95</v>
      </c>
      <c r="BC5645" s="74">
        <v>28.2</v>
      </c>
      <c r="CA5645" s="106">
        <v>36.299999999999997</v>
      </c>
      <c r="CG5645" s="106">
        <v>31.6</v>
      </c>
      <c r="CY5645" s="74">
        <v>34</v>
      </c>
      <c r="EA5645" s="74">
        <v>141.85</v>
      </c>
    </row>
    <row r="5646" spans="1:131" x14ac:dyDescent="0.25">
      <c r="A5646" s="127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74">
        <v>34.055</v>
      </c>
      <c r="BC5646" s="74">
        <v>28.2</v>
      </c>
      <c r="BI5646" s="106">
        <v>29.5</v>
      </c>
      <c r="BO5646" s="74">
        <v>70.150000000000006</v>
      </c>
      <c r="BU5646" s="106">
        <v>102.8</v>
      </c>
      <c r="CA5646" s="106">
        <v>66.819999999999993</v>
      </c>
      <c r="CM5646" s="74">
        <v>103.65</v>
      </c>
    </row>
    <row r="5647" spans="1:131" x14ac:dyDescent="0.25">
      <c r="A5647" s="127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27">
        <v>45916</v>
      </c>
      <c r="B5648" s="24" t="s">
        <v>184</v>
      </c>
      <c r="C5648" s="21">
        <f t="shared" si="92"/>
        <v>-126.35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106">
        <v>-14.35</v>
      </c>
      <c r="BO5648" s="74">
        <v>-36.1</v>
      </c>
      <c r="BU5648" s="106">
        <v>-17.649999999999999</v>
      </c>
      <c r="CA5648" s="106">
        <v>-17.23</v>
      </c>
    </row>
    <row r="5649" spans="1:199" x14ac:dyDescent="0.25">
      <c r="A5649" s="127">
        <v>45916</v>
      </c>
      <c r="B5649" s="24" t="s">
        <v>133</v>
      </c>
      <c r="C5649" s="21">
        <f t="shared" si="92"/>
        <v>-304.2</v>
      </c>
      <c r="BC5649" s="74">
        <v>-14.4</v>
      </c>
      <c r="BO5649" s="74">
        <v>-34.049999999999997</v>
      </c>
      <c r="BU5649" s="106">
        <v>-51.85</v>
      </c>
      <c r="CA5649" s="106">
        <v>-52.61</v>
      </c>
      <c r="CM5649" s="74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27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27">
        <v>45916</v>
      </c>
      <c r="B5651" s="24" t="s">
        <v>213</v>
      </c>
      <c r="C5651" s="21">
        <f t="shared" si="92"/>
        <v>-74.33</v>
      </c>
      <c r="AN5651" s="74">
        <v>-4.92</v>
      </c>
      <c r="AR5651" s="74">
        <v>-8.5649999999999995</v>
      </c>
      <c r="AW5651" s="74">
        <v>-6.8849999999999998</v>
      </c>
      <c r="BC5651" s="74">
        <v>-6.66</v>
      </c>
      <c r="BI5651" s="106">
        <v>-7.4</v>
      </c>
      <c r="BO5651" s="74">
        <v>-17.600000000000001</v>
      </c>
      <c r="BU5651" s="106">
        <v>-8.0500000000000007</v>
      </c>
      <c r="CG5651" s="106">
        <v>-14.25</v>
      </c>
    </row>
    <row r="5652" spans="1:199" x14ac:dyDescent="0.25">
      <c r="A5652" s="127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27">
        <v>45917</v>
      </c>
      <c r="B5653" s="24" t="s">
        <v>20</v>
      </c>
      <c r="C5653" s="21">
        <f t="shared" si="92"/>
        <v>-8.75</v>
      </c>
      <c r="CM5653" s="74">
        <v>-8.75</v>
      </c>
    </row>
    <row r="5654" spans="1:199" x14ac:dyDescent="0.25">
      <c r="A5654" s="127">
        <v>45917</v>
      </c>
      <c r="B5654" s="24" t="s">
        <v>39</v>
      </c>
      <c r="C5654" s="21">
        <f t="shared" si="92"/>
        <v>-32.625</v>
      </c>
      <c r="AZ5654" s="115">
        <v>-8.5250000000000004</v>
      </c>
      <c r="BC5654" s="74">
        <v>-7.05</v>
      </c>
      <c r="BI5654" s="106">
        <v>-7.75</v>
      </c>
      <c r="BO5654" s="74">
        <v>-9.3000000000000007</v>
      </c>
    </row>
    <row r="5655" spans="1:199" x14ac:dyDescent="0.25">
      <c r="A5655" s="127">
        <v>45917</v>
      </c>
      <c r="B5655" s="24" t="s">
        <v>79</v>
      </c>
      <c r="C5655" s="21">
        <f t="shared" si="92"/>
        <v>-8.8000000000000007</v>
      </c>
      <c r="CG5655" s="106">
        <v>-8.8000000000000007</v>
      </c>
    </row>
    <row r="5656" spans="1:199" x14ac:dyDescent="0.25">
      <c r="A5656" s="127">
        <v>45917</v>
      </c>
      <c r="B5656" s="24" t="s">
        <v>25</v>
      </c>
      <c r="C5656" s="21">
        <f t="shared" si="92"/>
        <v>-8.2799999999999994</v>
      </c>
      <c r="CG5656" s="106">
        <v>-8.2799999999999994</v>
      </c>
    </row>
    <row r="5657" spans="1:199" x14ac:dyDescent="0.25">
      <c r="A5657" s="127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0">
        <v>-67.45</v>
      </c>
    </row>
    <row r="5658" spans="1:199" x14ac:dyDescent="0.25">
      <c r="A5658" s="127">
        <v>45918</v>
      </c>
      <c r="B5658" s="24" t="s">
        <v>138</v>
      </c>
      <c r="C5658" s="21">
        <f t="shared" si="92"/>
        <v>-21.645</v>
      </c>
      <c r="BC5658" s="74">
        <v>-8.1449999999999996</v>
      </c>
      <c r="BI5658" s="106">
        <v>-7.4</v>
      </c>
      <c r="BO5658" s="74">
        <v>-6.1</v>
      </c>
    </row>
    <row r="5659" spans="1:199" x14ac:dyDescent="0.25">
      <c r="A5659" s="127">
        <v>45918</v>
      </c>
      <c r="B5659" s="24" t="s">
        <v>218</v>
      </c>
      <c r="C5659" s="21">
        <f t="shared" si="92"/>
        <v>793.25</v>
      </c>
      <c r="AI5659" s="126">
        <v>7.36</v>
      </c>
      <c r="AO5659" s="46">
        <v>7.64</v>
      </c>
      <c r="CU5659" s="126">
        <v>24.91</v>
      </c>
      <c r="DA5659" s="126">
        <v>55.65</v>
      </c>
      <c r="DG5659" s="126">
        <v>8.16</v>
      </c>
      <c r="DM5659" s="150">
        <v>33.97</v>
      </c>
      <c r="DR5659" s="46">
        <v>42.16</v>
      </c>
      <c r="DW5659" s="126">
        <v>49.84</v>
      </c>
      <c r="EC5659" s="126">
        <v>26.39</v>
      </c>
      <c r="EI5659" s="150">
        <v>108.21</v>
      </c>
      <c r="EM5659" s="150">
        <v>117.26</v>
      </c>
      <c r="EQ5659" s="46">
        <v>85.17</v>
      </c>
      <c r="EU5659" s="126">
        <v>83.33</v>
      </c>
      <c r="FE5659" s="170">
        <v>13.9</v>
      </c>
      <c r="FH5659" s="46">
        <v>13.05</v>
      </c>
      <c r="FP5659" s="210">
        <v>22.35</v>
      </c>
      <c r="FY5659" s="126">
        <v>23.25</v>
      </c>
      <c r="GC5659" s="157">
        <v>46.2</v>
      </c>
      <c r="GI5659" s="251">
        <v>24.45</v>
      </c>
    </row>
    <row r="5660" spans="1:199" x14ac:dyDescent="0.25">
      <c r="A5660" s="127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27">
        <v>45918</v>
      </c>
      <c r="B5661" s="24" t="s">
        <v>48</v>
      </c>
      <c r="C5661" s="21">
        <f t="shared" si="92"/>
        <v>-41.44</v>
      </c>
      <c r="DA5661" s="126">
        <v>-7.89</v>
      </c>
      <c r="DK5661" s="74">
        <v>-17.715</v>
      </c>
      <c r="DP5661" s="74">
        <v>-15.835000000000001</v>
      </c>
    </row>
    <row r="5662" spans="1:199" x14ac:dyDescent="0.25">
      <c r="A5662" s="127">
        <v>45919</v>
      </c>
      <c r="B5662" s="24" t="s">
        <v>197</v>
      </c>
      <c r="C5662" s="21">
        <f t="shared" si="92"/>
        <v>-74.805000000000007</v>
      </c>
      <c r="BI5662" s="106">
        <v>-7.4</v>
      </c>
      <c r="BU5662" s="106">
        <v>-16.7</v>
      </c>
      <c r="CA5662" s="106">
        <v>-16.324999999999999</v>
      </c>
      <c r="CM5662" s="74">
        <v>-17.649999999999999</v>
      </c>
      <c r="CU5662" s="126">
        <v>-16.73</v>
      </c>
    </row>
    <row r="5663" spans="1:199" x14ac:dyDescent="0.25">
      <c r="A5663" s="127">
        <v>45920</v>
      </c>
      <c r="B5663" s="24" t="s">
        <v>162</v>
      </c>
      <c r="C5663" s="21">
        <f t="shared" si="92"/>
        <v>-8.85</v>
      </c>
      <c r="CM5663" s="74">
        <v>-8.85</v>
      </c>
    </row>
    <row r="5664" spans="1:199" x14ac:dyDescent="0.25">
      <c r="A5664" s="127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27">
        <v>45922</v>
      </c>
      <c r="B5665" s="24" t="s">
        <v>229</v>
      </c>
      <c r="C5665" s="21">
        <f t="shared" si="92"/>
        <v>-24.2</v>
      </c>
      <c r="BC5665" s="74">
        <v>-24.2</v>
      </c>
    </row>
    <row r="5666" spans="1:154" x14ac:dyDescent="0.25">
      <c r="A5666" s="127">
        <v>45923</v>
      </c>
      <c r="B5666" s="24" t="s">
        <v>188</v>
      </c>
      <c r="C5666" s="21">
        <f t="shared" si="92"/>
        <v>-15.45</v>
      </c>
      <c r="BC5666" s="74">
        <v>-6.85</v>
      </c>
      <c r="BU5666" s="106">
        <v>-8.6</v>
      </c>
    </row>
    <row r="5667" spans="1:154" x14ac:dyDescent="0.25">
      <c r="A5667" s="127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74">
        <v>51.12</v>
      </c>
      <c r="AW5667" s="74">
        <v>80.13</v>
      </c>
      <c r="BC5667" s="74">
        <v>105.605</v>
      </c>
      <c r="BI5667" s="106">
        <v>136.255</v>
      </c>
      <c r="BO5667" s="74">
        <v>107.3</v>
      </c>
      <c r="BU5667" s="106">
        <v>99.75</v>
      </c>
      <c r="CA5667" s="106">
        <v>140.66</v>
      </c>
      <c r="CG5667" s="106">
        <v>156.94999999999999</v>
      </c>
      <c r="CM5667" s="74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27">
        <v>45924</v>
      </c>
      <c r="B5668" s="24" t="s">
        <v>48</v>
      </c>
      <c r="C5668" s="21">
        <f t="shared" si="92"/>
        <v>-13.35</v>
      </c>
      <c r="EX5668" s="251">
        <v>-13.35</v>
      </c>
    </row>
    <row r="5669" spans="1:154" x14ac:dyDescent="0.25">
      <c r="A5669" s="127">
        <v>45924</v>
      </c>
      <c r="B5669" s="24" t="s">
        <v>20</v>
      </c>
      <c r="C5669" s="21">
        <f t="shared" si="92"/>
        <v>-39.270000000000003</v>
      </c>
      <c r="AW5669" s="74">
        <v>-8.23</v>
      </c>
      <c r="BI5669" s="106">
        <v>-7.45</v>
      </c>
      <c r="BU5669" s="106">
        <v>-7.55</v>
      </c>
      <c r="CA5669" s="106">
        <v>-7.89</v>
      </c>
      <c r="CG5669" s="106">
        <v>-8.15</v>
      </c>
    </row>
    <row r="5670" spans="1:154" x14ac:dyDescent="0.25">
      <c r="A5670" s="127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27">
        <v>45924</v>
      </c>
      <c r="B5671" s="24" t="s">
        <v>224</v>
      </c>
      <c r="C5671" s="21">
        <f t="shared" si="92"/>
        <v>-25.72</v>
      </c>
      <c r="AN5671" s="74">
        <v>-8.57</v>
      </c>
      <c r="BO5671" s="74">
        <v>-9.1</v>
      </c>
      <c r="BU5671" s="106">
        <v>-8.0500000000000007</v>
      </c>
    </row>
    <row r="5672" spans="1:154" x14ac:dyDescent="0.25">
      <c r="A5672" s="127">
        <v>45924</v>
      </c>
      <c r="B5672" s="24" t="s">
        <v>184</v>
      </c>
      <c r="C5672" s="21">
        <f t="shared" si="92"/>
        <v>-107.985</v>
      </c>
      <c r="Z5672" s="79">
        <v>-14.39</v>
      </c>
      <c r="AR5672" s="74">
        <v>-8.4649999999999999</v>
      </c>
      <c r="AW5672" s="74">
        <v>-8.3149999999999995</v>
      </c>
      <c r="BC5672" s="74">
        <v>-14.7</v>
      </c>
      <c r="BO5672" s="74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27">
        <v>45924</v>
      </c>
      <c r="B5673" s="24" t="s">
        <v>33</v>
      </c>
      <c r="C5673" s="21">
        <f t="shared" si="92"/>
        <v>-41.064999999999998</v>
      </c>
      <c r="AW5673" s="74">
        <v>-7.5149999999999997</v>
      </c>
      <c r="BC5673" s="74">
        <v>-8.49</v>
      </c>
      <c r="BI5673" s="106">
        <v>-8.31</v>
      </c>
      <c r="BO5673" s="74">
        <v>-8.9499999999999993</v>
      </c>
      <c r="BU5673" s="106">
        <v>-7.8</v>
      </c>
    </row>
    <row r="5674" spans="1:154" x14ac:dyDescent="0.25">
      <c r="A5674" s="127">
        <v>45924</v>
      </c>
      <c r="B5674" s="24" t="s">
        <v>48</v>
      </c>
      <c r="C5674" s="21">
        <f t="shared" si="92"/>
        <v>-198.42500000000001</v>
      </c>
      <c r="AW5674" s="74">
        <v>-7.51</v>
      </c>
      <c r="BI5674" s="106">
        <v>-7.5</v>
      </c>
      <c r="BO5674" s="74">
        <v>-35.15</v>
      </c>
      <c r="BU5674" s="106">
        <v>-8.75</v>
      </c>
      <c r="CA5674" s="106">
        <f>-8.2-36</f>
        <v>-44.2</v>
      </c>
      <c r="CG5674" s="106">
        <v>-29.6</v>
      </c>
      <c r="DW5674" s="126">
        <v>-33.65</v>
      </c>
      <c r="EA5674" s="74">
        <v>-14.9</v>
      </c>
      <c r="EG5674" s="74">
        <v>-17.164999999999999</v>
      </c>
    </row>
    <row r="5675" spans="1:154" x14ac:dyDescent="0.25">
      <c r="A5675" s="127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74">
        <v>-8.5500000000000007</v>
      </c>
      <c r="AW5675" s="74">
        <v>-16.655000000000001</v>
      </c>
      <c r="BC5675" s="74">
        <v>-17.579999999999998</v>
      </c>
      <c r="BI5675" s="106">
        <v>-7.55</v>
      </c>
      <c r="BU5675" s="106">
        <v>-8.85</v>
      </c>
      <c r="CA5675" s="106">
        <v>-35.520000000000003</v>
      </c>
      <c r="CG5675" s="106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27">
        <v>45925</v>
      </c>
      <c r="B5676" s="24" t="s">
        <v>48</v>
      </c>
      <c r="C5676" s="21">
        <f t="shared" si="92"/>
        <v>-115.85</v>
      </c>
      <c r="AN5676" s="74">
        <v>-8.5549999999999997</v>
      </c>
      <c r="AR5676" s="74">
        <v>-8.15</v>
      </c>
      <c r="AW5676" s="74">
        <v>-8.23</v>
      </c>
      <c r="BC5676" s="74">
        <v>-6.35</v>
      </c>
      <c r="BI5676" s="106">
        <v>-16.155000000000001</v>
      </c>
      <c r="BO5676" s="74">
        <v>-8.9499999999999993</v>
      </c>
      <c r="BU5676" s="106">
        <f>-16.95-9.15</f>
        <v>-26.1</v>
      </c>
      <c r="CG5676" s="106">
        <v>-6.8</v>
      </c>
      <c r="DK5676" s="74">
        <v>-26.56</v>
      </c>
    </row>
    <row r="5677" spans="1:154" x14ac:dyDescent="0.25">
      <c r="A5677" s="127">
        <v>45925</v>
      </c>
      <c r="B5677" s="24" t="s">
        <v>48</v>
      </c>
      <c r="C5677" s="21">
        <f t="shared" si="92"/>
        <v>-52.155000000000001</v>
      </c>
      <c r="AR5677" s="74">
        <v>-9.1300000000000008</v>
      </c>
      <c r="BC5677" s="74">
        <v>-8.25</v>
      </c>
      <c r="BO5677" s="74">
        <v>-8.9499999999999993</v>
      </c>
      <c r="CG5677" s="106">
        <v>-8.6999999999999993</v>
      </c>
      <c r="DK5677" s="74">
        <v>-17.125</v>
      </c>
    </row>
    <row r="5678" spans="1:154" x14ac:dyDescent="0.25">
      <c r="A5678" s="127">
        <v>45925</v>
      </c>
      <c r="B5678" s="24" t="s">
        <v>48</v>
      </c>
      <c r="C5678" s="21">
        <f t="shared" si="92"/>
        <v>-168.76</v>
      </c>
      <c r="AR5678" s="74">
        <v>-8.51</v>
      </c>
      <c r="AW5678" s="74">
        <v>-8.35</v>
      </c>
      <c r="BC5678" s="74">
        <v>-6.15</v>
      </c>
      <c r="BI5678" s="106">
        <v>-15.545</v>
      </c>
      <c r="BU5678" s="106">
        <v>-8.8000000000000007</v>
      </c>
      <c r="CA5678" s="106">
        <v>-18.25</v>
      </c>
      <c r="CG5678" s="106">
        <v>-16.649999999999999</v>
      </c>
      <c r="CM5678" s="74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27">
        <v>45925</v>
      </c>
      <c r="B5679" s="24" t="s">
        <v>127</v>
      </c>
      <c r="C5679" s="21">
        <f t="shared" si="92"/>
        <v>-17.399999999999999</v>
      </c>
      <c r="CG5679" s="106">
        <v>-8.6</v>
      </c>
      <c r="CM5679" s="74">
        <v>-8.8000000000000007</v>
      </c>
    </row>
    <row r="5680" spans="1:154" x14ac:dyDescent="0.25">
      <c r="A5680" s="127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27">
        <v>45925</v>
      </c>
      <c r="B5681" s="24" t="s">
        <v>230</v>
      </c>
      <c r="C5681" s="21">
        <f t="shared" ref="C5681:C5734" si="93">SUM(D5681:JT5681)</f>
        <v>-7.33</v>
      </c>
      <c r="E5681" s="145">
        <v>-7.33</v>
      </c>
    </row>
    <row r="5682" spans="1:134" x14ac:dyDescent="0.25">
      <c r="A5682" s="127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27">
        <v>45926</v>
      </c>
      <c r="B5683" s="24" t="s">
        <v>48</v>
      </c>
      <c r="C5683" s="21">
        <f t="shared" si="93"/>
        <v>-35.195</v>
      </c>
      <c r="CA5683" s="106">
        <v>-35.195</v>
      </c>
    </row>
    <row r="5684" spans="1:134" x14ac:dyDescent="0.25">
      <c r="A5684" s="127">
        <v>45926</v>
      </c>
      <c r="B5684" s="24" t="s">
        <v>138</v>
      </c>
      <c r="C5684" s="21">
        <f t="shared" si="93"/>
        <v>-14.734999999999999</v>
      </c>
      <c r="BU5684" s="106">
        <v>-6.65</v>
      </c>
      <c r="CA5684" s="106">
        <v>-8.0850000000000009</v>
      </c>
    </row>
    <row r="5685" spans="1:134" x14ac:dyDescent="0.25">
      <c r="A5685" s="127">
        <v>45926</v>
      </c>
      <c r="B5685" s="24" t="s">
        <v>213</v>
      </c>
      <c r="C5685" s="21">
        <f t="shared" si="93"/>
        <v>-85.575000000000003</v>
      </c>
      <c r="BI5685" s="106">
        <v>-28.225000000000001</v>
      </c>
      <c r="BO5685" s="74">
        <v>-17.5</v>
      </c>
      <c r="BU5685" s="106">
        <v>-16.7</v>
      </c>
      <c r="CG5685" s="106">
        <v>-23.15</v>
      </c>
    </row>
    <row r="5686" spans="1:134" x14ac:dyDescent="0.25">
      <c r="A5686" s="127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27">
        <v>45926</v>
      </c>
      <c r="B5687" s="24" t="s">
        <v>48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27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27">
        <v>45927</v>
      </c>
      <c r="B5689" s="24" t="s">
        <v>171</v>
      </c>
      <c r="C5689" s="21">
        <f t="shared" si="93"/>
        <v>-8.25</v>
      </c>
      <c r="AR5689" s="74">
        <v>-8.25</v>
      </c>
    </row>
    <row r="5690" spans="1:134" x14ac:dyDescent="0.25">
      <c r="A5690" s="127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6">
        <v>-7.36</v>
      </c>
      <c r="AR5690" s="74">
        <v>-17.010000000000002</v>
      </c>
    </row>
    <row r="5691" spans="1:134" x14ac:dyDescent="0.25">
      <c r="A5691" s="127">
        <v>45929</v>
      </c>
      <c r="B5691" s="24" t="s">
        <v>113</v>
      </c>
      <c r="C5691" s="21">
        <f t="shared" si="93"/>
        <v>736.94500000000005</v>
      </c>
      <c r="AC5691" s="74">
        <v>32.090000000000003</v>
      </c>
      <c r="AG5691" s="106">
        <v>33.164999999999999</v>
      </c>
      <c r="AN5691" s="74">
        <v>30.85</v>
      </c>
      <c r="AR5691" s="74">
        <v>32.33</v>
      </c>
      <c r="BC5691" s="74">
        <v>33.365000000000002</v>
      </c>
      <c r="BI5691" s="106">
        <v>63.72</v>
      </c>
      <c r="BO5691" s="74">
        <v>36.25</v>
      </c>
      <c r="BU5691" s="106">
        <v>58.04</v>
      </c>
      <c r="CA5691" s="106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27">
        <v>45929</v>
      </c>
      <c r="B5692" s="29" t="s">
        <v>115</v>
      </c>
      <c r="C5692" s="21">
        <f t="shared" si="93"/>
        <v>99.74</v>
      </c>
      <c r="DX5692" s="115">
        <v>32.79</v>
      </c>
      <c r="ED5692" s="115">
        <v>66.95</v>
      </c>
    </row>
    <row r="5693" spans="1:134" x14ac:dyDescent="0.25">
      <c r="A5693" s="127">
        <v>45929</v>
      </c>
      <c r="B5693" s="24" t="s">
        <v>184</v>
      </c>
      <c r="C5693" s="21">
        <f t="shared" si="93"/>
        <v>-238.8</v>
      </c>
      <c r="AN5693" s="74">
        <v>-8.57</v>
      </c>
      <c r="AW5693" s="74">
        <v>-22.54</v>
      </c>
      <c r="BC5693" s="74">
        <v>-25.01</v>
      </c>
      <c r="BI5693" s="106">
        <v>-16.295000000000002</v>
      </c>
      <c r="BO5693" s="74">
        <v>-18.05</v>
      </c>
      <c r="BU5693" s="106">
        <v>-34.049999999999997</v>
      </c>
      <c r="CA5693" s="106">
        <v>-34.1</v>
      </c>
      <c r="CS5693" s="74">
        <v>-34.299999999999997</v>
      </c>
      <c r="CY5693" s="74">
        <v>-16.18</v>
      </c>
      <c r="EA5693" s="74">
        <v>-15.164999999999999</v>
      </c>
      <c r="ED5693" s="115">
        <v>-14.54</v>
      </c>
    </row>
    <row r="5694" spans="1:134" x14ac:dyDescent="0.25">
      <c r="A5694" s="127">
        <v>45929</v>
      </c>
      <c r="B5694" s="29" t="s">
        <v>48</v>
      </c>
      <c r="C5694" s="21">
        <f t="shared" si="93"/>
        <v>-23.95</v>
      </c>
      <c r="AW5694" s="74">
        <v>-7.55</v>
      </c>
      <c r="BC5694" s="74">
        <v>-7.55</v>
      </c>
      <c r="CM5694" s="74">
        <v>-8.85</v>
      </c>
    </row>
    <row r="5695" spans="1:134" x14ac:dyDescent="0.25">
      <c r="A5695" s="127">
        <v>45929</v>
      </c>
      <c r="B5695" s="29" t="s">
        <v>48</v>
      </c>
      <c r="C5695" s="21">
        <f t="shared" si="93"/>
        <v>-35.25</v>
      </c>
      <c r="CA5695" s="106">
        <v>-35.25</v>
      </c>
    </row>
    <row r="5696" spans="1:134" x14ac:dyDescent="0.25">
      <c r="A5696" s="127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74">
        <v>-8.58</v>
      </c>
      <c r="AZ5696" s="115">
        <v>-14.39</v>
      </c>
      <c r="BI5696" s="106">
        <v>-8.5500000000000007</v>
      </c>
      <c r="BO5696" s="74">
        <f>-9.3-8.545</f>
        <v>-17.844999999999999</v>
      </c>
      <c r="CA5696" s="106">
        <v>-9.1999999999999993</v>
      </c>
    </row>
    <row r="5697" spans="1:208" x14ac:dyDescent="0.25">
      <c r="A5697" s="127">
        <v>45929</v>
      </c>
      <c r="B5697" s="24" t="s">
        <v>213</v>
      </c>
      <c r="C5697" s="21">
        <f t="shared" si="93"/>
        <v>-166.92500000000001</v>
      </c>
      <c r="CA5697" s="106">
        <v>-30.25</v>
      </c>
      <c r="DX5697" s="115">
        <v>-32.79</v>
      </c>
      <c r="EA5697" s="74">
        <v>-25.085000000000001</v>
      </c>
      <c r="EC5697" s="126">
        <v>-26.39</v>
      </c>
      <c r="ED5697" s="115">
        <v>-52.41</v>
      </c>
    </row>
    <row r="5698" spans="1:208" x14ac:dyDescent="0.25">
      <c r="A5698" s="127">
        <v>45930</v>
      </c>
      <c r="B5698" s="24" t="s">
        <v>75</v>
      </c>
      <c r="C5698" s="21">
        <f t="shared" si="93"/>
        <v>-16</v>
      </c>
      <c r="AW5698" s="74">
        <v>-7.6</v>
      </c>
      <c r="CA5698" s="106">
        <v>-8.4</v>
      </c>
    </row>
    <row r="5699" spans="1:208" x14ac:dyDescent="0.25">
      <c r="A5699" s="127">
        <v>45930</v>
      </c>
      <c r="B5699" s="24" t="s">
        <v>58</v>
      </c>
      <c r="C5699" s="21">
        <f t="shared" si="93"/>
        <v>-22.35</v>
      </c>
      <c r="FP5699" s="210">
        <v>-22.35</v>
      </c>
    </row>
    <row r="5700" spans="1:208" x14ac:dyDescent="0.25">
      <c r="A5700" s="127">
        <v>45930</v>
      </c>
      <c r="B5700" s="24" t="s">
        <v>213</v>
      </c>
      <c r="C5700" s="21">
        <f t="shared" si="93"/>
        <v>-63.01</v>
      </c>
      <c r="BO5700" s="74">
        <v>-18.2</v>
      </c>
      <c r="BU5700" s="106">
        <v>-12.125</v>
      </c>
      <c r="CS5700" s="74">
        <v>-17.559999999999999</v>
      </c>
      <c r="CY5700" s="74">
        <v>-15.125</v>
      </c>
    </row>
    <row r="5701" spans="1:208" x14ac:dyDescent="0.25">
      <c r="A5701" s="127">
        <v>45930</v>
      </c>
      <c r="B5701" s="24" t="s">
        <v>231</v>
      </c>
      <c r="C5701" s="21">
        <f t="shared" si="93"/>
        <v>38.664999999999999</v>
      </c>
      <c r="M5701" s="92">
        <v>-35.555</v>
      </c>
      <c r="P5701" s="106">
        <v>19.440000000000001</v>
      </c>
      <c r="W5701" s="163">
        <v>33.020000000000003</v>
      </c>
      <c r="GX5701" s="106">
        <v>21.76</v>
      </c>
    </row>
    <row r="5702" spans="1:208" x14ac:dyDescent="0.25">
      <c r="A5702" s="127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74">
        <v>67.665000000000006</v>
      </c>
      <c r="AW5702" s="74">
        <v>111.39</v>
      </c>
      <c r="BC5702" s="74">
        <v>66.94</v>
      </c>
      <c r="BO5702" s="74">
        <v>182.10499999999999</v>
      </c>
      <c r="BU5702" s="106">
        <v>34.450000000000003</v>
      </c>
      <c r="CM5702" s="74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27">
        <v>45930</v>
      </c>
      <c r="B5703" s="24" t="s">
        <v>48</v>
      </c>
      <c r="C5703" s="21">
        <f t="shared" si="93"/>
        <v>-268.34500000000003</v>
      </c>
      <c r="BO5703" s="74">
        <v>-132.43</v>
      </c>
      <c r="BU5703" s="106">
        <v>-34.450000000000003</v>
      </c>
      <c r="CS5703" s="74">
        <v>-101.465</v>
      </c>
    </row>
    <row r="5704" spans="1:208" x14ac:dyDescent="0.25">
      <c r="A5704" s="127">
        <v>45931</v>
      </c>
      <c r="B5704" s="24" t="s">
        <v>197</v>
      </c>
      <c r="C5704" s="21">
        <f t="shared" si="93"/>
        <v>-51.46</v>
      </c>
      <c r="CM5704" s="74">
        <v>-17.7</v>
      </c>
      <c r="CS5704" s="74">
        <v>-17.57</v>
      </c>
      <c r="DW5704" s="126">
        <v>-16.190000000000001</v>
      </c>
    </row>
    <row r="5705" spans="1:208" x14ac:dyDescent="0.25">
      <c r="A5705" s="127">
        <v>45931</v>
      </c>
      <c r="B5705" s="24" t="s">
        <v>138</v>
      </c>
      <c r="C5705" s="21">
        <f t="shared" si="93"/>
        <v>-8.3249999999999993</v>
      </c>
      <c r="BC5705" s="74">
        <v>-8.3249999999999993</v>
      </c>
    </row>
    <row r="5706" spans="1:208" x14ac:dyDescent="0.25">
      <c r="A5706" s="127">
        <v>45931</v>
      </c>
      <c r="B5706" s="24" t="s">
        <v>184</v>
      </c>
      <c r="C5706" s="21">
        <f t="shared" si="93"/>
        <v>-32.265000000000001</v>
      </c>
      <c r="CY5706" s="74">
        <v>-32.265000000000001</v>
      </c>
    </row>
    <row r="5707" spans="1:208" x14ac:dyDescent="0.25">
      <c r="A5707" s="127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74">
        <v>-15.404999999999999</v>
      </c>
      <c r="BI5707" s="106">
        <v>-13.89</v>
      </c>
      <c r="BO5707" s="74">
        <v>-24.844999999999999</v>
      </c>
      <c r="BU5707" s="106">
        <v>-5.55</v>
      </c>
      <c r="CA5707" s="106">
        <v>-16.925000000000001</v>
      </c>
    </row>
    <row r="5708" spans="1:208" x14ac:dyDescent="0.25">
      <c r="A5708" s="127">
        <v>45931</v>
      </c>
      <c r="B5708" s="24" t="s">
        <v>17</v>
      </c>
      <c r="C5708" s="21">
        <f t="shared" si="93"/>
        <v>-31.295000000000002</v>
      </c>
      <c r="BC5708" s="74">
        <v>-7.1</v>
      </c>
      <c r="BI5708" s="106">
        <v>-7.65</v>
      </c>
      <c r="BO5708" s="74">
        <v>-16.545000000000002</v>
      </c>
    </row>
    <row r="5709" spans="1:208" x14ac:dyDescent="0.25">
      <c r="A5709" s="127">
        <v>45931</v>
      </c>
      <c r="B5709" s="24" t="s">
        <v>68</v>
      </c>
      <c r="C5709" s="21">
        <f t="shared" si="93"/>
        <v>-64.174999999999997</v>
      </c>
      <c r="AR5709" s="74">
        <v>-8.26</v>
      </c>
      <c r="AW5709" s="74">
        <v>-9.3000000000000007</v>
      </c>
      <c r="BC5709" s="74">
        <v>-8.4149999999999991</v>
      </c>
      <c r="BI5709" s="106">
        <v>-6.3</v>
      </c>
      <c r="BO5709" s="74">
        <v>-8.2850000000000001</v>
      </c>
      <c r="BU5709" s="106">
        <v>-15.365</v>
      </c>
      <c r="CA5709" s="106">
        <v>-8.25</v>
      </c>
    </row>
    <row r="5710" spans="1:208" x14ac:dyDescent="0.25">
      <c r="A5710" s="127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27">
        <v>45931</v>
      </c>
      <c r="B5711" s="24" t="s">
        <v>218</v>
      </c>
      <c r="C5711" s="21">
        <f t="shared" si="93"/>
        <v>442.05</v>
      </c>
      <c r="CC5711" s="126">
        <v>8.57</v>
      </c>
      <c r="CO5711" s="126">
        <v>8.57</v>
      </c>
      <c r="CU5711" s="126">
        <v>24.21</v>
      </c>
      <c r="DA5711" s="126">
        <v>16.32</v>
      </c>
      <c r="DM5711" s="150">
        <v>25.44</v>
      </c>
      <c r="DR5711" s="46">
        <v>9.36</v>
      </c>
      <c r="DW5711" s="126">
        <v>50.41</v>
      </c>
      <c r="EC5711" s="126">
        <v>41.76</v>
      </c>
      <c r="EI5711" s="150">
        <v>24.29</v>
      </c>
      <c r="EM5711" s="150">
        <v>42.03</v>
      </c>
      <c r="EQ5711" s="46">
        <v>52.04</v>
      </c>
      <c r="EU5711" s="126">
        <v>69.599999999999994</v>
      </c>
      <c r="FN5711" s="150">
        <v>25.05</v>
      </c>
      <c r="GC5711" s="157">
        <v>19.149999999999999</v>
      </c>
      <c r="GI5711" s="251">
        <v>25.25</v>
      </c>
    </row>
    <row r="5712" spans="1:208" x14ac:dyDescent="0.25">
      <c r="A5712" s="127">
        <v>45931</v>
      </c>
      <c r="B5712" s="24" t="s">
        <v>197</v>
      </c>
      <c r="C5712" s="21">
        <f t="shared" si="93"/>
        <v>-84.91</v>
      </c>
      <c r="CC5712" s="126">
        <v>-8.57</v>
      </c>
      <c r="DW5712" s="126">
        <v>-34.58</v>
      </c>
      <c r="EC5712" s="126">
        <v>-41.76</v>
      </c>
    </row>
    <row r="5713" spans="1:214" x14ac:dyDescent="0.25">
      <c r="A5713" s="127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27">
        <v>45932</v>
      </c>
      <c r="B5714" s="24" t="s">
        <v>231</v>
      </c>
      <c r="C5714" s="21">
        <f t="shared" si="93"/>
        <v>-8.6449999999999996</v>
      </c>
      <c r="M5714" s="92">
        <f>7.41+6.29+8+8.875+8.84+7.9+36.98</f>
        <v>84.295000000000002</v>
      </c>
      <c r="GZ5714" s="106">
        <v>-92.94</v>
      </c>
    </row>
    <row r="5715" spans="1:214" x14ac:dyDescent="0.25">
      <c r="A5715" s="127">
        <v>45933</v>
      </c>
      <c r="B5715" s="24" t="s">
        <v>224</v>
      </c>
      <c r="C5715" s="21">
        <f t="shared" si="93"/>
        <v>-6.75</v>
      </c>
      <c r="CG5715" s="106">
        <v>-6.75</v>
      </c>
    </row>
    <row r="5716" spans="1:214" x14ac:dyDescent="0.25">
      <c r="A5716" s="127">
        <v>45933</v>
      </c>
      <c r="B5716" s="24" t="s">
        <v>79</v>
      </c>
      <c r="C5716" s="21">
        <f t="shared" si="93"/>
        <v>-33.505000000000003</v>
      </c>
      <c r="AR5716" s="74">
        <v>-8.4749999999999996</v>
      </c>
      <c r="CM5716" s="74">
        <v>-8.85</v>
      </c>
      <c r="CS5716" s="74">
        <v>-16.18</v>
      </c>
    </row>
    <row r="5717" spans="1:214" x14ac:dyDescent="0.25">
      <c r="A5717" s="127">
        <v>45934</v>
      </c>
      <c r="B5717" s="24" t="s">
        <v>188</v>
      </c>
      <c r="C5717" s="21">
        <f t="shared" si="93"/>
        <v>-8.6999999999999993</v>
      </c>
      <c r="CM5717" s="74">
        <v>-8.6999999999999993</v>
      </c>
    </row>
    <row r="5718" spans="1:214" x14ac:dyDescent="0.25">
      <c r="A5718" s="127">
        <v>45936</v>
      </c>
      <c r="B5718" s="24" t="s">
        <v>115</v>
      </c>
      <c r="C5718" s="21">
        <f t="shared" ref="C5718:C5725" si="94">SUM(D5718:JT5718)</f>
        <v>72.02</v>
      </c>
      <c r="F5718" s="145">
        <v>72.02</v>
      </c>
    </row>
    <row r="5719" spans="1:214" x14ac:dyDescent="0.25">
      <c r="A5719" s="127">
        <v>45937</v>
      </c>
      <c r="B5719" s="24" t="s">
        <v>48</v>
      </c>
      <c r="C5719" s="21">
        <f t="shared" si="94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27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27">
        <v>45937</v>
      </c>
      <c r="B5721" s="24" t="s">
        <v>171</v>
      </c>
      <c r="C5721" s="21">
        <f t="shared" si="94"/>
        <v>-24.2</v>
      </c>
      <c r="GG5721" s="210">
        <v>-24.2</v>
      </c>
    </row>
    <row r="5722" spans="1:214" x14ac:dyDescent="0.25">
      <c r="A5722" s="127">
        <v>45938</v>
      </c>
      <c r="B5722" s="24" t="s">
        <v>169</v>
      </c>
      <c r="C5722" s="21">
        <f t="shared" si="94"/>
        <v>-65.52</v>
      </c>
      <c r="E5722" s="145">
        <v>-29.51</v>
      </c>
      <c r="F5722" s="145">
        <v>-36.01</v>
      </c>
    </row>
    <row r="5723" spans="1:214" x14ac:dyDescent="0.25">
      <c r="A5723" s="127">
        <v>45938</v>
      </c>
      <c r="B5723" s="24" t="s">
        <v>202</v>
      </c>
      <c r="C5723" s="21">
        <f t="shared" si="94"/>
        <v>-14.06</v>
      </c>
      <c r="E5723" s="145">
        <v>-14.06</v>
      </c>
    </row>
    <row r="5724" spans="1:214" x14ac:dyDescent="0.25">
      <c r="A5724" s="127">
        <v>45938</v>
      </c>
      <c r="B5724" s="24" t="s">
        <v>20</v>
      </c>
      <c r="C5724" s="21">
        <f>SUM(D5724:JT5724)</f>
        <v>-54.795000000000002</v>
      </c>
      <c r="W5724" s="163">
        <v>-3.6</v>
      </c>
      <c r="BC5724" s="74">
        <v>-7.7</v>
      </c>
      <c r="BI5724" s="106">
        <v>-8.1549999999999994</v>
      </c>
      <c r="CM5724" s="74">
        <v>-8.75</v>
      </c>
      <c r="DE5724" s="74">
        <v>-26.59</v>
      </c>
    </row>
    <row r="5725" spans="1:214" x14ac:dyDescent="0.25">
      <c r="A5725" s="127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27">
        <v>45938</v>
      </c>
      <c r="B5726" s="24" t="s">
        <v>25</v>
      </c>
      <c r="C5726" s="21">
        <f t="shared" si="93"/>
        <v>-72.790000000000006</v>
      </c>
      <c r="AG5726" s="106">
        <v>-8.61</v>
      </c>
      <c r="AR5726" s="74">
        <v>-8.1</v>
      </c>
      <c r="AW5726" s="74">
        <v>-6.7</v>
      </c>
      <c r="BC5726" s="74">
        <v>-8.4049999999999994</v>
      </c>
      <c r="BI5726" s="106">
        <v>-16.274999999999999</v>
      </c>
      <c r="CM5726" s="74">
        <v>-8.25</v>
      </c>
      <c r="CS5726" s="74">
        <v>-8.3949999999999996</v>
      </c>
      <c r="CY5726" s="74">
        <v>-8.0549999999999997</v>
      </c>
    </row>
    <row r="5727" spans="1:214" x14ac:dyDescent="0.25">
      <c r="A5727" s="127">
        <v>45940</v>
      </c>
      <c r="B5727" s="24" t="s">
        <v>127</v>
      </c>
      <c r="C5727" s="21">
        <f t="shared" si="93"/>
        <v>-24.79</v>
      </c>
      <c r="CM5727" s="74">
        <v>-17.149999999999999</v>
      </c>
      <c r="CU5727" s="126">
        <v>-7.64</v>
      </c>
    </row>
    <row r="5728" spans="1:214" x14ac:dyDescent="0.25">
      <c r="A5728" s="127">
        <v>45940</v>
      </c>
      <c r="B5728" s="24" t="s">
        <v>75</v>
      </c>
      <c r="C5728" s="21">
        <f t="shared" si="93"/>
        <v>-14.595000000000001</v>
      </c>
      <c r="AZ5728" s="115">
        <v>-7.1950000000000003</v>
      </c>
      <c r="BC5728" s="74">
        <v>-7.4</v>
      </c>
    </row>
    <row r="5729" spans="1:233" x14ac:dyDescent="0.25">
      <c r="A5729" s="127">
        <v>45940</v>
      </c>
      <c r="B5729" s="24" t="s">
        <v>138</v>
      </c>
      <c r="C5729" s="21">
        <f t="shared" si="93"/>
        <v>-15.36</v>
      </c>
      <c r="W5729" s="163">
        <v>-8.1300000000000008</v>
      </c>
      <c r="AZ5729" s="115">
        <v>-7.23</v>
      </c>
    </row>
    <row r="5730" spans="1:233" x14ac:dyDescent="0.25">
      <c r="A5730" s="127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74">
        <v>-16.670000000000002</v>
      </c>
      <c r="CU5730" s="126">
        <v>-8.15</v>
      </c>
    </row>
    <row r="5731" spans="1:233" x14ac:dyDescent="0.25">
      <c r="A5731" s="127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74">
        <v>-8.3000000000000007</v>
      </c>
    </row>
    <row r="5732" spans="1:233" x14ac:dyDescent="0.25">
      <c r="A5732" s="127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27">
        <v>45944</v>
      </c>
      <c r="B5733" s="24" t="s">
        <v>113</v>
      </c>
      <c r="C5733" s="21">
        <f t="shared" si="93"/>
        <v>843.08</v>
      </c>
      <c r="BC5733" s="74">
        <v>32.24</v>
      </c>
      <c r="BI5733" s="106">
        <v>102.285</v>
      </c>
      <c r="BO5733" s="74">
        <v>96.745000000000005</v>
      </c>
      <c r="BU5733" s="106">
        <v>111.75</v>
      </c>
      <c r="CA5733" s="106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27">
        <v>45944</v>
      </c>
      <c r="B5734" s="24" t="s">
        <v>20</v>
      </c>
      <c r="C5734" s="21">
        <f t="shared" si="93"/>
        <v>-57.045000000000002</v>
      </c>
      <c r="AN5734" s="74">
        <v>-8.5500000000000007</v>
      </c>
      <c r="AW5734" s="74">
        <v>-7.0750000000000002</v>
      </c>
      <c r="BO5734" s="74">
        <v>-8.1199999999999992</v>
      </c>
      <c r="BU5734" s="106">
        <v>-8</v>
      </c>
      <c r="CA5734" s="106">
        <v>-8.9499999999999993</v>
      </c>
      <c r="CG5734" s="106">
        <v>-8.6</v>
      </c>
      <c r="CM5734" s="74">
        <v>-7.75</v>
      </c>
    </row>
    <row r="5735" spans="1:233" x14ac:dyDescent="0.25">
      <c r="A5735" s="127">
        <v>45944</v>
      </c>
      <c r="B5735" s="24" t="s">
        <v>139</v>
      </c>
      <c r="C5735" s="21">
        <f t="shared" ref="C5735:C5748" si="95">SUM(D5735:JT5735)</f>
        <v>-16.175000000000001</v>
      </c>
      <c r="BU5735" s="106">
        <v>-7.9850000000000003</v>
      </c>
      <c r="CA5735" s="106">
        <v>-8.19</v>
      </c>
    </row>
    <row r="5736" spans="1:233" x14ac:dyDescent="0.25">
      <c r="A5736" s="127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27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106">
        <v>-16.88</v>
      </c>
      <c r="BU5737" s="106">
        <v>-7.99</v>
      </c>
      <c r="CA5737" s="106">
        <v>-8.16</v>
      </c>
      <c r="CG5737" s="106">
        <v>-17.23</v>
      </c>
      <c r="CM5737" s="74">
        <v>-15.35</v>
      </c>
    </row>
    <row r="5738" spans="1:233" x14ac:dyDescent="0.25">
      <c r="A5738" s="127">
        <v>45945</v>
      </c>
      <c r="B5738" s="24" t="s">
        <v>213</v>
      </c>
      <c r="C5738" s="21">
        <f t="shared" si="95"/>
        <v>-128.44</v>
      </c>
      <c r="BO5738" s="74">
        <v>-30.03</v>
      </c>
      <c r="BU5738" s="106">
        <v>-31.914999999999999</v>
      </c>
      <c r="CA5738" s="106">
        <v>-31.77</v>
      </c>
      <c r="CG5738" s="106">
        <v>-34.725000000000001</v>
      </c>
    </row>
    <row r="5739" spans="1:233" x14ac:dyDescent="0.25">
      <c r="A5739" s="127">
        <v>45945</v>
      </c>
      <c r="B5739" s="24" t="s">
        <v>213</v>
      </c>
      <c r="C5739" s="21">
        <f t="shared" si="95"/>
        <v>-33.975000000000001</v>
      </c>
      <c r="BI5739" s="106">
        <v>-33.975000000000001</v>
      </c>
    </row>
    <row r="5740" spans="1:233" x14ac:dyDescent="0.25">
      <c r="A5740" s="127">
        <v>45945</v>
      </c>
      <c r="B5740" s="24" t="s">
        <v>39</v>
      </c>
      <c r="C5740" s="21">
        <f t="shared" si="95"/>
        <v>-31.614999999999998</v>
      </c>
      <c r="W5740" s="163">
        <v>-7</v>
      </c>
      <c r="BI5740" s="106">
        <v>-8.51</v>
      </c>
      <c r="BO5740" s="74">
        <v>-8.1349999999999998</v>
      </c>
      <c r="BU5740" s="106">
        <v>-7.97</v>
      </c>
    </row>
    <row r="5741" spans="1:233" x14ac:dyDescent="0.25">
      <c r="A5741" s="127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27">
        <v>45945</v>
      </c>
      <c r="B5742" s="24" t="s">
        <v>224</v>
      </c>
      <c r="C5742" s="21">
        <f t="shared" si="95"/>
        <v>-24.344999999999999</v>
      </c>
      <c r="BO5742" s="74">
        <v>-8.16</v>
      </c>
      <c r="BU5742" s="106">
        <v>-7.98</v>
      </c>
      <c r="CA5742" s="106">
        <v>-8.2050000000000001</v>
      </c>
    </row>
    <row r="5743" spans="1:233" x14ac:dyDescent="0.25">
      <c r="A5743" s="127">
        <v>45945</v>
      </c>
      <c r="B5743" s="24" t="s">
        <v>188</v>
      </c>
      <c r="C5743" s="21">
        <f t="shared" si="95"/>
        <v>-24.49</v>
      </c>
      <c r="AR5743" s="74">
        <v>-8.36</v>
      </c>
      <c r="BU5743" s="106">
        <v>-7.99</v>
      </c>
      <c r="CA5743" s="106">
        <v>-8.14</v>
      </c>
    </row>
    <row r="5744" spans="1:233" x14ac:dyDescent="0.25">
      <c r="A5744" s="127">
        <v>45945</v>
      </c>
      <c r="B5744" s="24" t="s">
        <v>33</v>
      </c>
      <c r="C5744" s="21">
        <f t="shared" si="95"/>
        <v>-24.92</v>
      </c>
      <c r="AR5744" s="74">
        <v>-8.2100000000000009</v>
      </c>
      <c r="BI5744" s="106">
        <v>-8.52</v>
      </c>
      <c r="CA5744" s="106">
        <v>-8.19</v>
      </c>
    </row>
    <row r="5745" spans="1:235" x14ac:dyDescent="0.25">
      <c r="A5745" s="127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74">
        <v>-8.8249999999999993</v>
      </c>
      <c r="AW5745" s="74">
        <v>-13.4</v>
      </c>
      <c r="BI5745" s="106">
        <v>-8.4849999999999994</v>
      </c>
      <c r="BO5745" s="74">
        <v>-16.875</v>
      </c>
      <c r="BU5745" s="106">
        <v>-7.9749999999999996</v>
      </c>
      <c r="CA5745" s="106">
        <v>-16.45</v>
      </c>
      <c r="CG5745" s="106">
        <v>-8.5950000000000006</v>
      </c>
    </row>
    <row r="5746" spans="1:235" x14ac:dyDescent="0.25">
      <c r="A5746" s="127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74">
        <v>-9.17</v>
      </c>
    </row>
    <row r="5747" spans="1:235" x14ac:dyDescent="0.25">
      <c r="A5747" s="127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74">
        <v>-6.25</v>
      </c>
      <c r="BI5747" s="106">
        <v>-17.399999999999999</v>
      </c>
    </row>
    <row r="5748" spans="1:235" x14ac:dyDescent="0.25">
      <c r="A5748" s="127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27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-26.73</v>
      </c>
      <c r="DU5749" s="106">
        <v>-30.885000000000002</v>
      </c>
      <c r="EA5749" s="74">
        <v>-25.715</v>
      </c>
    </row>
    <row r="5750" spans="1:235" x14ac:dyDescent="0.25">
      <c r="A5750" s="127">
        <v>45947</v>
      </c>
      <c r="B5750" s="24" t="s">
        <v>138</v>
      </c>
      <c r="C5750" s="21">
        <f t="shared" si="96"/>
        <v>-65.3</v>
      </c>
      <c r="CY5750" s="74">
        <v>-32.049999999999997</v>
      </c>
      <c r="DE5750" s="74">
        <v>-33.25</v>
      </c>
    </row>
    <row r="5751" spans="1:235" x14ac:dyDescent="0.25">
      <c r="A5751" s="127">
        <v>45947</v>
      </c>
      <c r="B5751" s="24" t="s">
        <v>224</v>
      </c>
      <c r="C5751" s="21">
        <f t="shared" si="96"/>
        <v>-23.355</v>
      </c>
      <c r="AW5751" s="74">
        <v>-6.5</v>
      </c>
      <c r="CG5751" s="106">
        <v>-8.6050000000000004</v>
      </c>
      <c r="CM5751" s="74">
        <v>-8.25</v>
      </c>
    </row>
    <row r="5752" spans="1:235" x14ac:dyDescent="0.25">
      <c r="A5752" s="127">
        <v>45947</v>
      </c>
      <c r="B5752" s="24" t="s">
        <v>192</v>
      </c>
      <c r="C5752" s="21">
        <f t="shared" si="96"/>
        <v>-24.32</v>
      </c>
      <c r="BO5752" s="74">
        <v>-8.1199999999999992</v>
      </c>
      <c r="CM5752" s="74">
        <v>-16.2</v>
      </c>
    </row>
    <row r="5753" spans="1:235" x14ac:dyDescent="0.25">
      <c r="A5753" s="127">
        <v>45947</v>
      </c>
      <c r="B5753" s="24" t="s">
        <v>75</v>
      </c>
      <c r="C5753" s="21">
        <f t="shared" si="96"/>
        <v>-24.67</v>
      </c>
      <c r="AR5753" s="74">
        <v>-8.57</v>
      </c>
      <c r="BO5753" s="74">
        <v>-8.1349999999999998</v>
      </c>
      <c r="BU5753" s="106">
        <v>-7.9649999999999999</v>
      </c>
    </row>
    <row r="5754" spans="1:235" x14ac:dyDescent="0.25">
      <c r="A5754" s="127">
        <v>45947</v>
      </c>
      <c r="B5754" s="24" t="s">
        <v>25</v>
      </c>
      <c r="C5754" s="21">
        <f t="shared" si="96"/>
        <v>-15.87</v>
      </c>
      <c r="DA5754" s="126">
        <f>-8.28-7.59</f>
        <v>-15.87</v>
      </c>
    </row>
    <row r="5755" spans="1:235" x14ac:dyDescent="0.25">
      <c r="A5755" s="127">
        <v>45947</v>
      </c>
      <c r="B5755" s="24" t="s">
        <v>218</v>
      </c>
      <c r="C5755" s="21">
        <f>SUM(D5755:JT5755)</f>
        <v>-29.34</v>
      </c>
      <c r="W5755" s="163">
        <v>-6.4</v>
      </c>
      <c r="AR5755" s="74">
        <v>-8.6999999999999993</v>
      </c>
      <c r="AW5755" s="74">
        <v>-6.25</v>
      </c>
      <c r="BU5755" s="106">
        <v>-7.99</v>
      </c>
    </row>
    <row r="5756" spans="1:235" x14ac:dyDescent="0.25">
      <c r="A5756" s="127">
        <v>45947</v>
      </c>
      <c r="B5756" s="24" t="s">
        <v>152</v>
      </c>
      <c r="C5756" s="21">
        <f>SUM(D5756:JT5756)</f>
        <v>-68.33</v>
      </c>
      <c r="EA5756" s="74">
        <v>-8.5150000000000006</v>
      </c>
      <c r="GS5756" s="110">
        <v>-2.94</v>
      </c>
      <c r="GW5756" s="92">
        <v>-7.125</v>
      </c>
      <c r="HB5756" s="277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27">
        <v>45950</v>
      </c>
      <c r="B5757" s="24" t="s">
        <v>48</v>
      </c>
      <c r="C5757" s="21">
        <f>SUM(D5757:JT5757)</f>
        <v>-32.01</v>
      </c>
      <c r="W5757" s="163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27">
        <v>45950</v>
      </c>
      <c r="B5758" s="24" t="s">
        <v>115</v>
      </c>
      <c r="C5758" s="21">
        <f>SUM(D5758:JT5758)</f>
        <v>67.790000000000006</v>
      </c>
      <c r="E5758" s="145">
        <v>67.790000000000006</v>
      </c>
    </row>
    <row r="5759" spans="1:235" x14ac:dyDescent="0.25">
      <c r="A5759" s="127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74">
        <v>-8.09</v>
      </c>
      <c r="CG5759" s="106">
        <v>-17.46</v>
      </c>
    </row>
    <row r="5760" spans="1:235" x14ac:dyDescent="0.25">
      <c r="A5760" s="127">
        <v>45951</v>
      </c>
      <c r="B5760" s="24" t="s">
        <v>174</v>
      </c>
      <c r="C5760" s="21">
        <f t="shared" si="96"/>
        <v>-17.37</v>
      </c>
      <c r="CG5760" s="106">
        <v>-8.4700000000000006</v>
      </c>
      <c r="CM5760" s="74">
        <v>-8.9</v>
      </c>
    </row>
    <row r="5761" spans="1:131" x14ac:dyDescent="0.25">
      <c r="A5761" s="127">
        <v>45951</v>
      </c>
      <c r="B5761" s="24" t="s">
        <v>202</v>
      </c>
      <c r="C5761" s="21">
        <f t="shared" si="96"/>
        <v>-59.405000000000001</v>
      </c>
      <c r="D5761" s="145">
        <v>-8.56</v>
      </c>
      <c r="E5761" s="145">
        <v>-50.844999999999999</v>
      </c>
    </row>
    <row r="5762" spans="1:131" x14ac:dyDescent="0.25">
      <c r="A5762" s="127">
        <v>45951</v>
      </c>
      <c r="B5762" s="24" t="s">
        <v>138</v>
      </c>
      <c r="C5762" s="21">
        <f t="shared" si="96"/>
        <v>-16.504999999999999</v>
      </c>
      <c r="BI5762" s="106">
        <v>-8.5150000000000006</v>
      </c>
      <c r="BU5762" s="106">
        <v>-7.99</v>
      </c>
    </row>
    <row r="5763" spans="1:131" x14ac:dyDescent="0.25">
      <c r="A5763" s="127">
        <v>45951</v>
      </c>
      <c r="B5763" s="24" t="s">
        <v>20</v>
      </c>
      <c r="C5763" s="21">
        <f t="shared" si="96"/>
        <v>-8.06</v>
      </c>
      <c r="AR5763" s="74">
        <v>-8.06</v>
      </c>
    </row>
    <row r="5764" spans="1:131" x14ac:dyDescent="0.25">
      <c r="A5764" s="127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6">
        <v>-7.8</v>
      </c>
      <c r="EA5764" s="74">
        <v>-26.015000000000001</v>
      </c>
    </row>
    <row r="5765" spans="1:131" x14ac:dyDescent="0.25">
      <c r="A5765" s="127">
        <v>45951</v>
      </c>
      <c r="B5765" s="24" t="s">
        <v>171</v>
      </c>
      <c r="C5765" s="21">
        <f t="shared" si="96"/>
        <v>-8.3800000000000008</v>
      </c>
      <c r="BC5765" s="74">
        <v>-8.3800000000000008</v>
      </c>
    </row>
    <row r="5766" spans="1:131" x14ac:dyDescent="0.25">
      <c r="A5766" s="127">
        <v>45951</v>
      </c>
      <c r="B5766" s="24" t="s">
        <v>213</v>
      </c>
      <c r="C5766" s="21">
        <f t="shared" si="96"/>
        <v>-17.25</v>
      </c>
      <c r="CM5766" s="74">
        <v>-17.25</v>
      </c>
    </row>
    <row r="5767" spans="1:131" x14ac:dyDescent="0.25">
      <c r="A5767" s="127">
        <v>45953</v>
      </c>
      <c r="B5767" s="24" t="s">
        <v>127</v>
      </c>
      <c r="C5767" s="21">
        <f t="shared" si="96"/>
        <v>-8.16</v>
      </c>
      <c r="DG5767" s="126">
        <v>-8.16</v>
      </c>
    </row>
    <row r="5768" spans="1:131" x14ac:dyDescent="0.25">
      <c r="A5768" s="127">
        <v>45953</v>
      </c>
      <c r="B5768" s="24" t="s">
        <v>113</v>
      </c>
      <c r="C5768" s="21">
        <f t="shared" si="96"/>
        <v>917.82</v>
      </c>
      <c r="AG5768" s="106">
        <v>34.68</v>
      </c>
      <c r="AW5768" s="74">
        <v>64.38</v>
      </c>
      <c r="BI5768" s="106">
        <v>110.75</v>
      </c>
      <c r="BO5768" s="74">
        <v>115.52500000000001</v>
      </c>
      <c r="BU5768" s="106">
        <v>97.51</v>
      </c>
      <c r="CA5768" s="106">
        <v>98.724999999999994</v>
      </c>
      <c r="CG5768" s="106">
        <v>65.14</v>
      </c>
      <c r="CM5768" s="74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27">
        <v>45953</v>
      </c>
      <c r="B5769" s="24" t="s">
        <v>113</v>
      </c>
      <c r="C5769" s="21">
        <f t="shared" si="96"/>
        <v>329.53</v>
      </c>
      <c r="BI5769" s="106">
        <v>95.155000000000001</v>
      </c>
      <c r="BU5769" s="106">
        <v>32.335000000000001</v>
      </c>
      <c r="CA5769" s="106">
        <v>34.645000000000003</v>
      </c>
      <c r="CG5769" s="106">
        <v>31.95</v>
      </c>
      <c r="CM5769" s="74">
        <v>33.869999999999997</v>
      </c>
      <c r="CS5769" s="74">
        <v>33.854999999999997</v>
      </c>
      <c r="CY5769" s="74">
        <v>67.72</v>
      </c>
    </row>
    <row r="5770" spans="1:131" x14ac:dyDescent="0.25">
      <c r="A5770" s="127">
        <v>45953</v>
      </c>
      <c r="B5770" s="24" t="s">
        <v>20</v>
      </c>
      <c r="C5770" s="21">
        <f t="shared" si="96"/>
        <v>-16.864999999999998</v>
      </c>
      <c r="AG5770" s="106">
        <v>-8.625</v>
      </c>
      <c r="CA5770" s="106">
        <v>-8.24</v>
      </c>
    </row>
    <row r="5771" spans="1:131" x14ac:dyDescent="0.25">
      <c r="A5771" s="127">
        <v>45953</v>
      </c>
      <c r="B5771" s="24" t="s">
        <v>133</v>
      </c>
      <c r="C5771" s="21">
        <f t="shared" si="96"/>
        <v>-437.59500000000003</v>
      </c>
      <c r="AW5771" s="74">
        <v>-31.74</v>
      </c>
      <c r="BC5771" s="74">
        <v>-15.25</v>
      </c>
      <c r="BI5771" s="106">
        <v>-30.16</v>
      </c>
      <c r="BO5771" s="74">
        <v>-49.104999999999997</v>
      </c>
      <c r="BU5771" s="106">
        <v>-64.745000000000005</v>
      </c>
      <c r="CA5771" s="106">
        <v>-67.484999999999999</v>
      </c>
      <c r="CG5771" s="106">
        <v>-30.844999999999999</v>
      </c>
      <c r="CM5771" s="74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27">
        <v>45953</v>
      </c>
      <c r="B5772" s="24" t="s">
        <v>213</v>
      </c>
      <c r="C5772" s="21">
        <f t="shared" si="96"/>
        <v>-65.25</v>
      </c>
      <c r="BU5772" s="106">
        <v>-32.299999999999997</v>
      </c>
      <c r="CA5772" s="106">
        <v>-32.950000000000003</v>
      </c>
    </row>
    <row r="5773" spans="1:131" x14ac:dyDescent="0.25">
      <c r="A5773" s="127">
        <v>45953</v>
      </c>
      <c r="B5773" s="24" t="s">
        <v>24</v>
      </c>
      <c r="C5773" s="21">
        <f t="shared" si="96"/>
        <v>-53.49</v>
      </c>
      <c r="AR5773" s="74">
        <v>-8.09</v>
      </c>
      <c r="AW5773" s="74">
        <v>-13.4</v>
      </c>
      <c r="BC5773" s="74">
        <v>-16.18</v>
      </c>
      <c r="BI5773" s="106">
        <v>-15.82</v>
      </c>
    </row>
    <row r="5774" spans="1:131" x14ac:dyDescent="0.25">
      <c r="A5774" s="127">
        <v>45953</v>
      </c>
      <c r="B5774" s="24" t="s">
        <v>75</v>
      </c>
      <c r="C5774" s="21">
        <f t="shared" si="96"/>
        <v>-16.2</v>
      </c>
      <c r="BI5774" s="106">
        <v>-8.11</v>
      </c>
      <c r="BU5774" s="106">
        <v>-8.09</v>
      </c>
    </row>
    <row r="5775" spans="1:131" x14ac:dyDescent="0.25">
      <c r="A5775" s="127">
        <v>45953</v>
      </c>
      <c r="B5775" s="24" t="s">
        <v>174</v>
      </c>
      <c r="C5775" s="21">
        <f t="shared" si="96"/>
        <v>-17.46</v>
      </c>
      <c r="CG5775" s="106">
        <v>-17.46</v>
      </c>
    </row>
    <row r="5776" spans="1:131" x14ac:dyDescent="0.25">
      <c r="A5776" s="127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27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27">
        <v>45953</v>
      </c>
      <c r="B5778" s="24" t="s">
        <v>213</v>
      </c>
      <c r="C5778" s="21">
        <f t="shared" si="96"/>
        <v>-49.81</v>
      </c>
      <c r="BI5778" s="106">
        <v>-16.004999999999999</v>
      </c>
      <c r="CG5778" s="106">
        <v>-16.835000000000001</v>
      </c>
      <c r="CM5778" s="74">
        <v>-16.97</v>
      </c>
    </row>
    <row r="5779" spans="1:248" x14ac:dyDescent="0.25">
      <c r="A5779" s="127">
        <v>45953</v>
      </c>
      <c r="B5779" s="24" t="s">
        <v>20</v>
      </c>
      <c r="C5779" s="21">
        <f t="shared" si="96"/>
        <v>-32.43</v>
      </c>
      <c r="BC5779" s="74">
        <v>-7.97</v>
      </c>
      <c r="BI5779" s="106">
        <v>-8.1750000000000007</v>
      </c>
      <c r="BO5779" s="74">
        <v>-8.1750000000000007</v>
      </c>
      <c r="BU5779" s="106">
        <v>-8.11</v>
      </c>
    </row>
    <row r="5780" spans="1:248" x14ac:dyDescent="0.25">
      <c r="A5780" s="127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27">
        <v>45954</v>
      </c>
      <c r="B5781" s="24" t="s">
        <v>12</v>
      </c>
      <c r="C5781" s="21">
        <f t="shared" si="97"/>
        <v>-31.35</v>
      </c>
      <c r="J5781" s="110">
        <v>-31.35</v>
      </c>
    </row>
    <row r="5782" spans="1:248" x14ac:dyDescent="0.25">
      <c r="A5782" s="127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27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27">
        <v>45958</v>
      </c>
      <c r="B5784" s="24" t="s">
        <v>113</v>
      </c>
      <c r="C5784" s="21">
        <f t="shared" si="97"/>
        <v>902.96500000000003</v>
      </c>
      <c r="V5784" s="74">
        <v>70.73</v>
      </c>
      <c r="AC5784" s="74">
        <v>67.965000000000003</v>
      </c>
      <c r="AG5784" s="106">
        <v>49.93</v>
      </c>
      <c r="AR5784" s="74">
        <v>65.484999999999999</v>
      </c>
      <c r="AW5784" s="74">
        <v>66.254999999999995</v>
      </c>
      <c r="BC5784" s="74">
        <v>94.894999999999996</v>
      </c>
      <c r="BU5784" s="106">
        <v>51.225000000000001</v>
      </c>
      <c r="CG5784" s="106">
        <v>32.064999999999998</v>
      </c>
      <c r="CM5784" s="74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27">
        <v>45958</v>
      </c>
      <c r="B5785" s="24" t="s">
        <v>25</v>
      </c>
      <c r="C5785" s="21">
        <f t="shared" si="97"/>
        <v>-122.98</v>
      </c>
      <c r="AR5785" s="74">
        <v>-16.18</v>
      </c>
      <c r="AW5785" s="74">
        <v>-16.215</v>
      </c>
      <c r="BI5785" s="106">
        <v>-15.91</v>
      </c>
      <c r="BO5785" s="74">
        <v>-16.899999999999999</v>
      </c>
      <c r="BU5785" s="106">
        <v>-8.4849999999999994</v>
      </c>
      <c r="CA5785" s="106">
        <v>-16.454999999999998</v>
      </c>
      <c r="CG5785" s="106">
        <v>-15.99</v>
      </c>
      <c r="CM5785" s="74">
        <v>-16.844999999999999</v>
      </c>
    </row>
    <row r="5786" spans="1:248" x14ac:dyDescent="0.25">
      <c r="A5786" s="127">
        <v>45958</v>
      </c>
      <c r="B5786" s="24" t="s">
        <v>225</v>
      </c>
      <c r="C5786" s="21">
        <f t="shared" si="97"/>
        <v>-107.87</v>
      </c>
      <c r="AG5786" s="106">
        <v>-8.6999999999999993</v>
      </c>
      <c r="AN5786" s="74">
        <v>-8.4849999999999994</v>
      </c>
      <c r="BI5786" s="106">
        <v>-15.865</v>
      </c>
      <c r="BO5786" s="74">
        <v>-16.914999999999999</v>
      </c>
      <c r="CA5786" s="106">
        <v>-8.24</v>
      </c>
      <c r="CG5786" s="106">
        <v>-7.9349999999999996</v>
      </c>
      <c r="CM5786" s="74">
        <v>-25.344999999999999</v>
      </c>
      <c r="CS5786" s="74">
        <v>-8.3049999999999997</v>
      </c>
      <c r="CY5786" s="74">
        <v>-8.08</v>
      </c>
    </row>
    <row r="5787" spans="1:248" x14ac:dyDescent="0.25">
      <c r="A5787" s="127">
        <v>45958</v>
      </c>
      <c r="B5787" s="24" t="s">
        <v>138</v>
      </c>
      <c r="C5787" s="21">
        <f t="shared" si="97"/>
        <v>-40.700000000000003</v>
      </c>
      <c r="BI5787" s="106">
        <v>-16.344999999999999</v>
      </c>
      <c r="BO5787" s="74">
        <v>-16.239999999999998</v>
      </c>
      <c r="BU5787" s="106">
        <v>-8.1150000000000002</v>
      </c>
    </row>
    <row r="5788" spans="1:248" x14ac:dyDescent="0.25">
      <c r="A5788" s="127">
        <v>45958</v>
      </c>
      <c r="B5788" s="24" t="s">
        <v>171</v>
      </c>
      <c r="C5788" s="21">
        <f t="shared" si="97"/>
        <v>-8.0250000000000004</v>
      </c>
      <c r="CG5788" s="106">
        <v>-8.0250000000000004</v>
      </c>
    </row>
    <row r="5789" spans="1:248" x14ac:dyDescent="0.25">
      <c r="A5789" s="127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27">
        <v>45958</v>
      </c>
      <c r="B5790" s="24" t="s">
        <v>25</v>
      </c>
      <c r="C5790" s="21">
        <f t="shared" si="97"/>
        <v>-24.204999999999998</v>
      </c>
      <c r="BC5790" s="74">
        <v>-16.045000000000002</v>
      </c>
      <c r="BU5790" s="106">
        <v>-8.16</v>
      </c>
    </row>
    <row r="5791" spans="1:248" x14ac:dyDescent="0.25">
      <c r="A5791" s="127">
        <v>45958</v>
      </c>
      <c r="B5791" s="24" t="s">
        <v>225</v>
      </c>
      <c r="C5791" s="21">
        <f t="shared" si="97"/>
        <v>-32.83</v>
      </c>
      <c r="BC5791" s="74">
        <v>-15.85</v>
      </c>
      <c r="BU5791" s="106">
        <v>-16.98</v>
      </c>
    </row>
    <row r="5792" spans="1:248" x14ac:dyDescent="0.25">
      <c r="A5792" s="127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74">
        <v>-63</v>
      </c>
    </row>
    <row r="5793" spans="1:248" x14ac:dyDescent="0.25">
      <c r="A5793" s="127">
        <v>45958</v>
      </c>
      <c r="B5793" s="24" t="s">
        <v>162</v>
      </c>
      <c r="C5793" s="21">
        <f t="shared" si="97"/>
        <v>-8.01</v>
      </c>
      <c r="CG5793" s="106">
        <v>-8.01</v>
      </c>
    </row>
    <row r="5794" spans="1:248" x14ac:dyDescent="0.25">
      <c r="A5794" s="127">
        <v>45958</v>
      </c>
      <c r="B5794" s="24" t="s">
        <v>184</v>
      </c>
      <c r="C5794" s="21">
        <f t="shared" si="97"/>
        <v>-68.334999999999994</v>
      </c>
      <c r="CM5794" s="74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27">
        <v>45958</v>
      </c>
      <c r="B5795" s="24" t="s">
        <v>184</v>
      </c>
      <c r="C5795" s="21">
        <f t="shared" si="97"/>
        <v>-69.114999999999995</v>
      </c>
      <c r="CM5795" s="74">
        <v>-17.41</v>
      </c>
      <c r="DE5795" s="74">
        <v>-17.45</v>
      </c>
      <c r="EA5795" s="74">
        <v>-34.255000000000003</v>
      </c>
    </row>
    <row r="5796" spans="1:248" x14ac:dyDescent="0.25">
      <c r="A5796" s="127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27">
        <v>45960</v>
      </c>
      <c r="B5797" s="24" t="s">
        <v>184</v>
      </c>
      <c r="C5797" s="21">
        <f t="shared" si="97"/>
        <v>-140.15</v>
      </c>
      <c r="AN5797" s="74">
        <v>-8.42</v>
      </c>
      <c r="AW5797" s="74">
        <v>-32.46</v>
      </c>
      <c r="BI5797" s="106">
        <v>-31.645</v>
      </c>
      <c r="BU5797" s="106">
        <v>-8.1649999999999991</v>
      </c>
      <c r="CM5797" s="74">
        <v>-25.805</v>
      </c>
      <c r="CS5797" s="74">
        <v>-33.655000000000001</v>
      </c>
    </row>
    <row r="5798" spans="1:248" x14ac:dyDescent="0.25">
      <c r="A5798" s="127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27">
        <v>45960</v>
      </c>
      <c r="B5799" s="24" t="s">
        <v>233</v>
      </c>
      <c r="C5799" s="21">
        <f t="shared" si="97"/>
        <v>-66.3</v>
      </c>
      <c r="BU5799" s="106">
        <v>-17.920000000000002</v>
      </c>
      <c r="CG5799" s="106">
        <v>-16.010000000000002</v>
      </c>
      <c r="CS5799" s="74">
        <v>-15.77</v>
      </c>
      <c r="CU5799" s="126">
        <v>-16.600000000000001</v>
      </c>
    </row>
    <row r="5800" spans="1:248" x14ac:dyDescent="0.25">
      <c r="A5800" s="127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27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27">
        <v>45961</v>
      </c>
      <c r="B5802" s="24" t="s">
        <v>184</v>
      </c>
      <c r="C5802" s="21">
        <f>SUM(D5802:JT5802)</f>
        <v>-181.88</v>
      </c>
      <c r="BO5802" s="74">
        <v>-33.82</v>
      </c>
      <c r="BU5802" s="106">
        <v>-34.505000000000003</v>
      </c>
      <c r="CA5802" s="106">
        <v>-32.664999999999999</v>
      </c>
      <c r="CG5802" s="106">
        <v>-64.02</v>
      </c>
      <c r="CM5802" s="74">
        <v>-16.87</v>
      </c>
    </row>
    <row r="5803" spans="1:248" x14ac:dyDescent="0.25">
      <c r="A5803" s="127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74">
        <v>67.564999999999998</v>
      </c>
      <c r="BU5803" s="106">
        <v>101.78</v>
      </c>
      <c r="CA5803" s="106">
        <v>97.875</v>
      </c>
      <c r="CG5803" s="106">
        <v>96.424999999999997</v>
      </c>
      <c r="CM5803" s="74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27">
        <v>45962</v>
      </c>
      <c r="B5804" s="24" t="s">
        <v>213</v>
      </c>
      <c r="C5804" s="21">
        <f>SUM(D5804:JT5804)</f>
        <v>-65.739999999999995</v>
      </c>
      <c r="AN5804" s="74">
        <v>-7.4950000000000001</v>
      </c>
      <c r="AR5804" s="74">
        <v>-8.3550000000000004</v>
      </c>
      <c r="BI5804" s="106">
        <v>-16.315000000000001</v>
      </c>
      <c r="BO5804" s="74">
        <v>-16.765000000000001</v>
      </c>
      <c r="BU5804" s="106">
        <v>-16.809999999999999</v>
      </c>
    </row>
    <row r="5805" spans="1:248" x14ac:dyDescent="0.25">
      <c r="A5805" s="127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74">
        <f>-8.28-8.295</f>
        <v>-16.574999999999999</v>
      </c>
      <c r="BI5805" s="106">
        <v>-7.9950000000000001</v>
      </c>
      <c r="BU5805" s="106">
        <f>-8.4-8.38</f>
        <v>-16.78</v>
      </c>
      <c r="CA5805" s="106">
        <f>-8.04-8.53</f>
        <v>-16.57</v>
      </c>
    </row>
    <row r="5806" spans="1:248" x14ac:dyDescent="0.25">
      <c r="A5806" s="127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27">
        <v>45964</v>
      </c>
      <c r="B5807" s="24" t="s">
        <v>138</v>
      </c>
      <c r="C5807" s="21">
        <f t="shared" si="96"/>
        <v>-16.29</v>
      </c>
      <c r="AW5807" s="74">
        <v>-16.29</v>
      </c>
    </row>
    <row r="5808" spans="1:248" x14ac:dyDescent="0.25">
      <c r="A5808" s="127">
        <v>45965</v>
      </c>
      <c r="B5808" s="24" t="s">
        <v>44</v>
      </c>
      <c r="C5808" s="21">
        <f t="shared" si="96"/>
        <v>-94.564999999999998</v>
      </c>
      <c r="BI5808" s="106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27">
        <v>45965</v>
      </c>
      <c r="B5809" s="24" t="s">
        <v>193</v>
      </c>
      <c r="C5809" s="21">
        <f t="shared" si="96"/>
        <v>-8.43</v>
      </c>
      <c r="CM5809" s="74">
        <v>-8.43</v>
      </c>
    </row>
    <row r="5810" spans="1:235" x14ac:dyDescent="0.25">
      <c r="A5810" s="127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27">
        <v>45965</v>
      </c>
      <c r="B5811" s="24" t="s">
        <v>75</v>
      </c>
      <c r="C5811" s="21">
        <f t="shared" ref="C5811:C5829" si="98">SUM(D5811:JT5811)</f>
        <v>-8</v>
      </c>
      <c r="BI5811" s="106">
        <v>-8</v>
      </c>
    </row>
    <row r="5812" spans="1:235" x14ac:dyDescent="0.25">
      <c r="A5812" s="127">
        <v>45965</v>
      </c>
      <c r="B5812" s="24" t="s">
        <v>48</v>
      </c>
      <c r="C5812" s="21">
        <f t="shared" si="98"/>
        <v>-8.4450000000000003</v>
      </c>
      <c r="CM5812" s="74">
        <v>-8.4450000000000003</v>
      </c>
    </row>
    <row r="5813" spans="1:235" x14ac:dyDescent="0.25">
      <c r="A5813" s="127">
        <v>45965</v>
      </c>
      <c r="B5813" s="24" t="s">
        <v>127</v>
      </c>
      <c r="C5813" s="21">
        <f t="shared" si="98"/>
        <v>-8.49</v>
      </c>
      <c r="BO5813" s="74">
        <v>-8.49</v>
      </c>
    </row>
    <row r="5814" spans="1:235" x14ac:dyDescent="0.25">
      <c r="A5814" s="127">
        <v>45966</v>
      </c>
      <c r="B5814" s="24" t="s">
        <v>192</v>
      </c>
      <c r="C5814" s="21">
        <f t="shared" si="98"/>
        <v>-16.635000000000002</v>
      </c>
      <c r="BO5814" s="74">
        <v>-8.19</v>
      </c>
      <c r="BU5814" s="106">
        <v>-8.4450000000000003</v>
      </c>
    </row>
    <row r="5815" spans="1:235" x14ac:dyDescent="0.25">
      <c r="A5815" s="127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27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27">
        <v>45968</v>
      </c>
      <c r="B5817" s="24" t="s">
        <v>213</v>
      </c>
      <c r="C5817" s="21">
        <f t="shared" si="98"/>
        <v>-40.145000000000003</v>
      </c>
      <c r="CA5817" s="106">
        <v>-8.5350000000000001</v>
      </c>
      <c r="CG5817" s="106">
        <v>-23.305</v>
      </c>
      <c r="CM5817" s="74">
        <v>-8.3049999999999997</v>
      </c>
    </row>
    <row r="5818" spans="1:235" x14ac:dyDescent="0.25">
      <c r="A5818" s="127">
        <v>45968</v>
      </c>
      <c r="B5818" s="24" t="s">
        <v>213</v>
      </c>
      <c r="C5818" s="21">
        <f t="shared" si="98"/>
        <v>-16.91</v>
      </c>
      <c r="AC5818" s="74">
        <v>-8.34</v>
      </c>
      <c r="CO5818" s="126">
        <v>-8.57</v>
      </c>
    </row>
    <row r="5819" spans="1:235" x14ac:dyDescent="0.25">
      <c r="A5819" s="127">
        <v>45968</v>
      </c>
      <c r="B5819" s="24" t="s">
        <v>20</v>
      </c>
      <c r="C5819" s="21">
        <f t="shared" si="98"/>
        <v>-33.04</v>
      </c>
      <c r="AW5819" s="74">
        <v>-8.26</v>
      </c>
      <c r="CA5819" s="106">
        <v>-8.0050000000000008</v>
      </c>
      <c r="DU5819" s="106">
        <v>-16.774999999999999</v>
      </c>
    </row>
    <row r="5820" spans="1:235" x14ac:dyDescent="0.25">
      <c r="A5820" s="127">
        <v>45968</v>
      </c>
      <c r="B5820" s="24" t="s">
        <v>79</v>
      </c>
      <c r="C5820" s="21">
        <f t="shared" si="98"/>
        <v>-8.49</v>
      </c>
      <c r="BO5820" s="74">
        <v>-8.49</v>
      </c>
    </row>
    <row r="5821" spans="1:235" x14ac:dyDescent="0.25">
      <c r="A5821" s="127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74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5">
        <v>-8.1999999999999993</v>
      </c>
    </row>
    <row r="5822" spans="1:235" x14ac:dyDescent="0.25">
      <c r="A5822" s="127">
        <v>45969</v>
      </c>
      <c r="B5822" s="24" t="s">
        <v>12</v>
      </c>
      <c r="C5822" s="21">
        <f t="shared" si="98"/>
        <v>-155.9</v>
      </c>
      <c r="J5822" s="110">
        <v>-155.9</v>
      </c>
    </row>
    <row r="5823" spans="1:235" x14ac:dyDescent="0.25">
      <c r="A5823" s="127">
        <v>45969</v>
      </c>
      <c r="B5823" s="24" t="s">
        <v>79</v>
      </c>
      <c r="C5823" s="21">
        <f t="shared" si="98"/>
        <v>-9.1</v>
      </c>
      <c r="CG5823" s="106">
        <v>-9.1</v>
      </c>
    </row>
    <row r="5824" spans="1:235" x14ac:dyDescent="0.25">
      <c r="A5824" s="127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27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27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0">
        <v>-33.11</v>
      </c>
      <c r="GG5826" s="210">
        <v>-26.05</v>
      </c>
      <c r="GI5826" s="251">
        <v>-25.25</v>
      </c>
    </row>
    <row r="5827" spans="1:191" x14ac:dyDescent="0.25">
      <c r="A5827" s="127">
        <v>45971</v>
      </c>
      <c r="B5827" s="24" t="s">
        <v>197</v>
      </c>
      <c r="C5827" s="21">
        <f t="shared" si="98"/>
        <v>-58.984999999999999</v>
      </c>
      <c r="AW5827" s="74">
        <v>-9.2750000000000004</v>
      </c>
      <c r="BU5827" s="106">
        <v>-16.864999999999998</v>
      </c>
      <c r="CA5827" s="106">
        <v>-16.065000000000001</v>
      </c>
      <c r="CS5827" s="74">
        <v>-16.78</v>
      </c>
    </row>
    <row r="5828" spans="1:191" x14ac:dyDescent="0.25">
      <c r="A5828" s="127">
        <v>45972</v>
      </c>
      <c r="B5828" s="24" t="s">
        <v>233</v>
      </c>
      <c r="C5828" s="21">
        <f t="shared" si="98"/>
        <v>-75.41</v>
      </c>
      <c r="DW5828" s="126">
        <v>-8.0299999999999994</v>
      </c>
      <c r="EA5828" s="74">
        <v>-59.7</v>
      </c>
      <c r="EI5828" s="150">
        <v>-7.68</v>
      </c>
    </row>
    <row r="5829" spans="1:191" x14ac:dyDescent="0.25">
      <c r="A5829" s="127">
        <v>45972</v>
      </c>
      <c r="B5829" s="24" t="s">
        <v>83</v>
      </c>
      <c r="C5829" s="21">
        <f t="shared" si="98"/>
        <v>-26.56</v>
      </c>
      <c r="V5829" s="74">
        <f>-8.855-8.845-8.86</f>
        <v>-26.56</v>
      </c>
    </row>
    <row r="5830" spans="1:191" x14ac:dyDescent="0.25">
      <c r="A5830" s="127">
        <v>45973</v>
      </c>
      <c r="B5830" s="24" t="s">
        <v>20</v>
      </c>
      <c r="C5830" s="21">
        <f t="shared" ref="C5830:C5844" si="99">SUM(D5830:JT5830)</f>
        <v>-35.064999999999998</v>
      </c>
      <c r="BU5830" s="106">
        <v>-8.375</v>
      </c>
      <c r="CS5830" s="74">
        <v>-8.34</v>
      </c>
      <c r="DK5830" s="74">
        <v>-8.8800000000000008</v>
      </c>
      <c r="DM5830" s="150">
        <v>-9.4700000000000006</v>
      </c>
    </row>
    <row r="5831" spans="1:191" x14ac:dyDescent="0.25">
      <c r="A5831" s="127">
        <v>45974</v>
      </c>
      <c r="B5831" s="24" t="s">
        <v>113</v>
      </c>
      <c r="C5831" s="21">
        <f t="shared" si="99"/>
        <v>611.83000000000004</v>
      </c>
      <c r="BD5831" s="121">
        <v>66.165000000000006</v>
      </c>
      <c r="BI5831" s="106">
        <v>101.185</v>
      </c>
      <c r="BO5831" s="74">
        <v>101.71</v>
      </c>
      <c r="BU5831" s="106">
        <v>79.795000000000002</v>
      </c>
      <c r="CA5831" s="106">
        <v>101.155</v>
      </c>
      <c r="CG5831" s="106">
        <v>98.545000000000002</v>
      </c>
      <c r="CM5831" s="74">
        <v>63.274999999999999</v>
      </c>
    </row>
    <row r="5832" spans="1:191" x14ac:dyDescent="0.25">
      <c r="A5832" s="127">
        <v>45974</v>
      </c>
      <c r="B5832" s="24" t="s">
        <v>213</v>
      </c>
      <c r="C5832" s="21">
        <f t="shared" si="99"/>
        <v>-265.85500000000002</v>
      </c>
      <c r="AW5832" s="74">
        <v>-8.2349999999999994</v>
      </c>
      <c r="BI5832" s="106">
        <v>-26.344999999999999</v>
      </c>
      <c r="BO5832" s="74">
        <v>-34.034999999999997</v>
      </c>
      <c r="BU5832" s="106">
        <v>-31.875</v>
      </c>
      <c r="CA5832" s="106">
        <v>-33.17</v>
      </c>
      <c r="CG5832" s="106">
        <v>-16.545000000000002</v>
      </c>
      <c r="CM5832" s="74">
        <v>-16.05</v>
      </c>
      <c r="CS5832" s="74">
        <v>-33.274999999999999</v>
      </c>
      <c r="CY5832" s="74">
        <v>-17.204999999999998</v>
      </c>
      <c r="DA5832" s="126">
        <f>-8.56-7.96</f>
        <v>-16.52</v>
      </c>
      <c r="DE5832" s="74">
        <v>-32.6</v>
      </c>
    </row>
    <row r="5833" spans="1:191" x14ac:dyDescent="0.25">
      <c r="A5833" s="127">
        <v>45974</v>
      </c>
      <c r="B5833" s="24" t="s">
        <v>235</v>
      </c>
      <c r="C5833" s="21">
        <f t="shared" si="99"/>
        <v>-73.040000000000006</v>
      </c>
      <c r="BD5833" s="121">
        <v>-24.515000000000001</v>
      </c>
      <c r="BI5833" s="106">
        <v>-24.49</v>
      </c>
      <c r="BU5833" s="106">
        <v>-24.035</v>
      </c>
    </row>
    <row r="5834" spans="1:191" x14ac:dyDescent="0.25">
      <c r="A5834" s="127">
        <v>45974</v>
      </c>
      <c r="B5834" s="24" t="s">
        <v>75</v>
      </c>
      <c r="C5834" s="21">
        <f t="shared" si="99"/>
        <v>-8.35</v>
      </c>
      <c r="BD5834" s="121">
        <v>-8.35</v>
      </c>
    </row>
    <row r="5835" spans="1:191" x14ac:dyDescent="0.25">
      <c r="A5835" s="127">
        <v>45974</v>
      </c>
      <c r="B5835" s="24" t="s">
        <v>138</v>
      </c>
      <c r="C5835" s="21">
        <f t="shared" si="99"/>
        <v>-41.29</v>
      </c>
      <c r="AW5835" s="74">
        <v>-7.98</v>
      </c>
      <c r="BD5835" s="121">
        <v>-16.46</v>
      </c>
      <c r="BO5835" s="74">
        <v>-16.850000000000001</v>
      </c>
    </row>
    <row r="5836" spans="1:191" x14ac:dyDescent="0.25">
      <c r="A5836" s="127">
        <v>45974</v>
      </c>
      <c r="B5836" s="24" t="s">
        <v>20</v>
      </c>
      <c r="C5836" s="21">
        <f t="shared" si="99"/>
        <v>-32.825000000000003</v>
      </c>
      <c r="BI5836" s="106">
        <v>-8.3849999999999998</v>
      </c>
      <c r="BO5836" s="74">
        <v>-8.4949999999999992</v>
      </c>
      <c r="CG5836" s="106">
        <v>-7.9</v>
      </c>
      <c r="CM5836" s="74">
        <v>-8.0449999999999999</v>
      </c>
    </row>
    <row r="5837" spans="1:191" x14ac:dyDescent="0.25">
      <c r="A5837" s="127">
        <v>45974</v>
      </c>
      <c r="B5837" s="24" t="s">
        <v>139</v>
      </c>
      <c r="C5837" s="21">
        <f t="shared" si="99"/>
        <v>-24.765000000000001</v>
      </c>
      <c r="BO5837" s="74">
        <v>-8.4700000000000006</v>
      </c>
      <c r="BU5837" s="106">
        <v>-7.95</v>
      </c>
      <c r="CA5837" s="106">
        <v>-8.3450000000000006</v>
      </c>
    </row>
    <row r="5838" spans="1:191" x14ac:dyDescent="0.25">
      <c r="A5838" s="127">
        <v>45974</v>
      </c>
      <c r="B5838" s="24" t="s">
        <v>197</v>
      </c>
      <c r="C5838" s="21">
        <f t="shared" si="99"/>
        <v>-41.87</v>
      </c>
      <c r="BD5838" s="121">
        <v>-7.9649999999999999</v>
      </c>
      <c r="BO5838" s="74">
        <v>-8.5</v>
      </c>
      <c r="CG5838" s="106">
        <v>-17.355</v>
      </c>
      <c r="CM5838" s="74">
        <v>-8.0500000000000007</v>
      </c>
    </row>
    <row r="5839" spans="1:191" x14ac:dyDescent="0.25">
      <c r="A5839" s="127">
        <v>45974</v>
      </c>
      <c r="B5839" s="24" t="s">
        <v>39</v>
      </c>
      <c r="C5839" s="21">
        <f t="shared" si="99"/>
        <v>-33.229999999999997</v>
      </c>
      <c r="AN5839" s="74">
        <v>-7.665</v>
      </c>
      <c r="BD5839" s="121">
        <v>-8.875</v>
      </c>
      <c r="BI5839" s="106">
        <v>-8.35</v>
      </c>
      <c r="CA5839" s="106">
        <v>-8.34</v>
      </c>
    </row>
    <row r="5840" spans="1:191" x14ac:dyDescent="0.25">
      <c r="A5840" s="127">
        <v>45974</v>
      </c>
      <c r="B5840" s="24" t="s">
        <v>218</v>
      </c>
      <c r="C5840" s="21">
        <f t="shared" si="99"/>
        <v>-54.545000000000002</v>
      </c>
      <c r="BO5840" s="74">
        <v>-8.42</v>
      </c>
      <c r="CA5840" s="106">
        <v>-8.2850000000000001</v>
      </c>
      <c r="CY5840" s="74">
        <v>-16.09</v>
      </c>
      <c r="DE5840" s="74">
        <v>-21.75</v>
      </c>
    </row>
    <row r="5841" spans="1:226" x14ac:dyDescent="0.25">
      <c r="A5841" s="127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27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27">
        <v>45974</v>
      </c>
      <c r="B5843" s="24" t="s">
        <v>151</v>
      </c>
      <c r="C5843" s="21">
        <f t="shared" si="99"/>
        <v>-24.565000000000001</v>
      </c>
      <c r="CG5843" s="106">
        <v>-24.565000000000001</v>
      </c>
    </row>
    <row r="5844" spans="1:226" x14ac:dyDescent="0.25">
      <c r="A5844" s="127">
        <v>45975</v>
      </c>
      <c r="B5844" s="24" t="s">
        <v>33</v>
      </c>
      <c r="C5844" s="21">
        <f t="shared" si="99"/>
        <v>-8.4700000000000006</v>
      </c>
      <c r="BO5844" s="74">
        <v>-8.4700000000000006</v>
      </c>
    </row>
    <row r="5845" spans="1:226" x14ac:dyDescent="0.25">
      <c r="A5845" s="127">
        <v>45976</v>
      </c>
      <c r="B5845" s="24" t="s">
        <v>152</v>
      </c>
      <c r="C5845" s="21">
        <f t="shared" ref="C5845:C5859" si="100">SUM(D5845:JT5845)</f>
        <v>-72.747</v>
      </c>
      <c r="ET5845" s="106">
        <v>-29.56</v>
      </c>
      <c r="GK5845" s="79">
        <v>-21.161999999999999</v>
      </c>
      <c r="GO5845" s="110">
        <v>-22.024999999999999</v>
      </c>
    </row>
    <row r="5846" spans="1:226" x14ac:dyDescent="0.25">
      <c r="A5846" s="127">
        <v>45979</v>
      </c>
      <c r="B5846" s="24" t="s">
        <v>138</v>
      </c>
      <c r="C5846" s="21">
        <f t="shared" si="100"/>
        <v>-8.3800000000000008</v>
      </c>
      <c r="AR5846" s="74">
        <v>-8.3800000000000008</v>
      </c>
    </row>
    <row r="5847" spans="1:226" x14ac:dyDescent="0.25">
      <c r="A5847" s="127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27">
        <v>45979</v>
      </c>
      <c r="B5848" s="24" t="s">
        <v>24</v>
      </c>
      <c r="C5848" s="21">
        <f t="shared" si="100"/>
        <v>-48.534999999999997</v>
      </c>
      <c r="BU5848" s="106">
        <v>-15.935</v>
      </c>
      <c r="CA5848" s="106">
        <v>-16.32</v>
      </c>
      <c r="CG5848" s="106">
        <v>-16.28</v>
      </c>
    </row>
    <row r="5849" spans="1:226" x14ac:dyDescent="0.25">
      <c r="A5849" s="127">
        <v>45979</v>
      </c>
      <c r="B5849" s="24" t="s">
        <v>171</v>
      </c>
      <c r="C5849" s="21">
        <f t="shared" si="100"/>
        <v>-42.75</v>
      </c>
      <c r="DK5849" s="74">
        <v>-42.75</v>
      </c>
    </row>
    <row r="5850" spans="1:226" x14ac:dyDescent="0.25">
      <c r="A5850" s="127">
        <v>45980</v>
      </c>
      <c r="B5850" s="24" t="s">
        <v>25</v>
      </c>
      <c r="C5850" s="21">
        <f t="shared" si="100"/>
        <v>-33.244999999999997</v>
      </c>
      <c r="AN5850" s="74">
        <v>-8.41</v>
      </c>
      <c r="BI5850" s="106">
        <v>-8.4</v>
      </c>
      <c r="CS5850" s="74">
        <v>-8.3949999999999996</v>
      </c>
      <c r="CY5850" s="74">
        <v>-8.0399999999999991</v>
      </c>
    </row>
    <row r="5851" spans="1:226" x14ac:dyDescent="0.25">
      <c r="A5851" s="127">
        <v>45980</v>
      </c>
      <c r="B5851" s="24" t="s">
        <v>113</v>
      </c>
      <c r="C5851" s="21">
        <f t="shared" si="100"/>
        <v>741.87</v>
      </c>
      <c r="AW5851" s="74">
        <v>68.19</v>
      </c>
      <c r="BC5851" s="74">
        <v>64.67</v>
      </c>
      <c r="BI5851" s="106">
        <v>68.995000000000005</v>
      </c>
      <c r="BO5851" s="74">
        <v>67.98</v>
      </c>
      <c r="BU5851" s="106">
        <f>35.72+34.475</f>
        <v>70.194999999999993</v>
      </c>
      <c r="CA5851" s="106">
        <v>67.364999999999995</v>
      </c>
      <c r="CG5851" s="106">
        <v>69.525000000000006</v>
      </c>
      <c r="DE5851" s="74">
        <v>68.965000000000003</v>
      </c>
      <c r="EA5851" s="74">
        <f>37.665+25.075</f>
        <v>62.74</v>
      </c>
      <c r="GQ5851" s="92">
        <v>133.245</v>
      </c>
    </row>
    <row r="5852" spans="1:226" x14ac:dyDescent="0.25">
      <c r="A5852" s="127">
        <v>45980</v>
      </c>
      <c r="B5852" s="24" t="s">
        <v>225</v>
      </c>
      <c r="C5852" s="21">
        <f t="shared" si="100"/>
        <v>-74.984999999999999</v>
      </c>
      <c r="BI5852" s="106">
        <v>-16.815000000000001</v>
      </c>
      <c r="BO5852" s="74">
        <v>-16.864999999999998</v>
      </c>
      <c r="BU5852" s="106">
        <v>-8.6150000000000002</v>
      </c>
      <c r="CA5852" s="106">
        <v>-16.684999999999999</v>
      </c>
      <c r="CG5852" s="106">
        <v>-7.9450000000000003</v>
      </c>
      <c r="CM5852" s="74">
        <v>-8.06</v>
      </c>
    </row>
    <row r="5853" spans="1:226" x14ac:dyDescent="0.25">
      <c r="A5853" s="127">
        <v>45980</v>
      </c>
      <c r="B5853" s="24" t="s">
        <v>184</v>
      </c>
      <c r="C5853" s="21">
        <f t="shared" si="100"/>
        <v>-269.89</v>
      </c>
      <c r="AN5853" s="74">
        <v>-16.850000000000001</v>
      </c>
      <c r="AR5853" s="74">
        <v>-8.375</v>
      </c>
      <c r="AW5853" s="74">
        <v>-17.254999999999999</v>
      </c>
      <c r="BC5853" s="74">
        <v>-23.98</v>
      </c>
      <c r="BI5853" s="106">
        <v>-34.555</v>
      </c>
      <c r="BO5853" s="74">
        <v>-34.115000000000002</v>
      </c>
      <c r="BU5853" s="106">
        <v>-34.435000000000002</v>
      </c>
      <c r="CA5853" s="106">
        <v>-34.414999999999999</v>
      </c>
      <c r="CG5853" s="106">
        <v>-34.744999999999997</v>
      </c>
      <c r="CM5853" s="74">
        <v>-15.02</v>
      </c>
      <c r="CS5853" s="74">
        <v>-16.145</v>
      </c>
    </row>
    <row r="5854" spans="1:226" x14ac:dyDescent="0.25">
      <c r="A5854" s="127">
        <v>45980</v>
      </c>
      <c r="B5854" s="24" t="s">
        <v>17</v>
      </c>
      <c r="C5854" s="21">
        <f t="shared" si="100"/>
        <v>-35.26</v>
      </c>
      <c r="BC5854" s="74">
        <v>-8.2050000000000001</v>
      </c>
      <c r="BO5854" s="74">
        <v>-17.62</v>
      </c>
      <c r="BU5854" s="106">
        <v>-9.4350000000000005</v>
      </c>
    </row>
    <row r="5855" spans="1:226" x14ac:dyDescent="0.25">
      <c r="A5855" s="127">
        <v>45980</v>
      </c>
      <c r="B5855" s="24" t="s">
        <v>44</v>
      </c>
      <c r="C5855" s="21">
        <f t="shared" si="100"/>
        <v>-137.72999999999999</v>
      </c>
      <c r="GK5855" s="79">
        <v>-4.4850000000000003</v>
      </c>
      <c r="GQ5855" s="92">
        <v>-133.245</v>
      </c>
    </row>
    <row r="5856" spans="1:226" x14ac:dyDescent="0.25">
      <c r="A5856" s="127">
        <v>45980</v>
      </c>
      <c r="B5856" s="24" t="s">
        <v>20</v>
      </c>
      <c r="C5856" s="21">
        <f t="shared" si="100"/>
        <v>-8.25</v>
      </c>
      <c r="BC5856" s="74">
        <v>-8.25</v>
      </c>
    </row>
    <row r="5857" spans="1:208" x14ac:dyDescent="0.25">
      <c r="A5857" s="127">
        <v>45980</v>
      </c>
      <c r="B5857" s="24" t="s">
        <v>192</v>
      </c>
      <c r="C5857" s="21">
        <f t="shared" si="100"/>
        <v>-8.3650000000000002</v>
      </c>
      <c r="BC5857" s="74">
        <v>-8.3650000000000002</v>
      </c>
    </row>
    <row r="5858" spans="1:208" x14ac:dyDescent="0.25">
      <c r="A5858" s="127">
        <v>45981</v>
      </c>
      <c r="B5858" s="24" t="s">
        <v>224</v>
      </c>
      <c r="C5858" s="21">
        <f t="shared" si="100"/>
        <v>-16.97</v>
      </c>
      <c r="AG5858" s="106">
        <v>-8.65</v>
      </c>
      <c r="AR5858" s="74">
        <v>-8.32</v>
      </c>
    </row>
    <row r="5859" spans="1:208" x14ac:dyDescent="0.25">
      <c r="A5859" s="127">
        <v>45981</v>
      </c>
      <c r="B5859" s="24" t="s">
        <v>174</v>
      </c>
      <c r="C5859" s="21">
        <f t="shared" si="100"/>
        <v>-16.094999999999999</v>
      </c>
      <c r="CM5859" s="74">
        <v>-16.094999999999999</v>
      </c>
    </row>
    <row r="5860" spans="1:208" x14ac:dyDescent="0.25">
      <c r="A5860" s="127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106">
        <v>-8.6150000000000002</v>
      </c>
    </row>
    <row r="5861" spans="1:208" x14ac:dyDescent="0.25">
      <c r="A5861" s="127">
        <v>45981</v>
      </c>
      <c r="B5861" s="24" t="s">
        <v>197</v>
      </c>
      <c r="C5861" s="21">
        <f t="shared" si="101"/>
        <v>-48.85</v>
      </c>
      <c r="DA5861" s="126">
        <v>-15.03</v>
      </c>
      <c r="DE5861" s="74">
        <v>-17.260000000000002</v>
      </c>
      <c r="DM5861" s="150">
        <v>-16.559999999999999</v>
      </c>
    </row>
    <row r="5862" spans="1:208" x14ac:dyDescent="0.25">
      <c r="A5862" s="127">
        <v>45982</v>
      </c>
      <c r="B5862" s="24" t="s">
        <v>218</v>
      </c>
      <c r="C5862" s="21">
        <f t="shared" si="101"/>
        <v>-116.92</v>
      </c>
      <c r="V5862" s="74">
        <f>-8.85-8.87</f>
        <v>-17.72</v>
      </c>
      <c r="AG5862" s="106">
        <v>-15.244999999999999</v>
      </c>
      <c r="BI5862" s="106">
        <f>-8.64-8.62-8.695-8.4</f>
        <v>-34.354999999999997</v>
      </c>
      <c r="CA5862" s="106">
        <v>-32.950000000000003</v>
      </c>
      <c r="CG5862" s="106">
        <f>-8.695-7.955</f>
        <v>-16.649999999999999</v>
      </c>
    </row>
    <row r="5863" spans="1:208" x14ac:dyDescent="0.25">
      <c r="A5863" s="127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106">
        <v>-8.65</v>
      </c>
      <c r="BC5863" s="74">
        <v>-15.87</v>
      </c>
      <c r="BO5863" s="74">
        <v>-16.945</v>
      </c>
    </row>
    <row r="5864" spans="1:208" x14ac:dyDescent="0.25">
      <c r="A5864" s="127">
        <v>45982</v>
      </c>
      <c r="B5864" s="24" t="s">
        <v>202</v>
      </c>
      <c r="C5864" s="21">
        <f t="shared" si="101"/>
        <v>-16.945</v>
      </c>
      <c r="E5864" s="145">
        <v>-16.945</v>
      </c>
    </row>
    <row r="5865" spans="1:208" x14ac:dyDescent="0.25">
      <c r="A5865" s="127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27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27">
        <v>45983</v>
      </c>
      <c r="B5867" s="24" t="s">
        <v>33</v>
      </c>
      <c r="C5867" s="21">
        <f t="shared" ref="C5867:C5870" si="102">SUM(D5867:JT5867)</f>
        <v>-8.4849999999999994</v>
      </c>
      <c r="BI5867" s="106">
        <v>-8.4849999999999994</v>
      </c>
    </row>
    <row r="5868" spans="1:208" x14ac:dyDescent="0.25">
      <c r="A5868" s="127">
        <v>45983</v>
      </c>
      <c r="B5868" s="24" t="s">
        <v>113</v>
      </c>
      <c r="C5868" s="21">
        <f t="shared" si="102"/>
        <v>833.69500000000005</v>
      </c>
      <c r="AG5868" s="106">
        <v>72.204999999999998</v>
      </c>
      <c r="AN5868" s="74">
        <v>32.130000000000003</v>
      </c>
      <c r="AR5868" s="74">
        <v>31.45</v>
      </c>
      <c r="AW5868" s="74">
        <v>33.909999999999997</v>
      </c>
      <c r="BC5868" s="74">
        <v>68.234999999999999</v>
      </c>
      <c r="BI5868" s="106">
        <v>103.295</v>
      </c>
      <c r="BO5868" s="74">
        <v>101.24</v>
      </c>
      <c r="BU5868" s="106">
        <v>68.66</v>
      </c>
      <c r="CA5868" s="106">
        <v>69.555000000000007</v>
      </c>
      <c r="CG5868" s="106">
        <v>69.405000000000001</v>
      </c>
      <c r="CM5868" s="74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27">
        <v>45983</v>
      </c>
      <c r="B5869" s="24" t="s">
        <v>184</v>
      </c>
      <c r="C5869" s="21">
        <f t="shared" si="102"/>
        <v>-101.32</v>
      </c>
      <c r="CG5869" s="106">
        <v>-17.38</v>
      </c>
      <c r="CM5869" s="74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27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106">
        <v>-8.6649999999999991</v>
      </c>
      <c r="BO5870" s="74">
        <v>-8.52</v>
      </c>
    </row>
    <row r="5871" spans="1:208" x14ac:dyDescent="0.25">
      <c r="A5871" s="127">
        <v>45983</v>
      </c>
      <c r="B5871" s="24" t="s">
        <v>197</v>
      </c>
      <c r="C5871" s="21">
        <f t="shared" ref="C5871:C5883" si="103">SUM(D5871:JT5871)</f>
        <v>-84.76</v>
      </c>
      <c r="BU5871" s="106">
        <v>-17.2</v>
      </c>
      <c r="CA5871" s="106">
        <v>-17.375</v>
      </c>
      <c r="CG5871" s="106">
        <v>-17.375</v>
      </c>
      <c r="CM5871" s="74">
        <v>-16.114999999999998</v>
      </c>
      <c r="CS5871" s="74">
        <v>-16.695</v>
      </c>
    </row>
    <row r="5872" spans="1:208" x14ac:dyDescent="0.25">
      <c r="A5872" s="127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106">
        <v>-8.1199999999999992</v>
      </c>
      <c r="CA5872" s="106">
        <v>-8.7050000000000001</v>
      </c>
    </row>
    <row r="5873" spans="1:249" x14ac:dyDescent="0.25">
      <c r="A5873" s="127">
        <v>45985</v>
      </c>
      <c r="B5873" s="24" t="s">
        <v>237</v>
      </c>
      <c r="C5873" s="21">
        <f t="shared" si="103"/>
        <v>-42.69</v>
      </c>
      <c r="AC5873" s="74">
        <v>-3.71</v>
      </c>
      <c r="AG5873" s="106">
        <v>-3.67</v>
      </c>
      <c r="AN5873" s="74">
        <v>-5.69</v>
      </c>
      <c r="AR5873" s="74">
        <v>-4.01</v>
      </c>
      <c r="AW5873" s="74">
        <v>-4.41</v>
      </c>
      <c r="BC5873" s="74">
        <v>-4</v>
      </c>
      <c r="BI5873" s="106">
        <v>-4.3499999999999996</v>
      </c>
      <c r="BO5873" s="74">
        <v>-4.1500000000000004</v>
      </c>
      <c r="BU5873" s="106">
        <v>-4.2699999999999996</v>
      </c>
      <c r="CA5873" s="106">
        <v>-4.43</v>
      </c>
    </row>
    <row r="5874" spans="1:249" x14ac:dyDescent="0.25">
      <c r="A5874" s="127">
        <v>45986</v>
      </c>
      <c r="B5874" s="24" t="s">
        <v>138</v>
      </c>
      <c r="C5874" s="21">
        <f t="shared" si="103"/>
        <v>-34.25</v>
      </c>
      <c r="AR5874" s="74">
        <v>-8.1</v>
      </c>
      <c r="AW5874" s="74">
        <v>-8.5749999999999993</v>
      </c>
      <c r="BC5874" s="74">
        <v>-8.9700000000000006</v>
      </c>
      <c r="BU5874" s="106">
        <v>-8.6050000000000004</v>
      </c>
    </row>
    <row r="5875" spans="1:249" x14ac:dyDescent="0.25">
      <c r="A5875" s="127">
        <v>45986</v>
      </c>
      <c r="B5875" s="24" t="s">
        <v>218</v>
      </c>
      <c r="C5875" s="21">
        <f t="shared" si="103"/>
        <v>-51.585000000000001</v>
      </c>
      <c r="BC5875" s="74">
        <f>-9.035-9.345-8.12</f>
        <v>-26.5</v>
      </c>
      <c r="BO5875" s="74">
        <f>-8.19-8.5-8.395</f>
        <v>-25.085000000000001</v>
      </c>
    </row>
    <row r="5876" spans="1:249" x14ac:dyDescent="0.25">
      <c r="A5876" s="127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27">
        <v>45988</v>
      </c>
      <c r="B5877" s="24" t="s">
        <v>192</v>
      </c>
      <c r="C5877" s="21">
        <f t="shared" si="103"/>
        <v>-17.375</v>
      </c>
      <c r="CA5877" s="106">
        <v>-8.68</v>
      </c>
      <c r="CG5877" s="106">
        <v>-8.6950000000000003</v>
      </c>
    </row>
    <row r="5878" spans="1:249" x14ac:dyDescent="0.25">
      <c r="A5878" s="127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74">
        <v>32.115000000000002</v>
      </c>
      <c r="BO5878" s="74">
        <v>34.015000000000001</v>
      </c>
      <c r="BU5878" s="106">
        <v>31.914999999999999</v>
      </c>
      <c r="CA5878" s="106">
        <v>34.46</v>
      </c>
      <c r="CM5878" s="74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27">
        <v>45988</v>
      </c>
      <c r="B5879" s="24" t="s">
        <v>113</v>
      </c>
      <c r="C5879" s="21">
        <f t="shared" si="103"/>
        <v>539.26</v>
      </c>
      <c r="AN5879" s="74">
        <v>32.17</v>
      </c>
      <c r="BI5879" s="106">
        <v>34.54</v>
      </c>
      <c r="BO5879" s="74">
        <v>32.984999999999999</v>
      </c>
      <c r="BU5879" s="106">
        <v>68.754999999999995</v>
      </c>
      <c r="CA5879" s="106">
        <v>34.795000000000002</v>
      </c>
      <c r="CG5879" s="106">
        <v>69.790000000000006</v>
      </c>
      <c r="CM5879" s="74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27">
        <v>45988</v>
      </c>
      <c r="B5880" s="24" t="s">
        <v>115</v>
      </c>
      <c r="C5880" s="21">
        <f t="shared" si="103"/>
        <v>550.12</v>
      </c>
      <c r="D5880" s="145">
        <v>32.75</v>
      </c>
      <c r="E5880" s="145">
        <v>37.58</v>
      </c>
      <c r="IO5880" s="182">
        <v>479.79</v>
      </c>
    </row>
    <row r="5881" spans="1:249" x14ac:dyDescent="0.25">
      <c r="A5881" s="127">
        <v>45988</v>
      </c>
      <c r="B5881" s="24" t="s">
        <v>20</v>
      </c>
      <c r="C5881" s="21">
        <f t="shared" si="103"/>
        <v>-34.534999999999997</v>
      </c>
      <c r="BO5881" s="74">
        <v>-8.57</v>
      </c>
      <c r="BU5881" s="106">
        <v>-8.58</v>
      </c>
      <c r="CA5881" s="106">
        <v>-8.6950000000000003</v>
      </c>
      <c r="CG5881" s="106">
        <v>-8.69</v>
      </c>
    </row>
    <row r="5882" spans="1:249" x14ac:dyDescent="0.25">
      <c r="A5882" s="127">
        <v>45988</v>
      </c>
      <c r="B5882" s="24" t="s">
        <v>152</v>
      </c>
      <c r="C5882" s="21">
        <f t="shared" si="103"/>
        <v>-539.26</v>
      </c>
      <c r="AN5882" s="74">
        <v>-32.17</v>
      </c>
      <c r="BI5882" s="106">
        <v>-34.54</v>
      </c>
      <c r="BO5882" s="74">
        <v>-32.984999999999999</v>
      </c>
      <c r="BU5882" s="106">
        <v>-68.754999999999995</v>
      </c>
      <c r="CA5882" s="106">
        <v>-34.795000000000002</v>
      </c>
      <c r="CG5882" s="106">
        <v>-69.790000000000006</v>
      </c>
      <c r="CM5882" s="74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27">
        <v>45988</v>
      </c>
      <c r="B5883" s="24" t="s">
        <v>184</v>
      </c>
      <c r="C5883" s="21">
        <f t="shared" si="103"/>
        <v>-633.26499999999999</v>
      </c>
      <c r="BI5883" s="106">
        <v>-34.6</v>
      </c>
      <c r="BO5883" s="74">
        <v>-34.015000000000001</v>
      </c>
      <c r="BU5883" s="106">
        <v>-31.914999999999999</v>
      </c>
      <c r="CA5883" s="106">
        <v>-34.46</v>
      </c>
      <c r="CG5883" s="106">
        <v>-34.604999999999997</v>
      </c>
      <c r="CM5883" s="74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0">
        <v>-76.099999999999994</v>
      </c>
    </row>
    <row r="5884" spans="1:249" x14ac:dyDescent="0.25">
      <c r="A5884" s="127">
        <v>45989</v>
      </c>
      <c r="B5884" s="24" t="s">
        <v>184</v>
      </c>
      <c r="C5884" s="21">
        <f t="shared" ref="C5884:C5896" si="104">SUM(D5884:JT5884)</f>
        <v>-136.16499999999999</v>
      </c>
      <c r="P5884" s="106">
        <v>-8</v>
      </c>
      <c r="Z5884" s="79">
        <f>-8.935-35.935</f>
        <v>-44.87</v>
      </c>
      <c r="CM5884" s="74">
        <v>-16.86</v>
      </c>
      <c r="CS5884" s="74">
        <v>-34.414999999999999</v>
      </c>
      <c r="DU5884" s="106">
        <v>-32.020000000000003</v>
      </c>
    </row>
    <row r="5885" spans="1:249" x14ac:dyDescent="0.25">
      <c r="A5885" s="127">
        <v>45989</v>
      </c>
      <c r="B5885" s="24" t="s">
        <v>140</v>
      </c>
      <c r="C5885" s="21">
        <f t="shared" si="104"/>
        <v>-61.814999999999998</v>
      </c>
      <c r="D5885" s="145">
        <v>-32.75</v>
      </c>
      <c r="E5885" s="145">
        <v>-29.065000000000001</v>
      </c>
    </row>
    <row r="5886" spans="1:249" x14ac:dyDescent="0.25">
      <c r="A5886" s="127">
        <v>45989</v>
      </c>
      <c r="B5886" s="24" t="s">
        <v>225</v>
      </c>
      <c r="C5886" s="21">
        <f t="shared" si="104"/>
        <v>-27.79</v>
      </c>
      <c r="AC5886" s="74">
        <v>-3.85</v>
      </c>
      <c r="AG5886" s="106">
        <v>-3.49</v>
      </c>
      <c r="AR5886" s="74">
        <v>-4.08</v>
      </c>
      <c r="AW5886" s="74">
        <v>-3.83</v>
      </c>
      <c r="BC5886" s="74">
        <v>-4.0999999999999996</v>
      </c>
      <c r="BO5886" s="74">
        <v>-4.24</v>
      </c>
      <c r="BU5886" s="106">
        <v>-4.2</v>
      </c>
    </row>
    <row r="5887" spans="1:249" x14ac:dyDescent="0.25">
      <c r="A5887" s="127">
        <v>45989</v>
      </c>
      <c r="B5887" s="24" t="s">
        <v>213</v>
      </c>
      <c r="C5887" s="21">
        <f t="shared" si="104"/>
        <v>-30.355</v>
      </c>
      <c r="BI5887" s="106">
        <f>-4.3-8.645-8.665</f>
        <v>-21.61</v>
      </c>
      <c r="CG5887" s="106">
        <v>-8.7449999999999992</v>
      </c>
    </row>
    <row r="5888" spans="1:249" x14ac:dyDescent="0.25">
      <c r="A5888" s="127">
        <v>45989</v>
      </c>
      <c r="B5888" s="24" t="s">
        <v>213</v>
      </c>
      <c r="C5888" s="21">
        <f t="shared" si="104"/>
        <v>-64.364999999999995</v>
      </c>
      <c r="BO5888" s="74">
        <v>-25.32</v>
      </c>
      <c r="CA5888" s="106">
        <v>-39.045000000000002</v>
      </c>
    </row>
    <row r="5889" spans="1:222" x14ac:dyDescent="0.25">
      <c r="A5889" s="127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27">
        <v>45989</v>
      </c>
      <c r="B5890" s="24" t="s">
        <v>171</v>
      </c>
      <c r="C5890" s="21">
        <f t="shared" si="104"/>
        <v>-16.93</v>
      </c>
      <c r="AR5890" s="74">
        <v>-8.23</v>
      </c>
      <c r="AW5890" s="74">
        <v>-8.6999999999999993</v>
      </c>
    </row>
    <row r="5891" spans="1:222" x14ac:dyDescent="0.25">
      <c r="A5891" s="127">
        <v>45990</v>
      </c>
      <c r="B5891" s="24" t="s">
        <v>224</v>
      </c>
      <c r="C5891" s="21">
        <f t="shared" si="104"/>
        <v>-17.204999999999998</v>
      </c>
      <c r="BI5891" s="106">
        <v>-8.5749999999999993</v>
      </c>
      <c r="BU5891" s="106">
        <v>-8.6300000000000008</v>
      </c>
    </row>
    <row r="5892" spans="1:222" x14ac:dyDescent="0.25">
      <c r="A5892" s="127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74">
        <v>-16.864999999999998</v>
      </c>
    </row>
    <row r="5893" spans="1:222" x14ac:dyDescent="0.25">
      <c r="A5893" s="127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-17.260000000000002</v>
      </c>
      <c r="DK5893" s="74">
        <f>-8.38-8.625</f>
        <v>-17.004999999999999</v>
      </c>
      <c r="DP5893" s="74">
        <f>-8.025-8.03</f>
        <v>-16.055</v>
      </c>
    </row>
    <row r="5894" spans="1:222" x14ac:dyDescent="0.25">
      <c r="A5894" s="127">
        <v>45990</v>
      </c>
      <c r="B5894" s="24" t="s">
        <v>25</v>
      </c>
      <c r="C5894" s="21">
        <f t="shared" si="104"/>
        <v>-42.744999999999997</v>
      </c>
      <c r="BU5894" s="106">
        <v>-17.18</v>
      </c>
      <c r="CA5894" s="106">
        <v>-8.68</v>
      </c>
      <c r="CM5894" s="74">
        <v>-16.885000000000002</v>
      </c>
    </row>
    <row r="5895" spans="1:222" x14ac:dyDescent="0.25">
      <c r="A5895" s="127">
        <v>45992</v>
      </c>
      <c r="B5895" s="24" t="s">
        <v>24</v>
      </c>
      <c r="C5895" s="21">
        <f t="shared" si="104"/>
        <v>-58.46</v>
      </c>
      <c r="AR5895" s="74">
        <v>-7.2149999999999999</v>
      </c>
      <c r="AW5895" s="74">
        <v>-8.6549999999999994</v>
      </c>
      <c r="BC5895" s="74">
        <v>-8.2449999999999992</v>
      </c>
      <c r="BI5895" s="106">
        <f>-8.665-8.66</f>
        <v>-17.324999999999999</v>
      </c>
      <c r="BO5895" s="74">
        <f>-8.53-8.49</f>
        <v>-17.02</v>
      </c>
    </row>
    <row r="5896" spans="1:222" x14ac:dyDescent="0.25">
      <c r="A5896" s="127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27">
        <v>45992</v>
      </c>
      <c r="B5897" s="24" t="s">
        <v>20</v>
      </c>
      <c r="C5897" s="21">
        <f t="shared" ref="C5897:C5935" si="105">SUM(D5897:JT5897)</f>
        <v>-25.695</v>
      </c>
      <c r="CM5897" s="74">
        <v>-8.41</v>
      </c>
      <c r="CS5897" s="74">
        <v>-9.0850000000000009</v>
      </c>
      <c r="CY5897" s="74">
        <v>-8.1999999999999993</v>
      </c>
    </row>
    <row r="5898" spans="1:222" x14ac:dyDescent="0.25">
      <c r="A5898" s="127">
        <v>45993</v>
      </c>
      <c r="B5898" s="24" t="s">
        <v>115</v>
      </c>
      <c r="C5898" s="21">
        <f t="shared" si="105"/>
        <v>27.51</v>
      </c>
      <c r="HN5898" s="115">
        <v>27.51</v>
      </c>
    </row>
    <row r="5899" spans="1:222" x14ac:dyDescent="0.25">
      <c r="A5899" s="127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27">
        <v>45994</v>
      </c>
      <c r="B5900" s="24" t="s">
        <v>82</v>
      </c>
      <c r="C5900" s="21">
        <f t="shared" si="105"/>
        <v>-53.29</v>
      </c>
      <c r="HM5900" s="106">
        <v>-0.94</v>
      </c>
      <c r="HN5900" s="115">
        <v>-52.35</v>
      </c>
    </row>
    <row r="5901" spans="1:222" x14ac:dyDescent="0.25">
      <c r="A5901" s="127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27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27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27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74">
        <v>79.599999999999994</v>
      </c>
      <c r="BC5904" s="74">
        <v>156.54</v>
      </c>
      <c r="BI5904" s="106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27">
        <v>45994</v>
      </c>
      <c r="B5905" s="24" t="s">
        <v>113</v>
      </c>
      <c r="C5905" s="21">
        <f t="shared" si="105"/>
        <v>415.15</v>
      </c>
      <c r="BO5905" s="74">
        <v>96.435000000000002</v>
      </c>
      <c r="BU5905" s="106">
        <v>98.1</v>
      </c>
      <c r="CA5905" s="106">
        <v>108.95</v>
      </c>
      <c r="CM5905" s="74">
        <v>111.66500000000001</v>
      </c>
    </row>
    <row r="5906" spans="1:199" x14ac:dyDescent="0.25">
      <c r="A5906" s="127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27">
        <v>45994</v>
      </c>
      <c r="B5907" s="24" t="s">
        <v>152</v>
      </c>
      <c r="C5907" s="21">
        <f t="shared" si="105"/>
        <v>-785.64</v>
      </c>
      <c r="BC5907" s="74">
        <v>-93.64</v>
      </c>
      <c r="BI5907" s="106">
        <v>-94.635000000000005</v>
      </c>
      <c r="BO5907" s="74">
        <v>-96.435000000000002</v>
      </c>
      <c r="BU5907" s="106">
        <v>-98.1</v>
      </c>
      <c r="CA5907" s="106">
        <v>-108.95</v>
      </c>
      <c r="CM5907" s="74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27">
        <v>45994</v>
      </c>
      <c r="B5908" s="24" t="s">
        <v>184</v>
      </c>
      <c r="C5908" s="21">
        <f t="shared" si="105"/>
        <v>-50.08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27">
        <v>45994</v>
      </c>
      <c r="B5909" s="24" t="s">
        <v>218</v>
      </c>
      <c r="C5909" s="21">
        <f t="shared" si="105"/>
        <v>-39.164999999999999</v>
      </c>
      <c r="AG5909" s="106">
        <v>-6.7</v>
      </c>
      <c r="AN5909" s="74">
        <v>-7.96</v>
      </c>
      <c r="AR5909" s="74">
        <v>-8.0950000000000006</v>
      </c>
      <c r="BC5909" s="74">
        <v>-16.41</v>
      </c>
    </row>
    <row r="5910" spans="1:199" x14ac:dyDescent="0.25">
      <c r="A5910" s="127">
        <v>45995</v>
      </c>
      <c r="B5910" s="24" t="s">
        <v>213</v>
      </c>
      <c r="C5910" s="21">
        <f t="shared" si="105"/>
        <v>-68.83</v>
      </c>
      <c r="BI5910" s="106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27">
        <v>45995</v>
      </c>
      <c r="B5911" s="24" t="s">
        <v>138</v>
      </c>
      <c r="C5911" s="21">
        <f t="shared" si="105"/>
        <v>-15.85</v>
      </c>
      <c r="AN5911" s="74">
        <v>-7.8150000000000004</v>
      </c>
      <c r="AR5911" s="74">
        <v>-8.0350000000000001</v>
      </c>
    </row>
    <row r="5912" spans="1:199" x14ac:dyDescent="0.25">
      <c r="A5912" s="127">
        <v>45995</v>
      </c>
      <c r="B5912" s="24" t="s">
        <v>169</v>
      </c>
      <c r="C5912" s="21">
        <f t="shared" si="105"/>
        <v>-44.524999999999999</v>
      </c>
      <c r="E5912" s="145">
        <v>-8.5150000000000006</v>
      </c>
      <c r="F5912" s="145">
        <v>-36.01</v>
      </c>
    </row>
    <row r="5913" spans="1:199" x14ac:dyDescent="0.25">
      <c r="A5913" s="127">
        <v>45996</v>
      </c>
      <c r="B5913" s="24" t="s">
        <v>224</v>
      </c>
      <c r="C5913" s="21">
        <f t="shared" si="105"/>
        <v>-34.784999999999997</v>
      </c>
      <c r="CY5913" s="74">
        <v>-8.1850000000000005</v>
      </c>
      <c r="DA5913" s="126">
        <v>-8.57</v>
      </c>
      <c r="DE5913" s="74">
        <v>-8.6300000000000008</v>
      </c>
      <c r="DM5913" s="150">
        <v>-9.4</v>
      </c>
    </row>
    <row r="5914" spans="1:199" x14ac:dyDescent="0.25">
      <c r="A5914" s="127">
        <v>45999</v>
      </c>
      <c r="B5914" s="24" t="s">
        <v>171</v>
      </c>
      <c r="C5914" s="21">
        <f t="shared" si="105"/>
        <v>-14.765000000000001</v>
      </c>
      <c r="BC5914" s="74">
        <v>-7.88</v>
      </c>
      <c r="BI5914" s="106">
        <v>-6.8849999999999998</v>
      </c>
    </row>
    <row r="5915" spans="1:199" x14ac:dyDescent="0.25">
      <c r="A5915" s="127">
        <v>46000</v>
      </c>
      <c r="B5915" s="24" t="s">
        <v>138</v>
      </c>
      <c r="C5915" s="21">
        <f t="shared" si="105"/>
        <v>-8.7149999999999999</v>
      </c>
      <c r="DK5915" s="74">
        <v>-8.7149999999999999</v>
      </c>
    </row>
    <row r="5916" spans="1:199" x14ac:dyDescent="0.25">
      <c r="A5916" s="127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27">
        <v>46000</v>
      </c>
      <c r="B5917" s="24" t="s">
        <v>75</v>
      </c>
      <c r="C5917" s="21">
        <f t="shared" si="105"/>
        <v>-7.8949999999999996</v>
      </c>
      <c r="BC5917" s="74">
        <v>-7.8949999999999996</v>
      </c>
    </row>
    <row r="5918" spans="1:199" x14ac:dyDescent="0.25">
      <c r="A5918" s="127">
        <v>46000</v>
      </c>
      <c r="B5918" s="24" t="s">
        <v>113</v>
      </c>
      <c r="C5918" s="21">
        <f t="shared" si="105"/>
        <v>795.36</v>
      </c>
      <c r="BI5918" s="106">
        <v>70.13</v>
      </c>
      <c r="BO5918" s="74">
        <v>97.364999999999995</v>
      </c>
      <c r="BU5918" s="106">
        <v>64.444999999999993</v>
      </c>
      <c r="CA5918" s="106">
        <v>97.165000000000006</v>
      </c>
      <c r="CG5918" s="106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27">
        <v>46000</v>
      </c>
      <c r="B5919" s="24" t="s">
        <v>152</v>
      </c>
      <c r="C5919" s="21">
        <f t="shared" si="105"/>
        <v>-365.27</v>
      </c>
      <c r="CG5919" s="106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27">
        <v>46000</v>
      </c>
      <c r="B5920" s="24" t="s">
        <v>218</v>
      </c>
      <c r="C5920" s="21">
        <f t="shared" si="105"/>
        <v>-75.665000000000006</v>
      </c>
      <c r="BC5920" s="74">
        <v>-8.01</v>
      </c>
      <c r="BO5920" s="74">
        <f>-8.59-8.605-8.59</f>
        <v>-25.785</v>
      </c>
      <c r="CA5920" s="106">
        <f>-8.14-8.185-8.18</f>
        <v>-24.504999999999999</v>
      </c>
      <c r="CG5920" s="106">
        <f>-8.69-8.675</f>
        <v>-17.364999999999998</v>
      </c>
    </row>
    <row r="5921" spans="1:182" x14ac:dyDescent="0.25">
      <c r="A5921" s="127">
        <v>46001</v>
      </c>
      <c r="B5921" s="24" t="s">
        <v>138</v>
      </c>
      <c r="C5921" s="21">
        <f t="shared" si="105"/>
        <v>-9.0850000000000009</v>
      </c>
      <c r="BI5921" s="106">
        <v>-9.0850000000000009</v>
      </c>
    </row>
    <row r="5922" spans="1:182" x14ac:dyDescent="0.25">
      <c r="A5922" s="127">
        <v>46001</v>
      </c>
      <c r="B5922" s="24" t="s">
        <v>75</v>
      </c>
      <c r="C5922" s="21">
        <f t="shared" si="105"/>
        <v>-8.8949999999999996</v>
      </c>
      <c r="BI5922" s="106">
        <v>-8.8949999999999996</v>
      </c>
    </row>
    <row r="5923" spans="1:182" x14ac:dyDescent="0.25">
      <c r="A5923" s="127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27">
        <v>46001</v>
      </c>
      <c r="B5924" s="24" t="s">
        <v>184</v>
      </c>
      <c r="C5924" s="21">
        <f t="shared" si="105"/>
        <v>-123.14</v>
      </c>
      <c r="AN5924" s="74">
        <v>-16.125</v>
      </c>
      <c r="AR5924" s="74">
        <v>-15.51</v>
      </c>
      <c r="AW5924" s="74">
        <v>-8.6300000000000008</v>
      </c>
      <c r="BC5924" s="74">
        <v>-7.87</v>
      </c>
      <c r="BI5924" s="106">
        <v>-16.675000000000001</v>
      </c>
      <c r="BO5924" s="74">
        <v>-17.364999999999998</v>
      </c>
      <c r="BU5924" s="106">
        <v>-16.07</v>
      </c>
      <c r="CA5924" s="106">
        <v>-16.36</v>
      </c>
      <c r="CM5924" s="74">
        <v>-8.5350000000000001</v>
      </c>
    </row>
    <row r="5925" spans="1:182" x14ac:dyDescent="0.25">
      <c r="A5925" s="127">
        <v>46001</v>
      </c>
      <c r="B5925" s="24" t="s">
        <v>183</v>
      </c>
      <c r="C5925" s="21">
        <f t="shared" si="105"/>
        <v>-24.71</v>
      </c>
      <c r="DA5925" s="126">
        <v>-8.09</v>
      </c>
      <c r="DK5925" s="74">
        <v>-16.62</v>
      </c>
    </row>
    <row r="5926" spans="1:182" x14ac:dyDescent="0.25">
      <c r="A5926" s="127">
        <v>46002</v>
      </c>
      <c r="B5926" s="24" t="s">
        <v>115</v>
      </c>
      <c r="C5926" s="21">
        <f t="shared" si="105"/>
        <v>-111.54</v>
      </c>
      <c r="FY5926" s="126">
        <v>-46.15</v>
      </c>
      <c r="FZ5926" s="115">
        <v>-65.39</v>
      </c>
    </row>
    <row r="5927" spans="1:182" x14ac:dyDescent="0.25">
      <c r="A5927" s="127">
        <v>46002</v>
      </c>
      <c r="B5927" s="24" t="s">
        <v>24</v>
      </c>
      <c r="C5927" s="21">
        <f t="shared" si="105"/>
        <v>-16.82</v>
      </c>
      <c r="AW5927" s="74">
        <v>-8.7750000000000004</v>
      </c>
      <c r="BC5927" s="74">
        <v>-8.0449999999999999</v>
      </c>
    </row>
    <row r="5928" spans="1:182" x14ac:dyDescent="0.25">
      <c r="A5928" s="127">
        <v>46002</v>
      </c>
      <c r="B5928" s="24" t="s">
        <v>197</v>
      </c>
      <c r="C5928" s="21">
        <f t="shared" si="105"/>
        <v>-49.625</v>
      </c>
      <c r="BU5928" s="106">
        <v>-15.83</v>
      </c>
      <c r="CG5928" s="106">
        <v>-17.164999999999999</v>
      </c>
      <c r="CS5928" s="74">
        <v>-16.63</v>
      </c>
    </row>
    <row r="5929" spans="1:182" x14ac:dyDescent="0.25">
      <c r="A5929" s="127">
        <v>46002</v>
      </c>
      <c r="B5929" s="24" t="s">
        <v>213</v>
      </c>
      <c r="C5929" s="21">
        <f t="shared" si="105"/>
        <v>-34.4</v>
      </c>
      <c r="CG5929" s="106">
        <v>-34.4</v>
      </c>
    </row>
    <row r="5930" spans="1:182" x14ac:dyDescent="0.25">
      <c r="A5930" s="127">
        <v>46002</v>
      </c>
      <c r="B5930" s="24" t="s">
        <v>213</v>
      </c>
      <c r="C5930" s="21">
        <f t="shared" si="105"/>
        <v>-62.34</v>
      </c>
      <c r="BC5930" s="74">
        <v>-7.81</v>
      </c>
      <c r="BI5930" s="106">
        <v>-8.75</v>
      </c>
      <c r="BO5930" s="74">
        <f>-8.68-7.215</f>
        <v>-15.895</v>
      </c>
      <c r="BU5930" s="106">
        <f>-8.165-7.95</f>
        <v>-16.114999999999998</v>
      </c>
      <c r="CA5930" s="106">
        <f>-7.185-6.585</f>
        <v>-13.77</v>
      </c>
    </row>
    <row r="5931" spans="1:182" x14ac:dyDescent="0.25">
      <c r="A5931" s="127">
        <v>46003</v>
      </c>
      <c r="B5931" s="24" t="s">
        <v>138</v>
      </c>
      <c r="C5931" s="21">
        <f t="shared" si="105"/>
        <v>-25.52</v>
      </c>
      <c r="BO5931" s="74">
        <v>-17.285</v>
      </c>
      <c r="BU5931" s="106">
        <v>-8.2349999999999994</v>
      </c>
    </row>
    <row r="5932" spans="1:182" x14ac:dyDescent="0.25">
      <c r="A5932" s="127">
        <v>46003</v>
      </c>
      <c r="B5932" s="24" t="s">
        <v>25</v>
      </c>
      <c r="C5932" s="21">
        <f t="shared" si="105"/>
        <v>-50.414999999999999</v>
      </c>
      <c r="CM5932" s="74">
        <v>-33.76</v>
      </c>
      <c r="CS5932" s="74">
        <v>-16.655000000000001</v>
      </c>
    </row>
    <row r="5933" spans="1:182" x14ac:dyDescent="0.25">
      <c r="A5933" s="127">
        <v>46003</v>
      </c>
      <c r="B5933" s="24" t="s">
        <v>212</v>
      </c>
      <c r="C5933" s="21">
        <f t="shared" si="105"/>
        <v>-7</v>
      </c>
      <c r="BO5933" s="74">
        <v>-7</v>
      </c>
    </row>
    <row r="5934" spans="1:182" x14ac:dyDescent="0.25">
      <c r="A5934" s="127">
        <v>46006</v>
      </c>
      <c r="B5934" s="24" t="s">
        <v>113</v>
      </c>
      <c r="C5934" s="21">
        <f t="shared" si="105"/>
        <v>506.77</v>
      </c>
      <c r="BU5934" s="106">
        <v>63.045000000000002</v>
      </c>
      <c r="EA5934" s="74">
        <v>443.72500000000002</v>
      </c>
    </row>
    <row r="5935" spans="1:182" x14ac:dyDescent="0.25">
      <c r="A5935" s="127">
        <v>46006</v>
      </c>
      <c r="B5935" s="24" t="s">
        <v>64</v>
      </c>
      <c r="C5935" s="21">
        <f t="shared" si="105"/>
        <v>0</v>
      </c>
      <c r="AW5935" s="74">
        <v>-8.68</v>
      </c>
      <c r="AY5935" s="126">
        <v>8.68</v>
      </c>
      <c r="BU5935" s="106">
        <v>-63.045000000000002</v>
      </c>
      <c r="BW5935" s="126">
        <v>63.045000000000002</v>
      </c>
      <c r="EA5935" s="74">
        <v>-8.01</v>
      </c>
      <c r="EC5935" s="126">
        <v>8.01</v>
      </c>
    </row>
    <row r="5936" spans="1:182" x14ac:dyDescent="0.25">
      <c r="A5936" s="127">
        <v>46007</v>
      </c>
      <c r="B5936" s="24" t="s">
        <v>20</v>
      </c>
      <c r="C5936" s="21">
        <f t="shared" ref="C5936:C5972" si="106">SUM(D5936:JT5936)</f>
        <v>-57.015000000000001</v>
      </c>
      <c r="AW5936" s="74">
        <v>-7.99</v>
      </c>
      <c r="BC5936" s="74">
        <v>-7.8849999999999998</v>
      </c>
      <c r="BI5936" s="106">
        <v>-8.91</v>
      </c>
      <c r="BO5936" s="74">
        <v>-6.81</v>
      </c>
      <c r="BU5936" s="106">
        <v>-8.1950000000000003</v>
      </c>
      <c r="CA5936" s="106">
        <v>-8.6850000000000005</v>
      </c>
      <c r="CM5936" s="74">
        <v>-8.5399999999999991</v>
      </c>
    </row>
    <row r="5937" spans="1:248" x14ac:dyDescent="0.25">
      <c r="A5937" s="127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27">
        <v>46007</v>
      </c>
      <c r="B5938" s="24" t="s">
        <v>48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27">
        <v>46007</v>
      </c>
      <c r="B5939" s="24" t="s">
        <v>44</v>
      </c>
      <c r="C5939" s="21">
        <f t="shared" si="106"/>
        <v>-64.319999999999993</v>
      </c>
      <c r="GU5939" s="110">
        <v>-3.04</v>
      </c>
      <c r="HR5939" s="92">
        <v>-3.18</v>
      </c>
      <c r="IN5939" s="42">
        <f>-25.1-33</f>
        <v>-58.1</v>
      </c>
    </row>
    <row r="5940" spans="1:248" x14ac:dyDescent="0.25">
      <c r="A5940" s="127">
        <v>46007</v>
      </c>
      <c r="B5940" s="24" t="s">
        <v>115</v>
      </c>
      <c r="C5940" s="21">
        <f t="shared" ref="C5940:C5949" si="107">SUM(D5940:JT5940)</f>
        <v>84.915000000000006</v>
      </c>
      <c r="E5940" s="145">
        <v>58.344999999999999</v>
      </c>
      <c r="HI5940" s="182">
        <v>26.57</v>
      </c>
    </row>
    <row r="5941" spans="1:248" x14ac:dyDescent="0.25">
      <c r="A5941" s="127">
        <v>46007</v>
      </c>
      <c r="B5941" s="24" t="s">
        <v>48</v>
      </c>
      <c r="C5941" s="21">
        <f t="shared" si="107"/>
        <v>-16.84</v>
      </c>
      <c r="AR5941" s="74">
        <v>-16.84</v>
      </c>
    </row>
    <row r="5942" spans="1:248" x14ac:dyDescent="0.25">
      <c r="A5942" s="127">
        <v>46008</v>
      </c>
      <c r="B5942" s="24" t="s">
        <v>169</v>
      </c>
      <c r="C5942" s="21">
        <f t="shared" si="107"/>
        <v>-33.715000000000003</v>
      </c>
      <c r="E5942" s="145">
        <v>-33.715000000000003</v>
      </c>
    </row>
    <row r="5943" spans="1:248" x14ac:dyDescent="0.25">
      <c r="A5943" s="127">
        <v>46008</v>
      </c>
      <c r="B5943" s="24" t="s">
        <v>48</v>
      </c>
      <c r="C5943" s="21">
        <f t="shared" si="107"/>
        <v>-13.25</v>
      </c>
      <c r="HI5943" s="182">
        <v>-13.25</v>
      </c>
    </row>
    <row r="5944" spans="1:248" x14ac:dyDescent="0.25">
      <c r="A5944" s="127">
        <v>46008</v>
      </c>
      <c r="B5944" s="24" t="s">
        <v>138</v>
      </c>
      <c r="C5944" s="21">
        <f t="shared" si="107"/>
        <v>-25.27</v>
      </c>
      <c r="BI5944" s="106">
        <v>-8.9</v>
      </c>
      <c r="BW5944" s="126">
        <v>-7.03</v>
      </c>
      <c r="CA5944" s="106">
        <v>-9.34</v>
      </c>
    </row>
    <row r="5945" spans="1:248" x14ac:dyDescent="0.25">
      <c r="A5945" s="127">
        <v>46008</v>
      </c>
      <c r="B5945" s="24" t="s">
        <v>224</v>
      </c>
      <c r="C5945" s="21">
        <f t="shared" si="107"/>
        <v>-25.335000000000001</v>
      </c>
      <c r="CM5945" s="74">
        <v>-8.4350000000000005</v>
      </c>
      <c r="CX5945" s="69">
        <v>-16.899999999999999</v>
      </c>
    </row>
    <row r="5946" spans="1:248" x14ac:dyDescent="0.25">
      <c r="A5946" s="127">
        <v>46008</v>
      </c>
      <c r="B5946" s="24" t="s">
        <v>193</v>
      </c>
      <c r="C5946" s="21">
        <f t="shared" si="107"/>
        <v>-29.68</v>
      </c>
      <c r="BW5946" s="126">
        <v>-6.3</v>
      </c>
      <c r="CA5946" s="106">
        <v>-8.1349999999999998</v>
      </c>
      <c r="CF5946" s="69">
        <v>-8.4849999999999994</v>
      </c>
      <c r="CM5946" s="74">
        <v>-6.76</v>
      </c>
    </row>
    <row r="5947" spans="1:248" x14ac:dyDescent="0.25">
      <c r="A5947" s="127">
        <v>46008</v>
      </c>
      <c r="B5947" s="24" t="s">
        <v>39</v>
      </c>
      <c r="C5947" s="21">
        <f t="shared" si="107"/>
        <v>-67.105000000000004</v>
      </c>
      <c r="AC5947" s="74">
        <v>-7.665</v>
      </c>
      <c r="BI5947" s="106">
        <v>-8.9149999999999991</v>
      </c>
      <c r="BO5947" s="74">
        <v>-8.4949999999999992</v>
      </c>
      <c r="CA5947" s="106">
        <v>-8.1999999999999993</v>
      </c>
      <c r="CF5947" s="69">
        <f>-8.495-8.445-8.455</f>
        <v>-25.395</v>
      </c>
      <c r="CM5947" s="74">
        <v>-8.4350000000000005</v>
      </c>
    </row>
    <row r="5948" spans="1:248" x14ac:dyDescent="0.25">
      <c r="A5948" s="127">
        <v>46008</v>
      </c>
      <c r="B5948" s="24" t="s">
        <v>184</v>
      </c>
      <c r="C5948" s="21">
        <f t="shared" si="107"/>
        <v>-31.75</v>
      </c>
      <c r="BW5948" s="126">
        <v>-6.06</v>
      </c>
      <c r="EA5948" s="74">
        <v>-25.69</v>
      </c>
    </row>
    <row r="5949" spans="1:248" x14ac:dyDescent="0.25">
      <c r="A5949" s="127">
        <v>46009</v>
      </c>
      <c r="B5949" s="24" t="s">
        <v>115</v>
      </c>
      <c r="C5949" s="21">
        <f t="shared" si="107"/>
        <v>28.52</v>
      </c>
      <c r="D5949" s="145">
        <v>28.52</v>
      </c>
    </row>
    <row r="5950" spans="1:248" x14ac:dyDescent="0.25">
      <c r="A5950" s="127">
        <v>46010</v>
      </c>
      <c r="B5950" s="24" t="s">
        <v>113</v>
      </c>
      <c r="C5950" s="21">
        <f t="shared" si="106"/>
        <v>438.58600000000001</v>
      </c>
      <c r="AR5950" s="74">
        <v>28.36</v>
      </c>
      <c r="BC5950" s="74">
        <v>31.91</v>
      </c>
      <c r="BI5950" s="106">
        <v>32.81</v>
      </c>
      <c r="BO5950" s="74">
        <v>34.305</v>
      </c>
      <c r="CA5950" s="106">
        <v>33.68</v>
      </c>
      <c r="CG5950" s="106">
        <v>34.19</v>
      </c>
      <c r="CM5950" s="74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27">
        <v>46010</v>
      </c>
      <c r="B5951" s="24" t="s">
        <v>202</v>
      </c>
      <c r="C5951" s="21">
        <f t="shared" si="106"/>
        <v>-22.62</v>
      </c>
      <c r="D5951" s="145">
        <v>-16.399999999999999</v>
      </c>
      <c r="E5951" s="145">
        <v>-6.22</v>
      </c>
    </row>
    <row r="5952" spans="1:248" x14ac:dyDescent="0.25">
      <c r="A5952" s="127">
        <v>46010</v>
      </c>
      <c r="B5952" s="24" t="s">
        <v>184</v>
      </c>
      <c r="C5952" s="21">
        <f t="shared" si="106"/>
        <v>-49.755000000000003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27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27">
        <v>46010</v>
      </c>
      <c r="B5954" s="24" t="s">
        <v>39</v>
      </c>
      <c r="C5954" s="21">
        <f t="shared" si="106"/>
        <v>-15.36</v>
      </c>
      <c r="CM5954" s="74">
        <v>-15.36</v>
      </c>
    </row>
    <row r="5955" spans="1:199" x14ac:dyDescent="0.25">
      <c r="A5955" s="127">
        <v>46010</v>
      </c>
      <c r="B5955" s="24" t="s">
        <v>20</v>
      </c>
      <c r="C5955" s="21">
        <f t="shared" si="106"/>
        <v>-31.885000000000002</v>
      </c>
      <c r="CG5955" s="106">
        <v>-8.5500000000000007</v>
      </c>
      <c r="CM5955" s="74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27">
        <v>46010</v>
      </c>
      <c r="B5956" s="24" t="s">
        <v>44</v>
      </c>
      <c r="C5956" s="21">
        <f t="shared" si="106"/>
        <v>-113.931</v>
      </c>
      <c r="GK5956" s="79">
        <v>-27.045999999999999</v>
      </c>
      <c r="GQ5956" s="92">
        <v>-86.885000000000005</v>
      </c>
    </row>
    <row r="5957" spans="1:199" x14ac:dyDescent="0.25">
      <c r="A5957" s="127">
        <v>46011</v>
      </c>
      <c r="B5957" s="24" t="s">
        <v>75</v>
      </c>
      <c r="C5957" s="21">
        <f t="shared" si="106"/>
        <v>-30.855</v>
      </c>
      <c r="BC5957" s="74">
        <v>-7.9850000000000003</v>
      </c>
      <c r="BI5957" s="106">
        <v>-7.7750000000000004</v>
      </c>
      <c r="BW5957" s="126">
        <v>-6.65</v>
      </c>
      <c r="CA5957" s="106">
        <v>-8.4450000000000003</v>
      </c>
    </row>
    <row r="5958" spans="1:199" x14ac:dyDescent="0.25">
      <c r="A5958" s="127">
        <v>46011</v>
      </c>
      <c r="B5958" s="24" t="s">
        <v>79</v>
      </c>
      <c r="C5958" s="21">
        <f t="shared" si="106"/>
        <v>-24.47</v>
      </c>
      <c r="BW5958" s="126">
        <v>-15.89</v>
      </c>
      <c r="CG5958" s="106">
        <v>-8.58</v>
      </c>
    </row>
    <row r="5959" spans="1:199" x14ac:dyDescent="0.25">
      <c r="A5959" s="127">
        <v>46011</v>
      </c>
      <c r="B5959" s="24" t="s">
        <v>213</v>
      </c>
      <c r="C5959" s="21">
        <f t="shared" si="106"/>
        <v>-154.72</v>
      </c>
      <c r="AR5959" s="74">
        <v>-8.09</v>
      </c>
      <c r="AW5959" s="74">
        <v>-25.355</v>
      </c>
      <c r="BC5959" s="74">
        <v>-16.035</v>
      </c>
      <c r="BI5959" s="106">
        <v>-25.035</v>
      </c>
      <c r="BO5959" s="74">
        <v>-34.305</v>
      </c>
      <c r="BW5959" s="126">
        <v>-21.01</v>
      </c>
      <c r="CA5959" s="106">
        <v>-16.844999999999999</v>
      </c>
      <c r="CM5959" s="74">
        <v>-8.0449999999999999</v>
      </c>
    </row>
    <row r="5960" spans="1:199" x14ac:dyDescent="0.25">
      <c r="A5960" s="127">
        <v>46011</v>
      </c>
      <c r="B5960" s="24" t="s">
        <v>162</v>
      </c>
      <c r="C5960" s="21">
        <f t="shared" si="106"/>
        <v>-17.059999999999999</v>
      </c>
      <c r="CG5960" s="106">
        <v>-17.059999999999999</v>
      </c>
    </row>
    <row r="5961" spans="1:199" x14ac:dyDescent="0.25">
      <c r="A5961" s="127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74">
        <v>-6.59</v>
      </c>
    </row>
    <row r="5962" spans="1:199" x14ac:dyDescent="0.25">
      <c r="A5962" s="127">
        <v>46011</v>
      </c>
      <c r="B5962" s="24" t="s">
        <v>218</v>
      </c>
      <c r="C5962" s="21">
        <f t="shared" si="106"/>
        <v>-24.45</v>
      </c>
      <c r="BC5962" s="74">
        <v>-7.89</v>
      </c>
      <c r="CA5962" s="106">
        <f>-8.17-8.39</f>
        <v>-16.559999999999999</v>
      </c>
    </row>
    <row r="5963" spans="1:199" x14ac:dyDescent="0.25">
      <c r="A5963" s="127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27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27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27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0">
        <v>-66.84</v>
      </c>
      <c r="EM5966" s="150">
        <v>-100.4</v>
      </c>
      <c r="EQ5966" s="46">
        <v>-303.39999999999998</v>
      </c>
      <c r="EU5966" s="126">
        <v>-306.56</v>
      </c>
      <c r="FO5966" s="210">
        <v>-24.6</v>
      </c>
      <c r="GH5966" s="106">
        <v>-65.849999999999994</v>
      </c>
      <c r="GI5966" s="251">
        <v>-49.65</v>
      </c>
    </row>
    <row r="5967" spans="1:199" x14ac:dyDescent="0.25">
      <c r="A5967" s="127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27">
        <v>46014</v>
      </c>
      <c r="B5968" s="24" t="s">
        <v>197</v>
      </c>
      <c r="C5968" s="21">
        <f t="shared" si="106"/>
        <v>-25.1</v>
      </c>
      <c r="CM5968" s="74">
        <v>-16.614999999999998</v>
      </c>
      <c r="CR5968" s="69">
        <v>-8.4849999999999994</v>
      </c>
    </row>
    <row r="5969" spans="1:253" x14ac:dyDescent="0.25">
      <c r="A5969" s="127">
        <v>46015</v>
      </c>
      <c r="B5969" s="24" t="s">
        <v>138</v>
      </c>
      <c r="C5969" s="21">
        <f t="shared" si="106"/>
        <v>-15.664999999999999</v>
      </c>
      <c r="AW5969" s="74">
        <v>-8.16</v>
      </c>
      <c r="BC5969" s="74">
        <v>-7.5049999999999999</v>
      </c>
    </row>
    <row r="5970" spans="1:253" x14ac:dyDescent="0.25">
      <c r="A5970" s="127">
        <v>46015</v>
      </c>
      <c r="B5970" s="24" t="s">
        <v>48</v>
      </c>
      <c r="C5970" s="21">
        <f t="shared" si="106"/>
        <v>-61.64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27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27">
        <v>46015</v>
      </c>
      <c r="B5972" s="24" t="s">
        <v>113</v>
      </c>
      <c r="C5972" s="21">
        <f t="shared" si="106"/>
        <v>1118.32</v>
      </c>
      <c r="AN5972" s="74">
        <v>35.17</v>
      </c>
      <c r="AR5972" s="74">
        <v>26.274999999999999</v>
      </c>
      <c r="AW5972" s="74">
        <v>31.54</v>
      </c>
      <c r="BC5972" s="74">
        <f>106.135+40.08</f>
        <v>146.215</v>
      </c>
      <c r="BI5972" s="106">
        <f>71.84+70.6</f>
        <v>142.44</v>
      </c>
      <c r="BO5972" s="74">
        <v>68.709999999999994</v>
      </c>
      <c r="BU5972" s="106">
        <v>63.63</v>
      </c>
      <c r="CA5972" s="106">
        <v>100.645</v>
      </c>
      <c r="CG5972" s="106">
        <v>69.290000000000006</v>
      </c>
      <c r="CM5972" s="74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27">
        <v>46015</v>
      </c>
      <c r="B5973" s="24" t="s">
        <v>138</v>
      </c>
      <c r="C5973" s="21">
        <f t="shared" ref="C5973" si="108">SUM(D5973:JT5973)</f>
        <v>-41.914999999999999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27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27">
        <v>46016</v>
      </c>
      <c r="B5975" s="24" t="s">
        <v>152</v>
      </c>
      <c r="C5975" s="21">
        <f t="shared" si="109"/>
        <v>-581.69000000000005</v>
      </c>
      <c r="AC5975" s="74">
        <v>-34.484999999999999</v>
      </c>
      <c r="AG5975" s="106">
        <v>-30.184999999999999</v>
      </c>
      <c r="AN5975" s="74">
        <v>-35.17</v>
      </c>
      <c r="AR5975" s="74">
        <v>-26.274999999999999</v>
      </c>
      <c r="BC5975" s="74">
        <f>-31.915-31.945</f>
        <v>-63.86</v>
      </c>
      <c r="BI5975" s="106">
        <f>-31.395-31.255</f>
        <v>-62.65</v>
      </c>
      <c r="BU5975" s="106">
        <f>-31.905-31.725</f>
        <v>-63.63</v>
      </c>
      <c r="CA5975" s="106">
        <f>-33.465-33.525</f>
        <v>-66.989999999999995</v>
      </c>
      <c r="CG5975" s="106">
        <f>-34.555-34.735</f>
        <v>-69.290000000000006</v>
      </c>
      <c r="CM5975" s="74">
        <f>-32.245-31.07</f>
        <v>-63.314999999999998</v>
      </c>
      <c r="EA5975" s="74">
        <v>-65.84</v>
      </c>
    </row>
    <row r="5976" spans="1:253" x14ac:dyDescent="0.25">
      <c r="A5976" s="127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74">
        <v>-13.68</v>
      </c>
      <c r="AW5976" s="74">
        <v>-8.52</v>
      </c>
      <c r="BC5976" s="74">
        <v>-8.4700000000000006</v>
      </c>
      <c r="CM5976" s="74">
        <v>-8.5299999999999994</v>
      </c>
      <c r="CS5976" s="74">
        <v>-8.86</v>
      </c>
      <c r="CU5976" s="126">
        <v>-8.0549999999999997</v>
      </c>
    </row>
    <row r="5977" spans="1:253" x14ac:dyDescent="0.25">
      <c r="A5977" s="127">
        <v>46016</v>
      </c>
      <c r="B5977" s="24" t="s">
        <v>133</v>
      </c>
      <c r="C5977" s="21">
        <f t="shared" si="109"/>
        <v>-166.465</v>
      </c>
      <c r="BC5977" s="74">
        <v>-32.65</v>
      </c>
      <c r="BI5977" s="106">
        <v>-32.86</v>
      </c>
      <c r="BO5977" s="74">
        <v>-34.35</v>
      </c>
      <c r="CM5977" s="74">
        <v>-32.984999999999999</v>
      </c>
      <c r="CS5977" s="74">
        <v>-16.3</v>
      </c>
      <c r="DE5977" s="74">
        <v>-17.32</v>
      </c>
    </row>
    <row r="5978" spans="1:253" x14ac:dyDescent="0.25">
      <c r="A5978" s="127">
        <v>46016</v>
      </c>
      <c r="B5978" s="24" t="s">
        <v>193</v>
      </c>
      <c r="C5978" s="21">
        <f t="shared" si="109"/>
        <v>-8.5</v>
      </c>
      <c r="CY5978" s="74">
        <v>-8.5</v>
      </c>
    </row>
    <row r="5979" spans="1:253" x14ac:dyDescent="0.25">
      <c r="A5979" s="127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27">
        <v>46016</v>
      </c>
      <c r="B5980" s="24" t="s">
        <v>213</v>
      </c>
      <c r="C5980" s="21">
        <f t="shared" si="109"/>
        <v>-65.27</v>
      </c>
      <c r="BI5980" s="106">
        <v>-31.31</v>
      </c>
      <c r="BO5980" s="74">
        <v>-17.164999999999999</v>
      </c>
      <c r="CA5980" s="106">
        <v>-16.795000000000002</v>
      </c>
    </row>
    <row r="5981" spans="1:253" x14ac:dyDescent="0.25">
      <c r="A5981" s="127">
        <v>46015</v>
      </c>
      <c r="B5981" s="29" t="s">
        <v>20</v>
      </c>
      <c r="C5981" s="21">
        <f t="shared" ref="C5981:C5988" si="110">SUM(D5981:JT5981)</f>
        <v>-5.96</v>
      </c>
      <c r="IQ5981" s="262">
        <v>-1.7</v>
      </c>
      <c r="IR5981" s="262">
        <v>-1.95</v>
      </c>
      <c r="IS5981" s="262">
        <v>-2.31</v>
      </c>
    </row>
    <row r="5982" spans="1:253" x14ac:dyDescent="0.25">
      <c r="A5982" s="127">
        <v>46016</v>
      </c>
      <c r="B5982" s="24" t="s">
        <v>218</v>
      </c>
      <c r="C5982" s="21">
        <f t="shared" si="110"/>
        <v>35.164999999999999</v>
      </c>
      <c r="CU5982" s="126">
        <f>9.2+8.055</f>
        <v>17.254999999999999</v>
      </c>
      <c r="DG5982" s="126">
        <f>9.36+8.55</f>
        <v>17.91</v>
      </c>
    </row>
    <row r="5983" spans="1:253" x14ac:dyDescent="0.25">
      <c r="A5983" s="127">
        <v>46017</v>
      </c>
      <c r="B5983" s="24" t="s">
        <v>184</v>
      </c>
      <c r="C5983" s="21">
        <f t="shared" si="110"/>
        <v>-62.884999999999998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27">
        <v>46017</v>
      </c>
      <c r="B5984" s="24" t="s">
        <v>20</v>
      </c>
      <c r="C5984" s="21">
        <f t="shared" si="110"/>
        <v>-13.68</v>
      </c>
      <c r="AC5984" s="74">
        <v>-5.22</v>
      </c>
      <c r="CA5984" s="106">
        <v>-8.4600000000000009</v>
      </c>
    </row>
    <row r="5985" spans="1:246" x14ac:dyDescent="0.25">
      <c r="A5985" s="127">
        <v>46017</v>
      </c>
      <c r="B5985" s="24" t="s">
        <v>212</v>
      </c>
      <c r="C5985" s="21">
        <f t="shared" si="110"/>
        <v>-7.2249999999999996</v>
      </c>
      <c r="BO5985" s="74">
        <v>-7.2249999999999996</v>
      </c>
    </row>
    <row r="5986" spans="1:246" x14ac:dyDescent="0.25">
      <c r="A5986" s="127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106">
        <v>-7.7</v>
      </c>
      <c r="BO5986" s="74">
        <v>-8.61</v>
      </c>
      <c r="CA5986" s="106">
        <v>-8.4</v>
      </c>
      <c r="CM5986" s="74">
        <v>-7.83</v>
      </c>
      <c r="CY5986" s="74">
        <v>-8.625</v>
      </c>
      <c r="DG5986" s="126">
        <v>-8.5500000000000007</v>
      </c>
    </row>
    <row r="5987" spans="1:246" x14ac:dyDescent="0.25">
      <c r="A5987" s="127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74">
        <v>-17.605</v>
      </c>
      <c r="BI5987" s="106">
        <v>-7.84</v>
      </c>
      <c r="BO5987" s="74">
        <v>-8.5850000000000009</v>
      </c>
    </row>
    <row r="5988" spans="1:246" x14ac:dyDescent="0.25">
      <c r="A5988" s="127">
        <v>46020</v>
      </c>
      <c r="B5988" s="29" t="s">
        <v>99</v>
      </c>
      <c r="C5988" s="21">
        <f t="shared" si="110"/>
        <v>9.34</v>
      </c>
      <c r="F5988" s="145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74">
        <v>0.45</v>
      </c>
      <c r="CY5988" s="74">
        <v>0.86499999999999999</v>
      </c>
      <c r="DK5988" s="74">
        <v>-1.075</v>
      </c>
      <c r="DM5988" s="150">
        <v>-0.1</v>
      </c>
      <c r="EA5988" s="74">
        <v>-16.555</v>
      </c>
      <c r="EC5988" s="126">
        <v>16.600000000000001</v>
      </c>
      <c r="EG5988" s="74">
        <v>8.6999999999999993</v>
      </c>
      <c r="EI5988" s="150">
        <v>0.08</v>
      </c>
      <c r="EM5988" s="150">
        <v>-7.62</v>
      </c>
      <c r="EO5988" s="69">
        <v>-1.25</v>
      </c>
      <c r="EP5988" s="74">
        <v>1.25</v>
      </c>
      <c r="EQ5988" s="46">
        <v>8.01</v>
      </c>
      <c r="EU5988" s="126">
        <v>-0.06</v>
      </c>
      <c r="GZ5988" s="106">
        <v>-10.1</v>
      </c>
      <c r="II5988" s="283">
        <v>-2.25</v>
      </c>
      <c r="IJ5988" s="268">
        <v>-0.12</v>
      </c>
      <c r="IK5988" s="262">
        <v>0.02</v>
      </c>
      <c r="IL5988" s="262">
        <v>-0.01</v>
      </c>
    </row>
    <row r="5989" spans="1:246" x14ac:dyDescent="0.25">
      <c r="A5989" s="127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6">
        <v>-13.4</v>
      </c>
    </row>
    <row r="5990" spans="1:246" x14ac:dyDescent="0.25">
      <c r="A5990" s="127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27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74">
        <v>86.84</v>
      </c>
      <c r="BU5991" s="106">
        <v>67.81</v>
      </c>
      <c r="CA5991" s="106">
        <v>83.644999999999996</v>
      </c>
      <c r="CM5991" s="74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27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27">
        <v>46021</v>
      </c>
      <c r="B5993" s="24" t="s">
        <v>133</v>
      </c>
      <c r="C5993" s="21">
        <f t="shared" si="111"/>
        <v>-204.14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106">
        <v>-25.04</v>
      </c>
      <c r="CA5993" s="106">
        <v>-16.754999999999999</v>
      </c>
      <c r="CM5993" s="74">
        <v>-17.16</v>
      </c>
      <c r="CS5993" s="74">
        <v>-17.18</v>
      </c>
      <c r="DE5993" s="74">
        <v>-48.21</v>
      </c>
    </row>
    <row r="5994" spans="1:246" x14ac:dyDescent="0.25">
      <c r="A5994" s="127">
        <v>46021</v>
      </c>
      <c r="B5994" s="24" t="s">
        <v>184</v>
      </c>
      <c r="C5994" s="21">
        <f t="shared" si="111"/>
        <v>-237.4</v>
      </c>
      <c r="AN5994" s="74">
        <v>-17.605</v>
      </c>
      <c r="AW5994" s="74">
        <v>-24.175000000000001</v>
      </c>
      <c r="BC5994" s="74">
        <v>-31.78</v>
      </c>
      <c r="BO5994" s="74">
        <v>-18.145</v>
      </c>
      <c r="CA5994" s="106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6">
        <v>-8.7100000000000009</v>
      </c>
    </row>
    <row r="5995" spans="1:246" x14ac:dyDescent="0.25">
      <c r="A5995" s="127">
        <v>46021</v>
      </c>
      <c r="B5995" s="24" t="s">
        <v>213</v>
      </c>
      <c r="C5995" s="21">
        <f t="shared" si="111"/>
        <v>-31.14</v>
      </c>
      <c r="BC5995" s="74">
        <v>-31.14</v>
      </c>
    </row>
    <row r="5996" spans="1:246" x14ac:dyDescent="0.25">
      <c r="A5996" s="127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74">
        <v>-17.204999999999998</v>
      </c>
      <c r="BU5996" s="106">
        <v>-25.92</v>
      </c>
      <c r="CA5996" s="106">
        <v>-17.375</v>
      </c>
      <c r="CS5996" s="74">
        <v>-17.004999999999999</v>
      </c>
    </row>
    <row r="5997" spans="1:246" x14ac:dyDescent="0.25">
      <c r="A5997" s="127">
        <v>46021</v>
      </c>
      <c r="B5997" s="24" t="s">
        <v>218</v>
      </c>
      <c r="C5997" s="21">
        <f t="shared" si="111"/>
        <v>-33.93</v>
      </c>
      <c r="BO5997" s="74">
        <f>-8.585-8.555</f>
        <v>-17.14</v>
      </c>
      <c r="CA5997" s="106">
        <f>-8.415-8.375</f>
        <v>-16.79</v>
      </c>
    </row>
    <row r="5998" spans="1:246" x14ac:dyDescent="0.25">
      <c r="A5998" s="127">
        <v>46022</v>
      </c>
      <c r="B5998" s="24" t="s">
        <v>25</v>
      </c>
      <c r="C5998" s="21">
        <f t="shared" si="111"/>
        <v>-33.15</v>
      </c>
      <c r="BO5998" s="74">
        <v>-17.16</v>
      </c>
      <c r="CA5998" s="106">
        <v>-15.99</v>
      </c>
    </row>
    <row r="5999" spans="1:246" x14ac:dyDescent="0.25">
      <c r="A5999" s="127">
        <v>46022</v>
      </c>
      <c r="B5999" s="24" t="s">
        <v>213</v>
      </c>
      <c r="C5999" s="21">
        <f t="shared" si="111"/>
        <v>-31.27</v>
      </c>
      <c r="DU5999" s="106">
        <v>-15.37</v>
      </c>
      <c r="EC5999" s="126">
        <v>-15.9</v>
      </c>
    </row>
    <row r="6000" spans="1:246" x14ac:dyDescent="0.25">
      <c r="A6000" s="127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106">
        <v>-8.4450000000000003</v>
      </c>
    </row>
    <row r="6001" spans="1:214" x14ac:dyDescent="0.25">
      <c r="A6001" s="127">
        <v>46024</v>
      </c>
      <c r="B6001" s="24" t="s">
        <v>24</v>
      </c>
      <c r="C6001" s="21">
        <f t="shared" si="111"/>
        <v>-8.59</v>
      </c>
      <c r="BO6001" s="74">
        <v>-8.59</v>
      </c>
    </row>
    <row r="6002" spans="1:214" x14ac:dyDescent="0.25">
      <c r="A6002" s="127">
        <v>46024</v>
      </c>
      <c r="B6002" s="24" t="s">
        <v>20</v>
      </c>
      <c r="C6002" s="21">
        <f t="shared" si="111"/>
        <v>-25.655000000000001</v>
      </c>
      <c r="BO6002" s="74">
        <v>-8.6</v>
      </c>
      <c r="BU6002" s="106">
        <v>-8.4049999999999994</v>
      </c>
      <c r="CM6002" s="74">
        <v>-8.65</v>
      </c>
    </row>
    <row r="6003" spans="1:214" x14ac:dyDescent="0.25">
      <c r="A6003" s="127">
        <v>46024</v>
      </c>
      <c r="B6003" s="24" t="s">
        <v>24</v>
      </c>
      <c r="C6003" s="21">
        <f t="shared" si="111"/>
        <v>-9.36</v>
      </c>
      <c r="DG6003" s="126">
        <v>-9.36</v>
      </c>
    </row>
    <row r="6004" spans="1:214" x14ac:dyDescent="0.25">
      <c r="A6004" s="127">
        <v>46027</v>
      </c>
      <c r="B6004" s="24" t="s">
        <v>218</v>
      </c>
      <c r="C6004" s="21">
        <f t="shared" si="111"/>
        <v>51.75</v>
      </c>
      <c r="DR6004" s="46">
        <v>8.31</v>
      </c>
      <c r="DW6004" s="126">
        <f>8.11+9+8.61</f>
        <v>25.72</v>
      </c>
      <c r="EC6004" s="126">
        <f>9.1+8.62</f>
        <v>17.72</v>
      </c>
    </row>
    <row r="6005" spans="1:214" x14ac:dyDescent="0.25">
      <c r="A6005" s="127">
        <v>46027</v>
      </c>
      <c r="B6005" s="24" t="s">
        <v>48</v>
      </c>
      <c r="C6005" s="21">
        <f t="shared" si="111"/>
        <v>-8.59</v>
      </c>
      <c r="EU6005" s="126">
        <v>-8.59</v>
      </c>
    </row>
    <row r="6006" spans="1:214" x14ac:dyDescent="0.25">
      <c r="A6006" s="127">
        <v>46028</v>
      </c>
      <c r="B6006" s="24" t="s">
        <v>146</v>
      </c>
      <c r="C6006" s="21">
        <f t="shared" si="111"/>
        <v>470.77499999999998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27">
        <v>46028</v>
      </c>
      <c r="B6007" s="24" t="s">
        <v>20</v>
      </c>
      <c r="C6007" s="21">
        <f t="shared" si="111"/>
        <v>-31.42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27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74">
        <v>-8.6199999999999992</v>
      </c>
    </row>
    <row r="6009" spans="1:214" x14ac:dyDescent="0.25">
      <c r="A6009" s="127">
        <v>46028</v>
      </c>
      <c r="B6009" s="24" t="s">
        <v>138</v>
      </c>
      <c r="C6009" s="21">
        <f t="shared" si="111"/>
        <v>-15.2</v>
      </c>
      <c r="CF6009" s="69">
        <v>-8.42</v>
      </c>
      <c r="CM6009" s="74">
        <v>-6.78</v>
      </c>
    </row>
    <row r="6010" spans="1:214" x14ac:dyDescent="0.25">
      <c r="A6010" s="127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27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27">
        <v>46028</v>
      </c>
      <c r="B6012" s="24" t="s">
        <v>138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27">
        <v>46028</v>
      </c>
      <c r="B6013" s="24" t="s">
        <v>133</v>
      </c>
      <c r="C6013" s="21">
        <f t="shared" si="112"/>
        <v>-24.3</v>
      </c>
      <c r="GI6013" s="251">
        <v>-24.3</v>
      </c>
    </row>
    <row r="6014" spans="1:214" x14ac:dyDescent="0.25">
      <c r="A6014" s="127">
        <v>46029</v>
      </c>
      <c r="B6014" s="24" t="s">
        <v>113</v>
      </c>
      <c r="C6014" s="21">
        <f t="shared" si="112"/>
        <v>892.51499999999999</v>
      </c>
      <c r="V6014" s="74">
        <v>49.58</v>
      </c>
      <c r="AW6014" s="74">
        <v>64.010000000000005</v>
      </c>
      <c r="BC6014" s="74">
        <v>60.86</v>
      </c>
      <c r="BU6014" s="106">
        <v>211.815</v>
      </c>
      <c r="CM6014" s="74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27">
        <v>46029</v>
      </c>
      <c r="B6015" s="24" t="s">
        <v>48</v>
      </c>
      <c r="C6015" s="21">
        <f t="shared" si="112"/>
        <v>-33.164999999999999</v>
      </c>
      <c r="BH6015" s="69">
        <v>-16.885000000000002</v>
      </c>
      <c r="BN6015" s="69">
        <v>-16.28</v>
      </c>
    </row>
    <row r="6016" spans="1:214" x14ac:dyDescent="0.25">
      <c r="A6016" s="127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106">
        <v>-16.170000000000002</v>
      </c>
      <c r="CF6016" s="69">
        <v>-8.39</v>
      </c>
    </row>
    <row r="6017" spans="1:247" x14ac:dyDescent="0.25">
      <c r="A6017" s="127">
        <v>46029</v>
      </c>
      <c r="B6017" s="24" t="s">
        <v>188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74">
        <v>-7.73</v>
      </c>
    </row>
    <row r="6018" spans="1:247" x14ac:dyDescent="0.25">
      <c r="A6018" s="127">
        <v>46029</v>
      </c>
      <c r="B6018" s="24" t="s">
        <v>152</v>
      </c>
      <c r="C6018" s="21">
        <f t="shared" si="111"/>
        <v>-202.64500000000001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27">
        <v>46029</v>
      </c>
      <c r="B6019" s="24" t="s">
        <v>133</v>
      </c>
      <c r="C6019" s="21">
        <f t="shared" si="111"/>
        <v>-116.48</v>
      </c>
      <c r="AW6019" s="74">
        <v>-17.239999999999998</v>
      </c>
      <c r="BC6019" s="74">
        <v>-15.22</v>
      </c>
      <c r="BU6019" s="106">
        <v>-32.619999999999997</v>
      </c>
      <c r="CM6019" s="74">
        <v>-33.06</v>
      </c>
      <c r="CS6019" s="74">
        <v>-18.34</v>
      </c>
    </row>
    <row r="6020" spans="1:247" x14ac:dyDescent="0.25">
      <c r="A6020" s="127">
        <v>46029</v>
      </c>
      <c r="B6020" s="24" t="s">
        <v>184</v>
      </c>
      <c r="C6020" s="21">
        <f t="shared" si="111"/>
        <v>-466.41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106">
        <v>-67.209999999999994</v>
      </c>
      <c r="CF6020" s="69">
        <v>-33.884999999999998</v>
      </c>
      <c r="CM6020" s="74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27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27">
        <v>46029</v>
      </c>
      <c r="B6022" s="24" t="s">
        <v>213</v>
      </c>
      <c r="C6022" s="21">
        <f t="shared" si="111"/>
        <v>-42.405000000000001</v>
      </c>
      <c r="BC6022" s="74">
        <v>-7.64</v>
      </c>
      <c r="BU6022" s="106">
        <v>-16.170000000000002</v>
      </c>
      <c r="CS6022" s="74">
        <v>-18.594999999999999</v>
      </c>
    </row>
    <row r="6023" spans="1:247" x14ac:dyDescent="0.25">
      <c r="A6023" s="127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106">
        <f>-9.035-8.44</f>
        <v>-17.475000000000001</v>
      </c>
    </row>
    <row r="6024" spans="1:247" x14ac:dyDescent="0.25">
      <c r="A6024" s="127">
        <v>46031</v>
      </c>
      <c r="B6024" s="24" t="s">
        <v>44</v>
      </c>
      <c r="C6024" s="21">
        <f t="shared" si="111"/>
        <v>-161.71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27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27">
        <v>46031</v>
      </c>
      <c r="B6026" s="24" t="s">
        <v>184</v>
      </c>
      <c r="C6026" s="21">
        <f t="shared" si="111"/>
        <v>-7.9</v>
      </c>
      <c r="EU6026" s="126">
        <v>-7.9</v>
      </c>
    </row>
    <row r="6027" spans="1:247" x14ac:dyDescent="0.25">
      <c r="A6027" s="127">
        <v>46034</v>
      </c>
      <c r="B6027" s="24" t="s">
        <v>171</v>
      </c>
      <c r="C6027" s="21">
        <f t="shared" si="111"/>
        <v>-9.1999999999999993</v>
      </c>
      <c r="CU6027" s="126">
        <v>-9.1999999999999993</v>
      </c>
    </row>
    <row r="6028" spans="1:247" x14ac:dyDescent="0.25">
      <c r="A6028" s="127">
        <v>46034</v>
      </c>
      <c r="B6028" s="24" t="s">
        <v>133</v>
      </c>
      <c r="C6028" s="21">
        <f t="shared" si="111"/>
        <v>-91.81</v>
      </c>
      <c r="AW6028" s="74">
        <v>-7.9</v>
      </c>
      <c r="AY6028" s="126">
        <v>-8.68</v>
      </c>
      <c r="BB6028" s="69">
        <v>-16.984999999999999</v>
      </c>
      <c r="BN6028" s="69">
        <v>-8.5350000000000001</v>
      </c>
      <c r="BU6028" s="106">
        <v>-31.065000000000001</v>
      </c>
      <c r="CS6028" s="74">
        <f>-9.18-9.465</f>
        <v>-18.645</v>
      </c>
    </row>
    <row r="6029" spans="1:247" x14ac:dyDescent="0.25">
      <c r="A6029" s="127">
        <v>46034</v>
      </c>
      <c r="B6029" s="24" t="s">
        <v>58</v>
      </c>
      <c r="C6029" s="21">
        <f t="shared" si="111"/>
        <v>-28.975000000000001</v>
      </c>
      <c r="CM6029" s="74">
        <v>-8.5050000000000008</v>
      </c>
      <c r="FO6029" s="210">
        <v>-20.47</v>
      </c>
    </row>
    <row r="6030" spans="1:247" x14ac:dyDescent="0.25">
      <c r="A6030" s="127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74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79.42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27">
        <v>46035</v>
      </c>
      <c r="B6031" s="24" t="s">
        <v>113</v>
      </c>
      <c r="C6031" s="21">
        <f t="shared" si="111"/>
        <v>1699.28</v>
      </c>
      <c r="AR6031" s="74">
        <v>29.2</v>
      </c>
      <c r="AW6031" s="74">
        <v>108.86499999999999</v>
      </c>
      <c r="BC6031" s="74">
        <v>108.325</v>
      </c>
      <c r="BI6031" s="106">
        <v>162.745</v>
      </c>
      <c r="BO6031" s="74">
        <v>174.39500000000001</v>
      </c>
      <c r="BU6031" s="106">
        <v>179.13</v>
      </c>
      <c r="CA6031" s="106">
        <v>165.72499999999999</v>
      </c>
      <c r="CG6031" s="106">
        <v>178.61500000000001</v>
      </c>
      <c r="CM6031" s="74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27">
        <v>46035</v>
      </c>
      <c r="B6032" s="24" t="s">
        <v>205</v>
      </c>
      <c r="C6032" s="21">
        <f t="shared" si="111"/>
        <v>-1719.4849999999999</v>
      </c>
      <c r="AR6032" s="74">
        <v>-56.18</v>
      </c>
      <c r="AW6032" s="74">
        <v>-92.52</v>
      </c>
      <c r="BC6032" s="74">
        <v>-108.325</v>
      </c>
      <c r="BI6032" s="106">
        <v>-162.745</v>
      </c>
      <c r="BO6032" s="74">
        <v>-174.39500000000001</v>
      </c>
      <c r="BU6032" s="106">
        <v>-62.185000000000002</v>
      </c>
      <c r="CA6032" s="106">
        <v>-132.595</v>
      </c>
      <c r="CG6032" s="106">
        <v>-129.85</v>
      </c>
      <c r="CM6032" s="74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27">
        <v>46035</v>
      </c>
      <c r="B6033" s="24" t="s">
        <v>152</v>
      </c>
      <c r="C6033" s="21">
        <f t="shared" si="111"/>
        <v>-132.46</v>
      </c>
      <c r="AW6033" s="74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27">
        <v>46035</v>
      </c>
      <c r="B6034" s="24" t="s">
        <v>133</v>
      </c>
      <c r="C6034" s="21">
        <f t="shared" si="111"/>
        <v>-63.15</v>
      </c>
      <c r="BC6034" s="74">
        <v>-30.02</v>
      </c>
      <c r="CA6034" s="106">
        <v>-33.130000000000003</v>
      </c>
    </row>
    <row r="6035" spans="1:131" x14ac:dyDescent="0.25">
      <c r="A6035" s="127">
        <v>46035</v>
      </c>
      <c r="B6035" s="24" t="s">
        <v>184</v>
      </c>
      <c r="C6035" s="21">
        <f t="shared" si="111"/>
        <v>-95.21</v>
      </c>
      <c r="BU6035" s="106">
        <v>-31.62</v>
      </c>
      <c r="DP6035" s="74">
        <v>-34.924999999999997</v>
      </c>
      <c r="DU6035" s="106">
        <v>-28.664999999999999</v>
      </c>
    </row>
    <row r="6036" spans="1:131" x14ac:dyDescent="0.25">
      <c r="A6036" s="127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27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27">
        <v>46035</v>
      </c>
      <c r="B6038" s="24" t="s">
        <v>184</v>
      </c>
      <c r="C6038" s="21">
        <f t="shared" si="111"/>
        <v>-32.04</v>
      </c>
      <c r="BC6038" s="74">
        <v>-15.41</v>
      </c>
      <c r="EA6038" s="74">
        <v>-16.63</v>
      </c>
    </row>
    <row r="6039" spans="1:131" x14ac:dyDescent="0.25">
      <c r="A6039" s="127">
        <v>46036</v>
      </c>
      <c r="B6039" s="24" t="s">
        <v>20</v>
      </c>
      <c r="C6039" s="21">
        <f t="shared" si="111"/>
        <v>-15.12</v>
      </c>
      <c r="BC6039" s="74">
        <v>-7.69</v>
      </c>
      <c r="BH6039" s="69">
        <v>-7.43</v>
      </c>
    </row>
    <row r="6040" spans="1:131" x14ac:dyDescent="0.25">
      <c r="A6040" s="127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27">
        <v>46036</v>
      </c>
      <c r="B6041" s="24" t="s">
        <v>17</v>
      </c>
      <c r="C6041" s="21">
        <f t="shared" si="111"/>
        <v>-32.215000000000003</v>
      </c>
      <c r="AW6041" s="74">
        <v>-7.95</v>
      </c>
      <c r="BU6041" s="106">
        <v>-15.95</v>
      </c>
      <c r="CG6041" s="106">
        <v>-8.3149999999999995</v>
      </c>
    </row>
    <row r="6042" spans="1:131" x14ac:dyDescent="0.25">
      <c r="A6042" s="127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106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27">
        <v>46036</v>
      </c>
      <c r="B6043" s="24" t="s">
        <v>171</v>
      </c>
      <c r="C6043" s="21">
        <f t="shared" si="111"/>
        <v>-8.57</v>
      </c>
      <c r="CM6043" s="74">
        <v>-8.57</v>
      </c>
    </row>
    <row r="6044" spans="1:131" x14ac:dyDescent="0.25">
      <c r="A6044" s="127">
        <v>46037</v>
      </c>
      <c r="B6044" s="24" t="s">
        <v>24</v>
      </c>
      <c r="C6044" s="21">
        <f t="shared" si="111"/>
        <v>-17.75</v>
      </c>
      <c r="BU6044" s="106">
        <v>-9.76</v>
      </c>
      <c r="CY6044" s="74">
        <v>-7.99</v>
      </c>
    </row>
    <row r="6045" spans="1:131" x14ac:dyDescent="0.25">
      <c r="A6045" s="127">
        <v>46037</v>
      </c>
      <c r="B6045" s="24" t="s">
        <v>48</v>
      </c>
      <c r="C6045" s="21">
        <f t="shared" si="111"/>
        <v>-0.185</v>
      </c>
      <c r="BU6045" s="106">
        <v>-8.125</v>
      </c>
      <c r="BZ6045" s="69">
        <v>16.829999999999998</v>
      </c>
      <c r="DM6045" s="150">
        <v>-8.89</v>
      </c>
    </row>
    <row r="6046" spans="1:131" x14ac:dyDescent="0.25">
      <c r="A6046" s="127">
        <v>46038</v>
      </c>
      <c r="B6046" s="24" t="s">
        <v>138</v>
      </c>
      <c r="C6046" s="21">
        <f t="shared" si="111"/>
        <v>-25.265000000000001</v>
      </c>
      <c r="BU6046" s="106">
        <v>-8.4350000000000005</v>
      </c>
      <c r="BZ6046" s="69">
        <v>-16.829999999999998</v>
      </c>
    </row>
    <row r="6047" spans="1:131" x14ac:dyDescent="0.25">
      <c r="A6047" s="127">
        <v>46038</v>
      </c>
      <c r="B6047" s="24" t="s">
        <v>171</v>
      </c>
      <c r="C6047" s="21">
        <f t="shared" si="111"/>
        <v>-9.23</v>
      </c>
      <c r="BU6047" s="106">
        <v>-9.23</v>
      </c>
    </row>
    <row r="6048" spans="1:131" x14ac:dyDescent="0.25">
      <c r="A6048" s="127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27">
        <v>46041</v>
      </c>
      <c r="B6049" s="24" t="s">
        <v>133</v>
      </c>
      <c r="C6049" s="21">
        <f t="shared" si="111"/>
        <v>-25.72</v>
      </c>
      <c r="DW6049" s="126">
        <v>-25.72</v>
      </c>
    </row>
    <row r="6050" spans="1:208" x14ac:dyDescent="0.25">
      <c r="A6050" s="127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74">
        <v>35.61</v>
      </c>
      <c r="AW6050" s="74">
        <v>33.555</v>
      </c>
      <c r="BI6050" s="106">
        <v>98.29</v>
      </c>
      <c r="BO6050" s="74">
        <v>67.825000000000003</v>
      </c>
      <c r="BU6050" s="106">
        <v>32.375</v>
      </c>
      <c r="CA6050" s="106">
        <v>97.99</v>
      </c>
      <c r="CG6050" s="106">
        <v>64.62</v>
      </c>
      <c r="CS6050" s="74">
        <v>34.520000000000003</v>
      </c>
    </row>
    <row r="6051" spans="1:208" x14ac:dyDescent="0.25">
      <c r="A6051" s="127">
        <v>46042</v>
      </c>
      <c r="B6051" s="24" t="s">
        <v>113</v>
      </c>
      <c r="C6051" s="21">
        <f t="shared" si="111"/>
        <v>110.145</v>
      </c>
      <c r="BC6051" s="74">
        <v>41.75</v>
      </c>
      <c r="DU6051" s="106">
        <v>68.394999999999996</v>
      </c>
    </row>
    <row r="6052" spans="1:208" x14ac:dyDescent="0.25">
      <c r="A6052" s="127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27">
        <v>46042</v>
      </c>
      <c r="B6053" s="24" t="s">
        <v>184</v>
      </c>
      <c r="C6053" s="21">
        <f t="shared" si="111"/>
        <v>-8.89</v>
      </c>
      <c r="AR6053" s="74">
        <v>-8.89</v>
      </c>
    </row>
    <row r="6054" spans="1:208" x14ac:dyDescent="0.25">
      <c r="A6054" s="127">
        <v>46042</v>
      </c>
      <c r="B6054" s="24" t="s">
        <v>188</v>
      </c>
      <c r="C6054" s="21">
        <f t="shared" ref="C6054:C6120" si="113">SUM(D6054:JT6054)</f>
        <v>-25.17</v>
      </c>
      <c r="BO6054" s="74">
        <v>-8.6150000000000002</v>
      </c>
      <c r="BU6054" s="106">
        <v>-8.1549999999999994</v>
      </c>
      <c r="CA6054" s="106">
        <v>-8.4</v>
      </c>
    </row>
    <row r="6055" spans="1:208" x14ac:dyDescent="0.25">
      <c r="A6055" s="127">
        <v>46042</v>
      </c>
      <c r="B6055" s="24" t="s">
        <v>138</v>
      </c>
      <c r="C6055" s="21">
        <f t="shared" si="113"/>
        <v>-23.065000000000001</v>
      </c>
      <c r="BC6055" s="74">
        <v>-6.8049999999999997</v>
      </c>
      <c r="BI6055" s="106">
        <v>-8.2149999999999999</v>
      </c>
      <c r="CA6055" s="106">
        <v>-8.0449999999999999</v>
      </c>
    </row>
    <row r="6056" spans="1:208" x14ac:dyDescent="0.25">
      <c r="A6056" s="127">
        <v>46042</v>
      </c>
      <c r="B6056" s="24" t="s">
        <v>224</v>
      </c>
      <c r="C6056" s="21">
        <f t="shared" si="113"/>
        <v>-16.254999999999999</v>
      </c>
      <c r="AW6056" s="74">
        <v>-9.4450000000000003</v>
      </c>
      <c r="BC6056" s="74">
        <v>-6.81</v>
      </c>
    </row>
    <row r="6057" spans="1:208" x14ac:dyDescent="0.25">
      <c r="A6057" s="127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74">
        <v>-8.85</v>
      </c>
      <c r="AW6057" s="74">
        <v>-8.0399999999999991</v>
      </c>
      <c r="BC6057" s="74">
        <v>-6.7949999999999999</v>
      </c>
    </row>
    <row r="6058" spans="1:208" x14ac:dyDescent="0.25">
      <c r="A6058" s="127">
        <v>46042</v>
      </c>
      <c r="B6058" s="24" t="s">
        <v>20</v>
      </c>
      <c r="C6058" s="21">
        <f t="shared" si="113"/>
        <v>-25.42</v>
      </c>
      <c r="AR6058" s="74">
        <v>-0.5</v>
      </c>
      <c r="BI6058" s="106">
        <v>-8.2050000000000001</v>
      </c>
      <c r="BO6058" s="74">
        <v>-8.68</v>
      </c>
      <c r="CA6058" s="106">
        <v>-8.0350000000000001</v>
      </c>
    </row>
    <row r="6059" spans="1:208" x14ac:dyDescent="0.25">
      <c r="A6059" s="127">
        <v>46042</v>
      </c>
      <c r="B6059" s="24" t="s">
        <v>39</v>
      </c>
      <c r="C6059" s="21">
        <f t="shared" si="113"/>
        <v>-32.200000000000003</v>
      </c>
      <c r="AW6059" s="74">
        <v>-8.08</v>
      </c>
      <c r="BC6059" s="74">
        <v>-7.7450000000000001</v>
      </c>
      <c r="BI6059" s="106">
        <v>-8.2249999999999996</v>
      </c>
      <c r="BU6059" s="106">
        <v>-8.15</v>
      </c>
    </row>
    <row r="6060" spans="1:208" x14ac:dyDescent="0.25">
      <c r="A6060" s="127">
        <v>46042</v>
      </c>
      <c r="B6060" s="24" t="s">
        <v>133</v>
      </c>
      <c r="C6060" s="21">
        <f t="shared" si="113"/>
        <v>-123.08499999999999</v>
      </c>
      <c r="BI6060" s="106">
        <v>-32.594999999999999</v>
      </c>
      <c r="BO6060" s="74">
        <v>-24.15</v>
      </c>
      <c r="BU6060" s="106">
        <v>-8.17</v>
      </c>
      <c r="CG6060" s="106">
        <v>-32.25</v>
      </c>
      <c r="CS6060" s="74">
        <v>-25.92</v>
      </c>
    </row>
    <row r="6061" spans="1:208" x14ac:dyDescent="0.25">
      <c r="A6061" s="127">
        <v>46042</v>
      </c>
      <c r="B6061" s="24" t="s">
        <v>213</v>
      </c>
      <c r="C6061" s="21">
        <f t="shared" si="113"/>
        <v>-99.415000000000006</v>
      </c>
      <c r="AN6061" s="74">
        <v>-6.7649999999999997</v>
      </c>
      <c r="AW6061" s="74">
        <v>-7.99</v>
      </c>
      <c r="BO6061" s="74">
        <v>-17.75</v>
      </c>
      <c r="CG6061" s="106">
        <v>-32.369999999999997</v>
      </c>
      <c r="CM6061" s="74">
        <v>-25.94</v>
      </c>
      <c r="CS6061" s="74">
        <v>-8.6</v>
      </c>
    </row>
    <row r="6062" spans="1:208" x14ac:dyDescent="0.25">
      <c r="A6062" s="127">
        <v>46042</v>
      </c>
      <c r="B6062" s="24" t="s">
        <v>213</v>
      </c>
      <c r="C6062" s="21">
        <f t="shared" si="113"/>
        <v>-65.064999999999998</v>
      </c>
      <c r="BI6062" s="106">
        <v>-32.844999999999999</v>
      </c>
      <c r="CA6062" s="106">
        <v>-32.22</v>
      </c>
    </row>
    <row r="6063" spans="1:208" x14ac:dyDescent="0.25">
      <c r="A6063" s="127">
        <v>46042</v>
      </c>
      <c r="B6063" s="24" t="s">
        <v>184</v>
      </c>
      <c r="C6063" s="21">
        <f t="shared" si="113"/>
        <v>-32.69</v>
      </c>
      <c r="AR6063" s="74">
        <v>-17.87</v>
      </c>
      <c r="BC6063" s="74">
        <v>-6.79</v>
      </c>
      <c r="CA6063" s="106">
        <v>-8.0299999999999994</v>
      </c>
    </row>
    <row r="6064" spans="1:208" x14ac:dyDescent="0.25">
      <c r="A6064" s="127">
        <v>46042</v>
      </c>
      <c r="B6064" s="24" t="s">
        <v>193</v>
      </c>
      <c r="C6064" s="21">
        <f t="shared" si="113"/>
        <v>-8.7449999999999992</v>
      </c>
      <c r="CM6064" s="74">
        <v>-8.7449999999999992</v>
      </c>
    </row>
    <row r="6065" spans="1:248" x14ac:dyDescent="0.25">
      <c r="A6065" s="127">
        <v>46042</v>
      </c>
      <c r="B6065" s="24" t="s">
        <v>68</v>
      </c>
      <c r="C6065" s="21">
        <f t="shared" si="113"/>
        <v>-31.71</v>
      </c>
      <c r="BC6065" s="74">
        <v>-6.8049999999999997</v>
      </c>
      <c r="BI6065" s="106">
        <v>-8.2050000000000001</v>
      </c>
      <c r="BO6065" s="74">
        <v>-8.6300000000000008</v>
      </c>
      <c r="CA6065" s="106">
        <v>-8.07</v>
      </c>
    </row>
    <row r="6066" spans="1:248" x14ac:dyDescent="0.25">
      <c r="A6066" s="127">
        <v>46043</v>
      </c>
      <c r="B6066" s="24" t="s">
        <v>218</v>
      </c>
      <c r="C6066" s="21">
        <f t="shared" si="113"/>
        <v>-15.67</v>
      </c>
      <c r="CA6066" s="106">
        <v>-8.4149999999999991</v>
      </c>
      <c r="CM6066" s="74">
        <v>-7.2549999999999999</v>
      </c>
    </row>
    <row r="6067" spans="1:248" x14ac:dyDescent="0.25">
      <c r="A6067" s="127">
        <v>46043</v>
      </c>
      <c r="B6067" s="24" t="s">
        <v>127</v>
      </c>
      <c r="C6067" s="21">
        <f t="shared" si="113"/>
        <v>-14.61</v>
      </c>
      <c r="AG6067" s="106">
        <v>-6.71</v>
      </c>
      <c r="BU6067" s="106">
        <v>-7.9</v>
      </c>
    </row>
    <row r="6068" spans="1:248" x14ac:dyDescent="0.25">
      <c r="A6068" s="127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27">
        <v>46043</v>
      </c>
      <c r="B6069" s="24" t="s">
        <v>44</v>
      </c>
      <c r="C6069" s="21">
        <f t="shared" si="113"/>
        <v>-250.16</v>
      </c>
      <c r="M6069" s="92">
        <v>-47.78</v>
      </c>
      <c r="GO6069" s="110">
        <f>-81.64-29.39</f>
        <v>-111.03</v>
      </c>
      <c r="IN6069" s="42">
        <v>-91.35</v>
      </c>
    </row>
    <row r="6070" spans="1:248" x14ac:dyDescent="0.25">
      <c r="A6070" s="127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27">
        <v>46044</v>
      </c>
      <c r="B6071" s="24" t="s">
        <v>197</v>
      </c>
      <c r="C6071" s="21">
        <f t="shared" si="113"/>
        <v>-32.869999999999997</v>
      </c>
      <c r="BU6071" s="106">
        <v>-15.78</v>
      </c>
      <c r="CA6071" s="106">
        <v>-8.75</v>
      </c>
      <c r="CG6071" s="106">
        <v>-8.34</v>
      </c>
    </row>
    <row r="6072" spans="1:248" x14ac:dyDescent="0.25">
      <c r="A6072" s="127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106">
        <v>-16.350000000000001</v>
      </c>
      <c r="CA6072" s="106">
        <v>-8.375</v>
      </c>
    </row>
    <row r="6073" spans="1:248" x14ac:dyDescent="0.25">
      <c r="A6073" s="127">
        <v>46046</v>
      </c>
      <c r="B6073" s="24" t="s">
        <v>113</v>
      </c>
      <c r="C6073" s="21">
        <f t="shared" si="113"/>
        <v>898.07</v>
      </c>
      <c r="AR6073" s="74">
        <v>68.334999999999994</v>
      </c>
      <c r="AW6073" s="74">
        <f>31.705+32.74</f>
        <v>64.444999999999993</v>
      </c>
      <c r="BC6073" s="74">
        <v>112.47</v>
      </c>
      <c r="BI6073" s="106">
        <v>65.665000000000006</v>
      </c>
      <c r="BO6073" s="74">
        <v>104.30500000000001</v>
      </c>
      <c r="BU6073" s="106">
        <v>65.674999999999997</v>
      </c>
      <c r="CA6073" s="106">
        <v>79.444999999999993</v>
      </c>
      <c r="CG6073" s="106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27">
        <v>46046</v>
      </c>
      <c r="B6074" s="24" t="s">
        <v>113</v>
      </c>
      <c r="C6074" s="21">
        <f t="shared" si="113"/>
        <v>81.41</v>
      </c>
      <c r="BU6074" s="106">
        <v>81.41</v>
      </c>
    </row>
    <row r="6075" spans="1:248" x14ac:dyDescent="0.25">
      <c r="A6075" s="127">
        <v>46046</v>
      </c>
      <c r="B6075" s="24" t="s">
        <v>183</v>
      </c>
      <c r="C6075" s="21">
        <f t="shared" si="113"/>
        <v>-73.06</v>
      </c>
      <c r="CS6075" s="74">
        <v>-17.305</v>
      </c>
      <c r="CY6075" s="74">
        <v>-55.755000000000003</v>
      </c>
    </row>
    <row r="6076" spans="1:248" x14ac:dyDescent="0.25">
      <c r="A6076" s="127">
        <v>46046</v>
      </c>
      <c r="B6076" s="24" t="s">
        <v>192</v>
      </c>
      <c r="C6076" s="21">
        <f t="shared" si="113"/>
        <v>-16.3</v>
      </c>
      <c r="BU6076" s="106">
        <v>-16.3</v>
      </c>
    </row>
    <row r="6077" spans="1:248" x14ac:dyDescent="0.25">
      <c r="A6077" s="127">
        <v>46048</v>
      </c>
      <c r="B6077" s="24" t="s">
        <v>239</v>
      </c>
      <c r="C6077" s="21">
        <f t="shared" si="113"/>
        <v>287.19</v>
      </c>
      <c r="BR6077" s="115">
        <f>80.045+53.4+20.255+133.49</f>
        <v>287.19</v>
      </c>
    </row>
    <row r="6078" spans="1:248" x14ac:dyDescent="0.25">
      <c r="A6078" s="127">
        <v>46048</v>
      </c>
      <c r="B6078" s="24" t="s">
        <v>202</v>
      </c>
      <c r="C6078" s="21">
        <f t="shared" si="113"/>
        <v>-18.41</v>
      </c>
      <c r="E6078" s="145">
        <v>-18.41</v>
      </c>
    </row>
    <row r="6079" spans="1:248" x14ac:dyDescent="0.25">
      <c r="A6079" s="127">
        <v>46048</v>
      </c>
      <c r="B6079" s="24" t="s">
        <v>44</v>
      </c>
      <c r="C6079" s="21">
        <f t="shared" si="113"/>
        <v>-82.71</v>
      </c>
      <c r="M6079" s="92">
        <v>-0.15</v>
      </c>
      <c r="BU6079" s="106">
        <v>-49.36</v>
      </c>
      <c r="GQ6079" s="92">
        <v>-33.200000000000003</v>
      </c>
    </row>
    <row r="6080" spans="1:248" x14ac:dyDescent="0.25">
      <c r="A6080" s="127">
        <v>46048</v>
      </c>
      <c r="B6080" s="24" t="s">
        <v>184</v>
      </c>
      <c r="C6080" s="21">
        <f t="shared" si="113"/>
        <v>-457.185</v>
      </c>
      <c r="AR6080" s="74">
        <v>-34.585000000000001</v>
      </c>
      <c r="AW6080" s="74">
        <v>-31.725000000000001</v>
      </c>
      <c r="BC6080" s="74">
        <v>-48.15</v>
      </c>
      <c r="BI6080" s="106">
        <v>-32.799999999999997</v>
      </c>
      <c r="BO6080" s="74">
        <v>-25.96</v>
      </c>
      <c r="CA6080" s="106">
        <v>-63.314999999999998</v>
      </c>
      <c r="CG6080" s="106">
        <v>-64.644999999999996</v>
      </c>
      <c r="CM6080" s="74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27">
        <v>46048</v>
      </c>
      <c r="B6081" s="24" t="s">
        <v>184</v>
      </c>
      <c r="C6081" s="21">
        <f t="shared" si="113"/>
        <v>-80.045000000000002</v>
      </c>
      <c r="BR6081" s="115">
        <v>-80.045000000000002</v>
      </c>
    </row>
    <row r="6082" spans="1:137" x14ac:dyDescent="0.25">
      <c r="A6082" s="127">
        <v>46048</v>
      </c>
      <c r="B6082" s="24" t="s">
        <v>133</v>
      </c>
      <c r="C6082" s="21">
        <f t="shared" si="113"/>
        <v>-53.4</v>
      </c>
      <c r="BR6082" s="115">
        <v>-53.4</v>
      </c>
    </row>
    <row r="6083" spans="1:137" x14ac:dyDescent="0.25">
      <c r="A6083" s="127">
        <v>46048</v>
      </c>
      <c r="B6083" s="24" t="s">
        <v>225</v>
      </c>
      <c r="C6083" s="21">
        <f t="shared" si="113"/>
        <v>-66.825000000000003</v>
      </c>
      <c r="AW6083" s="74">
        <v>-16.7</v>
      </c>
      <c r="BC6083" s="74">
        <v>-16.425000000000001</v>
      </c>
      <c r="BI6083" s="106">
        <v>-16.43</v>
      </c>
      <c r="BO6083" s="74">
        <v>-17.27</v>
      </c>
    </row>
    <row r="6084" spans="1:137" x14ac:dyDescent="0.25">
      <c r="A6084" s="127">
        <v>46048</v>
      </c>
      <c r="B6084" s="24" t="s">
        <v>197</v>
      </c>
      <c r="C6084" s="21">
        <f t="shared" si="113"/>
        <v>-39.625</v>
      </c>
      <c r="BI6084" s="106">
        <v>-16.434999999999999</v>
      </c>
      <c r="BO6084" s="74">
        <v>-8.65</v>
      </c>
      <c r="CG6084" s="106">
        <v>-8.0350000000000001</v>
      </c>
      <c r="CS6084" s="74">
        <v>-6.5049999999999999</v>
      </c>
    </row>
    <row r="6085" spans="1:137" x14ac:dyDescent="0.25">
      <c r="A6085" s="127">
        <v>46048</v>
      </c>
      <c r="B6085" s="24" t="s">
        <v>192</v>
      </c>
      <c r="C6085" s="21">
        <f t="shared" si="113"/>
        <v>-8.0449999999999999</v>
      </c>
      <c r="CA6085" s="106">
        <v>-8.0449999999999999</v>
      </c>
    </row>
    <row r="6086" spans="1:137" x14ac:dyDescent="0.25">
      <c r="A6086" s="127">
        <v>46048</v>
      </c>
      <c r="B6086" s="24" t="s">
        <v>133</v>
      </c>
      <c r="C6086" s="21">
        <f t="shared" si="113"/>
        <v>-99.27</v>
      </c>
      <c r="AW6086" s="74">
        <v>-16.02</v>
      </c>
      <c r="BC6086" s="74">
        <v>-16.215</v>
      </c>
      <c r="BU6086" s="106">
        <v>-16.335000000000001</v>
      </c>
      <c r="CG6086" s="106">
        <v>-16.11</v>
      </c>
      <c r="CM6086" s="74">
        <v>-25.875</v>
      </c>
      <c r="CY6086" s="74">
        <v>-8.7149999999999999</v>
      </c>
    </row>
    <row r="6087" spans="1:137" x14ac:dyDescent="0.25">
      <c r="A6087" s="127">
        <v>46048</v>
      </c>
      <c r="B6087" s="24" t="s">
        <v>213</v>
      </c>
      <c r="C6087" s="21">
        <f t="shared" si="113"/>
        <v>-34.29</v>
      </c>
      <c r="BO6087" s="74">
        <v>-17.975000000000001</v>
      </c>
      <c r="BU6087" s="106">
        <v>-16.315000000000001</v>
      </c>
    </row>
    <row r="6088" spans="1:137" x14ac:dyDescent="0.25">
      <c r="A6088" s="127">
        <v>46048</v>
      </c>
      <c r="B6088" s="24" t="s">
        <v>218</v>
      </c>
      <c r="C6088" s="21">
        <f t="shared" si="113"/>
        <v>-61.305</v>
      </c>
      <c r="AM6088" s="69">
        <v>-8.4499999999999993</v>
      </c>
      <c r="AN6088" s="74">
        <v>-9.0449999999999999</v>
      </c>
      <c r="AR6088" s="74">
        <f>-6.455-9.225</f>
        <v>-15.68</v>
      </c>
      <c r="BC6088" s="74">
        <v>-7.875</v>
      </c>
      <c r="BR6088" s="115">
        <f>-6.845-6.7-6.71</f>
        <v>-20.254999999999999</v>
      </c>
    </row>
    <row r="6089" spans="1:137" x14ac:dyDescent="0.25">
      <c r="A6089" s="127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27">
        <v>46049</v>
      </c>
      <c r="B6090" s="24" t="s">
        <v>20</v>
      </c>
      <c r="C6090" s="21">
        <f t="shared" si="113"/>
        <v>-16.114999999999998</v>
      </c>
      <c r="BC6090" s="74">
        <v>-7.9349999999999996</v>
      </c>
      <c r="BU6090" s="106">
        <v>-8.18</v>
      </c>
    </row>
    <row r="6091" spans="1:137" x14ac:dyDescent="0.25">
      <c r="A6091" s="127">
        <v>46049</v>
      </c>
      <c r="B6091" s="24" t="s">
        <v>138</v>
      </c>
      <c r="C6091" s="21">
        <f t="shared" si="113"/>
        <v>-8.0850000000000009</v>
      </c>
      <c r="CG6091" s="106">
        <v>-8.0850000000000009</v>
      </c>
    </row>
    <row r="6092" spans="1:137" x14ac:dyDescent="0.25">
      <c r="A6092" s="127">
        <v>46050</v>
      </c>
      <c r="B6092" s="24" t="s">
        <v>113</v>
      </c>
      <c r="C6092" s="21">
        <f t="shared" si="113"/>
        <v>874.12</v>
      </c>
      <c r="AN6092" s="74">
        <v>99.47</v>
      </c>
      <c r="AR6092" s="74">
        <v>139.625</v>
      </c>
      <c r="AW6092" s="74">
        <v>65.03</v>
      </c>
      <c r="BC6092" s="74">
        <v>95.394999999999996</v>
      </c>
      <c r="CM6092" s="74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27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27">
        <v>46050</v>
      </c>
      <c r="B6094" s="24" t="s">
        <v>205</v>
      </c>
      <c r="C6094" s="21">
        <f t="shared" si="113"/>
        <v>-597.66</v>
      </c>
      <c r="V6094" s="74">
        <v>-34.32</v>
      </c>
      <c r="AN6094" s="74">
        <v>-99.47</v>
      </c>
      <c r="AR6094" s="74">
        <v>-103.96</v>
      </c>
      <c r="BC6094" s="74">
        <v>-62.79</v>
      </c>
      <c r="BO6094" s="74">
        <v>-17.295000000000002</v>
      </c>
      <c r="BR6094" s="115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27">
        <v>46050</v>
      </c>
      <c r="B6095" s="24" t="s">
        <v>225</v>
      </c>
      <c r="C6095" s="21">
        <f t="shared" si="113"/>
        <v>-16.895</v>
      </c>
      <c r="CM6095" s="74">
        <v>-8.2449999999999992</v>
      </c>
      <c r="CS6095" s="74">
        <v>-8.65</v>
      </c>
    </row>
    <row r="6096" spans="1:137" x14ac:dyDescent="0.25">
      <c r="A6096" s="127">
        <v>46050</v>
      </c>
      <c r="B6096" s="24" t="s">
        <v>152</v>
      </c>
      <c r="C6096" s="21">
        <f t="shared" si="113"/>
        <v>-536.995</v>
      </c>
      <c r="AR6096" s="74">
        <v>-35.664999999999999</v>
      </c>
      <c r="AW6096" s="74">
        <v>-32.604999999999997</v>
      </c>
      <c r="BC6096" s="74">
        <v>-32.604999999999997</v>
      </c>
      <c r="BU6096" s="106">
        <v>-32.484999999999999</v>
      </c>
      <c r="CM6096" s="74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27">
        <v>46050</v>
      </c>
      <c r="B6097" s="24" t="s">
        <v>33</v>
      </c>
      <c r="C6097" s="21">
        <f t="shared" si="113"/>
        <v>-22.805</v>
      </c>
      <c r="BU6097" s="106">
        <v>-9.2349999999999994</v>
      </c>
      <c r="CA6097" s="106">
        <v>-8.0850000000000009</v>
      </c>
      <c r="DP6097" s="74">
        <v>-5.4850000000000003</v>
      </c>
    </row>
    <row r="6098" spans="1:163" x14ac:dyDescent="0.25">
      <c r="A6098" s="127">
        <v>46050</v>
      </c>
      <c r="B6098" s="24" t="s">
        <v>20</v>
      </c>
      <c r="C6098" s="21">
        <f t="shared" si="113"/>
        <v>-8.15</v>
      </c>
      <c r="AW6098" s="74">
        <v>-8.15</v>
      </c>
    </row>
    <row r="6099" spans="1:163" x14ac:dyDescent="0.25">
      <c r="A6099" s="127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27">
        <v>46050</v>
      </c>
      <c r="B6100" s="24" t="s">
        <v>212</v>
      </c>
      <c r="C6100" s="21">
        <f t="shared" si="114"/>
        <v>-21.78</v>
      </c>
      <c r="BR6100" s="115">
        <v>-13.37</v>
      </c>
      <c r="BU6100" s="106">
        <v>-8.41</v>
      </c>
    </row>
    <row r="6101" spans="1:163" x14ac:dyDescent="0.25">
      <c r="A6101" s="127">
        <v>46050</v>
      </c>
      <c r="B6101" s="24" t="s">
        <v>213</v>
      </c>
      <c r="C6101" s="21">
        <f t="shared" si="114"/>
        <v>-26.19</v>
      </c>
      <c r="AR6101" s="74">
        <v>-9.4499999999999993</v>
      </c>
      <c r="BO6101" s="74">
        <v>-8.6300000000000008</v>
      </c>
      <c r="BU6101" s="106">
        <v>-8.11</v>
      </c>
    </row>
    <row r="6102" spans="1:163" x14ac:dyDescent="0.25">
      <c r="A6102" s="127">
        <v>46051</v>
      </c>
      <c r="B6102" s="24" t="s">
        <v>212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27">
        <v>46051</v>
      </c>
      <c r="B6103" s="24" t="s">
        <v>169</v>
      </c>
      <c r="C6103" s="21">
        <f t="shared" si="114"/>
        <v>-32.880000000000003</v>
      </c>
      <c r="D6103" s="145">
        <v>-8.17</v>
      </c>
      <c r="F6103" s="145">
        <v>-24.71</v>
      </c>
    </row>
    <row r="6104" spans="1:163" x14ac:dyDescent="0.25">
      <c r="A6104" s="127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27">
        <v>46052</v>
      </c>
      <c r="B6105" s="24" t="s">
        <v>138</v>
      </c>
      <c r="C6105" s="21">
        <f t="shared" si="114"/>
        <v>-8.25</v>
      </c>
      <c r="CM6105" s="74">
        <v>-8.25</v>
      </c>
    </row>
    <row r="6106" spans="1:163" x14ac:dyDescent="0.25">
      <c r="A6106" s="127">
        <v>46053</v>
      </c>
      <c r="B6106" s="24" t="s">
        <v>113</v>
      </c>
      <c r="C6106" s="21">
        <f t="shared" si="113"/>
        <v>485.245</v>
      </c>
      <c r="AN6106" s="74">
        <v>33.14</v>
      </c>
      <c r="AW6106" s="74">
        <v>94.86</v>
      </c>
      <c r="CM6106" s="74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27">
        <v>46053</v>
      </c>
      <c r="B6107" s="24" t="s">
        <v>192</v>
      </c>
      <c r="C6107" s="21">
        <f t="shared" si="113"/>
        <v>-16.05</v>
      </c>
      <c r="AW6107" s="74">
        <v>-8.0950000000000006</v>
      </c>
      <c r="BC6107" s="74">
        <v>-7.9550000000000001</v>
      </c>
    </row>
    <row r="6108" spans="1:163" x14ac:dyDescent="0.25">
      <c r="A6108" s="127">
        <v>46053</v>
      </c>
      <c r="B6108" s="24" t="s">
        <v>197</v>
      </c>
      <c r="C6108" s="21">
        <f t="shared" si="113"/>
        <v>-93</v>
      </c>
      <c r="AN6108" s="74">
        <v>-7.915</v>
      </c>
      <c r="AR6108" s="74">
        <v>-8.6199999999999992</v>
      </c>
      <c r="AW6108" s="74">
        <f>-8.045-8.145</f>
        <v>-16.190000000000001</v>
      </c>
      <c r="BC6108" s="74">
        <v>-7.915</v>
      </c>
      <c r="CS6108" s="74">
        <f>-8.645-8.67</f>
        <v>-17.315000000000001</v>
      </c>
      <c r="CY6108" s="74">
        <f>-8.8-8.805</f>
        <v>-17.605</v>
      </c>
      <c r="DE6108" s="74">
        <f>-8.785-8.655</f>
        <v>-17.440000000000001</v>
      </c>
    </row>
    <row r="6109" spans="1:163" x14ac:dyDescent="0.25">
      <c r="A6109" s="127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74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27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27">
        <v>46056</v>
      </c>
      <c r="B6111" s="24" t="s">
        <v>17</v>
      </c>
      <c r="C6111" s="21">
        <f t="shared" si="113"/>
        <v>-8.5050000000000008</v>
      </c>
      <c r="BO6111" s="74">
        <v>-8.5050000000000008</v>
      </c>
    </row>
    <row r="6112" spans="1:163" x14ac:dyDescent="0.25">
      <c r="A6112" s="127">
        <v>46057</v>
      </c>
      <c r="B6112" s="24" t="s">
        <v>218</v>
      </c>
      <c r="C6112" s="21">
        <f t="shared" si="113"/>
        <v>-25.08</v>
      </c>
      <c r="AN6112" s="74">
        <v>-8.64</v>
      </c>
      <c r="AW6112" s="74">
        <v>-8.1850000000000005</v>
      </c>
      <c r="CM6112" s="74">
        <v>-8.2550000000000008</v>
      </c>
    </row>
    <row r="6113" spans="1:249" x14ac:dyDescent="0.25">
      <c r="A6113" s="127">
        <v>46058</v>
      </c>
      <c r="B6113" s="24" t="s">
        <v>25</v>
      </c>
      <c r="C6113" s="21">
        <f t="shared" si="113"/>
        <v>-16.350000000000001</v>
      </c>
      <c r="AW6113" s="74">
        <v>-8.1150000000000002</v>
      </c>
      <c r="CM6113" s="74">
        <v>-8.2349999999999994</v>
      </c>
    </row>
    <row r="6114" spans="1:249" x14ac:dyDescent="0.25">
      <c r="A6114" s="127">
        <v>46059</v>
      </c>
      <c r="B6114" s="24" t="s">
        <v>20</v>
      </c>
      <c r="C6114" s="21">
        <f t="shared" si="113"/>
        <v>-5.64</v>
      </c>
      <c r="AW6114" s="74">
        <v>-5.64</v>
      </c>
    </row>
    <row r="6115" spans="1:249" x14ac:dyDescent="0.25">
      <c r="A6115" s="127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27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27">
        <v>46062</v>
      </c>
      <c r="B6117" s="24" t="s">
        <v>184</v>
      </c>
      <c r="C6117" s="21">
        <f t="shared" si="113"/>
        <v>-60.05</v>
      </c>
      <c r="DK6117" s="74">
        <v>-17.265000000000001</v>
      </c>
      <c r="DP6117" s="74">
        <v>-17.734999999999999</v>
      </c>
      <c r="FN6117" s="150">
        <v>-25.05</v>
      </c>
    </row>
    <row r="6118" spans="1:249" x14ac:dyDescent="0.25">
      <c r="A6118" s="127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27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27">
        <v>46063</v>
      </c>
      <c r="B6120" s="24" t="s">
        <v>48</v>
      </c>
      <c r="C6120" s="21">
        <f t="shared" si="113"/>
        <v>-15.815</v>
      </c>
      <c r="AG6120" s="106">
        <v>-7.14</v>
      </c>
      <c r="AN6120" s="74">
        <v>-8.6750000000000007</v>
      </c>
    </row>
    <row r="6121" spans="1:249" x14ac:dyDescent="0.25">
      <c r="A6121" s="127">
        <v>46064</v>
      </c>
      <c r="B6121" s="24" t="s">
        <v>115</v>
      </c>
      <c r="C6121" s="21">
        <f t="shared" ref="C6121:C6184" si="115">SUM(D6121:JT6121)</f>
        <v>265.5</v>
      </c>
      <c r="BL6121" s="115">
        <v>32.494999999999997</v>
      </c>
      <c r="BR6121" s="115">
        <v>33.57</v>
      </c>
      <c r="BX6121" s="115">
        <v>66.63</v>
      </c>
      <c r="CD6121" s="115">
        <v>66.385000000000005</v>
      </c>
      <c r="CJ6121" s="115">
        <v>66.42</v>
      </c>
    </row>
    <row r="6122" spans="1:249" x14ac:dyDescent="0.25">
      <c r="A6122" s="127">
        <v>46064</v>
      </c>
      <c r="B6122" s="24" t="s">
        <v>197</v>
      </c>
      <c r="C6122" s="21">
        <f t="shared" si="115"/>
        <v>-66.290000000000006</v>
      </c>
      <c r="BX6122" s="115">
        <v>-16.62</v>
      </c>
      <c r="CD6122" s="115">
        <v>-16.635000000000002</v>
      </c>
      <c r="CJ6122" s="115">
        <v>-16.59</v>
      </c>
      <c r="CM6122" s="74">
        <v>-16.445</v>
      </c>
    </row>
    <row r="6123" spans="1:249" x14ac:dyDescent="0.25">
      <c r="A6123" s="127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15">
        <v>-16.670000000000002</v>
      </c>
      <c r="CD6123" s="115">
        <v>-16.594999999999999</v>
      </c>
      <c r="CJ6123" s="115">
        <v>-16.63</v>
      </c>
      <c r="CM6123" s="74">
        <v>-16.495000000000001</v>
      </c>
      <c r="CS6123" s="74">
        <v>-8.6449999999999996</v>
      </c>
    </row>
    <row r="6124" spans="1:249" x14ac:dyDescent="0.25">
      <c r="A6124" s="127">
        <v>46064</v>
      </c>
      <c r="B6124" s="24" t="s">
        <v>39</v>
      </c>
      <c r="C6124" s="21">
        <f t="shared" si="115"/>
        <v>-41.244999999999997</v>
      </c>
      <c r="AW6124" s="74">
        <v>-8.0850000000000009</v>
      </c>
      <c r="BL6124" s="115">
        <v>-8.1150000000000002</v>
      </c>
      <c r="BR6124" s="115">
        <v>-8.3800000000000008</v>
      </c>
      <c r="BX6124" s="115">
        <v>-8.36</v>
      </c>
      <c r="CD6124" s="115">
        <v>-8.3049999999999997</v>
      </c>
    </row>
    <row r="6125" spans="1:249" x14ac:dyDescent="0.25">
      <c r="A6125" s="127">
        <v>46064</v>
      </c>
      <c r="B6125" s="24" t="s">
        <v>44</v>
      </c>
      <c r="C6125" s="21">
        <f t="shared" si="115"/>
        <v>-201.45</v>
      </c>
      <c r="HF6125" s="79">
        <v>-33.909999999999997</v>
      </c>
      <c r="IM6125" s="50">
        <v>-62.9</v>
      </c>
      <c r="IN6125" s="42">
        <f>-24.05-33.2-24.8</f>
        <v>-82.05</v>
      </c>
      <c r="IO6125" s="182">
        <v>-22.59</v>
      </c>
    </row>
    <row r="6126" spans="1:249" x14ac:dyDescent="0.25">
      <c r="A6126" s="127">
        <v>46064</v>
      </c>
      <c r="B6126" s="24" t="s">
        <v>213</v>
      </c>
      <c r="C6126" s="21">
        <f t="shared" si="115"/>
        <v>-73.05</v>
      </c>
      <c r="AG6126" s="106">
        <v>-7.16</v>
      </c>
      <c r="AN6126" s="74">
        <v>-8.1300000000000008</v>
      </c>
      <c r="AW6126" s="74">
        <v>-8.0749999999999993</v>
      </c>
      <c r="BL6126" s="115">
        <v>-8.125</v>
      </c>
      <c r="BR6126" s="115">
        <v>-8.36</v>
      </c>
      <c r="CJ6126" s="115">
        <v>-33.200000000000003</v>
      </c>
    </row>
    <row r="6127" spans="1:249" x14ac:dyDescent="0.25">
      <c r="A6127" s="127">
        <v>46065</v>
      </c>
      <c r="B6127" s="24" t="s">
        <v>138</v>
      </c>
      <c r="C6127" s="21">
        <f t="shared" si="115"/>
        <v>-16.414999999999999</v>
      </c>
      <c r="BL6127" s="115">
        <v>-8.1150000000000002</v>
      </c>
      <c r="BX6127" s="115">
        <v>-8.3000000000000007</v>
      </c>
    </row>
    <row r="6128" spans="1:249" x14ac:dyDescent="0.25">
      <c r="A6128" s="127">
        <v>46065</v>
      </c>
      <c r="B6128" s="24" t="s">
        <v>224</v>
      </c>
      <c r="C6128" s="21">
        <f t="shared" si="115"/>
        <v>-16.78</v>
      </c>
      <c r="BR6128" s="115">
        <v>-8.41</v>
      </c>
      <c r="BX6128" s="115">
        <v>-8.3699999999999992</v>
      </c>
    </row>
    <row r="6129" spans="1:133" x14ac:dyDescent="0.25">
      <c r="A6129" s="127">
        <v>46065</v>
      </c>
      <c r="B6129" s="24" t="s">
        <v>33</v>
      </c>
      <c r="C6129" s="21">
        <f t="shared" si="115"/>
        <v>-8.42</v>
      </c>
      <c r="BR6129" s="115">
        <v>-8.42</v>
      </c>
    </row>
    <row r="6130" spans="1:133" x14ac:dyDescent="0.25">
      <c r="A6130" s="127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27">
        <v>46070</v>
      </c>
      <c r="B6131" s="24" t="s">
        <v>113</v>
      </c>
      <c r="C6131" s="21">
        <f t="shared" si="115"/>
        <v>615.49</v>
      </c>
      <c r="Z6131" s="79">
        <v>34.015000000000001</v>
      </c>
      <c r="AC6131" s="74">
        <v>34</v>
      </c>
      <c r="AR6131" s="74">
        <v>31.4</v>
      </c>
      <c r="AW6131" s="74">
        <v>33.435000000000002</v>
      </c>
      <c r="BC6131" s="74">
        <v>69.155000000000001</v>
      </c>
      <c r="BI6131" s="106">
        <v>68.924999999999997</v>
      </c>
      <c r="BO6131" s="74">
        <f>34.63+35.215</f>
        <v>69.844999999999999</v>
      </c>
      <c r="BU6131" s="106">
        <v>68.69</v>
      </c>
      <c r="CA6131" s="106">
        <v>66.745000000000005</v>
      </c>
      <c r="CG6131" s="106">
        <v>69.745000000000005</v>
      </c>
      <c r="CM6131" s="74">
        <v>69.534999999999997</v>
      </c>
    </row>
    <row r="6132" spans="1:133" x14ac:dyDescent="0.25">
      <c r="A6132" s="127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27">
        <v>46070</v>
      </c>
      <c r="B6133" s="24" t="s">
        <v>218</v>
      </c>
      <c r="C6133" s="21">
        <f t="shared" si="115"/>
        <v>-67.62</v>
      </c>
      <c r="AN6133" s="74">
        <v>-8.5350000000000001</v>
      </c>
      <c r="AW6133" s="74">
        <f>-8.51-7.93</f>
        <v>-16.440000000000001</v>
      </c>
      <c r="BC6133" s="74">
        <v>-8.58</v>
      </c>
      <c r="BI6133" s="106">
        <f>-8.62-8.595</f>
        <v>-17.215</v>
      </c>
      <c r="BO6133" s="74">
        <v>-8.58</v>
      </c>
      <c r="CD6133" s="115">
        <v>-8.27</v>
      </c>
    </row>
    <row r="6134" spans="1:133" x14ac:dyDescent="0.25">
      <c r="A6134" s="127">
        <v>46070</v>
      </c>
      <c r="B6134" s="24" t="s">
        <v>213</v>
      </c>
      <c r="C6134" s="21">
        <f t="shared" si="115"/>
        <v>-68.959999999999994</v>
      </c>
      <c r="BO6134" s="74">
        <f>-8.595-8.625</f>
        <v>-17.22</v>
      </c>
      <c r="BU6134" s="106">
        <f>-8.495-9.035</f>
        <v>-17.53</v>
      </c>
      <c r="CA6134" s="106">
        <f>-9.155-8.1</f>
        <v>-17.254999999999999</v>
      </c>
      <c r="CG6134" s="106">
        <v>-8.7100000000000009</v>
      </c>
      <c r="CM6134" s="74">
        <v>-8.2449999999999992</v>
      </c>
    </row>
    <row r="6135" spans="1:133" x14ac:dyDescent="0.25">
      <c r="A6135" s="127">
        <v>46070</v>
      </c>
      <c r="B6135" s="24" t="s">
        <v>192</v>
      </c>
      <c r="C6135" s="21">
        <f t="shared" si="115"/>
        <v>-17.72</v>
      </c>
      <c r="EC6135" s="126">
        <v>-17.72</v>
      </c>
    </row>
    <row r="6136" spans="1:133" x14ac:dyDescent="0.25">
      <c r="A6136" s="127">
        <v>46070</v>
      </c>
      <c r="B6136" s="24" t="s">
        <v>138</v>
      </c>
      <c r="C6136" s="21">
        <f t="shared" si="115"/>
        <v>-16.91</v>
      </c>
      <c r="AW6136" s="74">
        <v>-8.19</v>
      </c>
      <c r="BC6136" s="74">
        <v>-8.7200000000000006</v>
      </c>
    </row>
    <row r="6137" spans="1:133" x14ac:dyDescent="0.25">
      <c r="A6137" s="127">
        <v>46070</v>
      </c>
      <c r="B6137" s="24" t="s">
        <v>212</v>
      </c>
      <c r="C6137" s="21">
        <f t="shared" si="115"/>
        <v>-34.024999999999999</v>
      </c>
      <c r="AW6137" s="74">
        <v>-16.995000000000001</v>
      </c>
      <c r="BO6137" s="74">
        <v>-8.4949999999999992</v>
      </c>
      <c r="BU6137" s="106">
        <v>-8.5350000000000001</v>
      </c>
    </row>
    <row r="6138" spans="1:133" x14ac:dyDescent="0.25">
      <c r="A6138" s="127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74">
        <v>-8.11</v>
      </c>
      <c r="BC6138" s="74">
        <v>-8.66</v>
      </c>
      <c r="BL6138" s="115">
        <v>-8.14</v>
      </c>
    </row>
    <row r="6139" spans="1:133" x14ac:dyDescent="0.25">
      <c r="A6139" s="127">
        <v>46070</v>
      </c>
      <c r="B6139" s="24" t="s">
        <v>184</v>
      </c>
      <c r="C6139" s="21">
        <f t="shared" si="115"/>
        <v>-175.83</v>
      </c>
      <c r="CA6139" s="106">
        <v>-16.96</v>
      </c>
      <c r="DP6139" s="74">
        <v>-158.87</v>
      </c>
    </row>
    <row r="6140" spans="1:133" x14ac:dyDescent="0.25">
      <c r="A6140" s="127">
        <v>46071</v>
      </c>
      <c r="B6140" s="24" t="s">
        <v>133</v>
      </c>
      <c r="C6140" s="21">
        <f t="shared" si="115"/>
        <v>-130.005</v>
      </c>
      <c r="BI6140" s="106">
        <v>-25.844999999999999</v>
      </c>
      <c r="CG6140" s="106">
        <v>-34.884999999999998</v>
      </c>
      <c r="CM6140" s="74">
        <v>-34.795000000000002</v>
      </c>
      <c r="CS6140" s="74">
        <v>-17.035</v>
      </c>
      <c r="DP6140" s="74">
        <v>-17.445</v>
      </c>
    </row>
    <row r="6141" spans="1:133" x14ac:dyDescent="0.25">
      <c r="A6141" s="127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106">
        <v>-15.065</v>
      </c>
      <c r="CY6141" s="74">
        <v>-34.945</v>
      </c>
    </row>
    <row r="6142" spans="1:133" x14ac:dyDescent="0.25">
      <c r="A6142" s="127">
        <v>46071</v>
      </c>
      <c r="B6142" s="24" t="s">
        <v>193</v>
      </c>
      <c r="C6142" s="21">
        <f t="shared" si="115"/>
        <v>-26.315000000000001</v>
      </c>
      <c r="CG6142" s="106">
        <v>-8.7449999999999992</v>
      </c>
      <c r="CY6142" s="74">
        <v>-8.82</v>
      </c>
      <c r="DE6142" s="74">
        <v>-8.75</v>
      </c>
    </row>
    <row r="6143" spans="1:133" x14ac:dyDescent="0.25">
      <c r="A6143" s="127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27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27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27">
        <v>46073</v>
      </c>
      <c r="B6146" s="24" t="s">
        <v>24</v>
      </c>
      <c r="C6146" s="21">
        <f>SUM(D6146:JT6146)</f>
        <v>-7.88</v>
      </c>
      <c r="AR6146" s="74">
        <v>-7.88</v>
      </c>
    </row>
    <row r="6147" spans="1:230" x14ac:dyDescent="0.25">
      <c r="A6147" s="127">
        <v>46073</v>
      </c>
      <c r="B6147" s="24" t="s">
        <v>24</v>
      </c>
      <c r="C6147" s="21">
        <f t="shared" si="115"/>
        <v>-16.8</v>
      </c>
      <c r="BU6147" s="106">
        <v>-8.49</v>
      </c>
      <c r="BX6147" s="115">
        <v>-8.31</v>
      </c>
    </row>
    <row r="6148" spans="1:230" x14ac:dyDescent="0.25">
      <c r="A6148" s="127">
        <v>46072</v>
      </c>
      <c r="B6148" s="24" t="s">
        <v>213</v>
      </c>
      <c r="C6148" s="21">
        <f t="shared" si="115"/>
        <v>-70.944999999999993</v>
      </c>
      <c r="BC6148" s="74">
        <v>-8.57</v>
      </c>
      <c r="BO6148" s="74">
        <v>-9.85</v>
      </c>
      <c r="CG6148" s="106">
        <v>-17.405000000000001</v>
      </c>
      <c r="CM6148" s="74">
        <v>-17.38</v>
      </c>
      <c r="CY6148" s="74">
        <v>-17.739999999999998</v>
      </c>
    </row>
    <row r="6149" spans="1:230" x14ac:dyDescent="0.25">
      <c r="A6149" s="127">
        <v>46073</v>
      </c>
      <c r="B6149" s="24" t="s">
        <v>197</v>
      </c>
      <c r="C6149" s="21">
        <f t="shared" si="115"/>
        <v>-61.005000000000003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27">
        <v>46073</v>
      </c>
      <c r="B6150" s="24" t="s">
        <v>39</v>
      </c>
      <c r="C6150" s="21">
        <f t="shared" si="115"/>
        <v>-32.545000000000002</v>
      </c>
      <c r="AR6150" s="74">
        <v>-7.87</v>
      </c>
      <c r="AW6150" s="74">
        <v>-8.09</v>
      </c>
      <c r="BC6150" s="74">
        <v>-8.6850000000000005</v>
      </c>
      <c r="CA6150" s="106">
        <v>-7.9</v>
      </c>
    </row>
    <row r="6151" spans="1:230" x14ac:dyDescent="0.25">
      <c r="A6151" s="127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27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27">
        <v>46077</v>
      </c>
      <c r="B6153" s="24" t="s">
        <v>138</v>
      </c>
      <c r="C6153" s="21">
        <f t="shared" si="115"/>
        <v>-25.83</v>
      </c>
      <c r="BI6153" s="106">
        <v>-8.625</v>
      </c>
      <c r="BO6153" s="74">
        <v>-8.52</v>
      </c>
      <c r="CM6153" s="74">
        <v>-8.6850000000000005</v>
      </c>
    </row>
    <row r="6154" spans="1:230" x14ac:dyDescent="0.25">
      <c r="A6154" s="127">
        <v>46077</v>
      </c>
      <c r="B6154" s="24" t="s">
        <v>20</v>
      </c>
      <c r="C6154" s="21">
        <f t="shared" si="115"/>
        <v>-24.785</v>
      </c>
      <c r="AR6154" s="74">
        <v>-7.82</v>
      </c>
      <c r="BI6154" s="106">
        <v>-8.6150000000000002</v>
      </c>
      <c r="BO6154" s="74">
        <v>-8.35</v>
      </c>
    </row>
    <row r="6155" spans="1:230" x14ac:dyDescent="0.25">
      <c r="A6155" s="127">
        <v>46077</v>
      </c>
      <c r="B6155" s="24" t="s">
        <v>230</v>
      </c>
      <c r="C6155" s="21">
        <f t="shared" si="115"/>
        <v>-7.24</v>
      </c>
      <c r="D6155" s="145">
        <v>-7.24</v>
      </c>
    </row>
    <row r="6156" spans="1:230" x14ac:dyDescent="0.25">
      <c r="A6156" s="127">
        <v>46077</v>
      </c>
      <c r="B6156" s="24" t="s">
        <v>113</v>
      </c>
      <c r="C6156" s="21">
        <f t="shared" si="115"/>
        <v>393.20499999999998</v>
      </c>
      <c r="EG6156" s="74">
        <v>393.20499999999998</v>
      </c>
    </row>
    <row r="6157" spans="1:230" x14ac:dyDescent="0.25">
      <c r="A6157" s="127">
        <v>46077</v>
      </c>
      <c r="B6157" s="24" t="s">
        <v>113</v>
      </c>
      <c r="C6157" s="21">
        <f t="shared" si="115"/>
        <v>103.25</v>
      </c>
      <c r="BI6157" s="106">
        <v>34.42</v>
      </c>
      <c r="BO6157" s="74">
        <v>33.869999999999997</v>
      </c>
      <c r="CG6157" s="106">
        <v>34.96</v>
      </c>
    </row>
    <row r="6158" spans="1:230" x14ac:dyDescent="0.25">
      <c r="A6158" s="127">
        <v>46078</v>
      </c>
      <c r="B6158" s="24" t="s">
        <v>113</v>
      </c>
      <c r="C6158" s="21">
        <f t="shared" si="115"/>
        <v>367.52</v>
      </c>
      <c r="AR6158" s="74">
        <v>31.48</v>
      </c>
      <c r="AW6158" s="74">
        <v>33.685000000000002</v>
      </c>
      <c r="BC6158" s="74">
        <v>31.385000000000002</v>
      </c>
      <c r="BI6158" s="106">
        <v>34.56</v>
      </c>
      <c r="CA6158" s="106">
        <v>135.16499999999999</v>
      </c>
      <c r="CM6158" s="74">
        <v>34.909999999999997</v>
      </c>
      <c r="CY6158" s="74">
        <v>34.15</v>
      </c>
      <c r="DU6158" s="106">
        <v>32.185000000000002</v>
      </c>
    </row>
    <row r="6159" spans="1:230" x14ac:dyDescent="0.25">
      <c r="A6159" s="127">
        <v>46078</v>
      </c>
      <c r="B6159" s="24" t="s">
        <v>184</v>
      </c>
      <c r="C6159" s="21">
        <f t="shared" si="115"/>
        <v>-456.59</v>
      </c>
      <c r="AR6159" s="74">
        <v>-15.715</v>
      </c>
      <c r="AW6159" s="74">
        <v>-33.685000000000002</v>
      </c>
      <c r="BC6159" s="74">
        <v>-31.385000000000002</v>
      </c>
      <c r="BI6159" s="106">
        <v>-34.56</v>
      </c>
      <c r="CA6159" s="106">
        <v>-101.47499999999999</v>
      </c>
      <c r="CM6159" s="74">
        <v>-34.909999999999997</v>
      </c>
      <c r="CS6159" s="74">
        <v>-34.615000000000002</v>
      </c>
      <c r="CY6159" s="74">
        <v>-34.15</v>
      </c>
      <c r="DE6159" s="74">
        <v>-34.880000000000003</v>
      </c>
      <c r="DK6159" s="74">
        <v>-69.03</v>
      </c>
      <c r="DU6159" s="106">
        <v>-32.185000000000002</v>
      </c>
    </row>
    <row r="6160" spans="1:230" x14ac:dyDescent="0.25">
      <c r="A6160" s="127">
        <v>46078</v>
      </c>
      <c r="B6160" s="24" t="s">
        <v>184</v>
      </c>
      <c r="C6160" s="21">
        <f t="shared" si="115"/>
        <v>-15.765000000000001</v>
      </c>
      <c r="AR6160" s="74">
        <v>-15.765000000000001</v>
      </c>
    </row>
    <row r="6161" spans="1:131" x14ac:dyDescent="0.25">
      <c r="A6161" s="127">
        <v>46078</v>
      </c>
      <c r="B6161" s="24" t="s">
        <v>218</v>
      </c>
      <c r="C6161" s="21">
        <f t="shared" si="115"/>
        <v>-43.14</v>
      </c>
      <c r="AN6161" s="74">
        <v>-8.5250000000000004</v>
      </c>
      <c r="BI6161" s="106">
        <v>-8.61</v>
      </c>
      <c r="BO6161" s="74">
        <v>-8.48</v>
      </c>
      <c r="CG6161" s="106">
        <v>-8.77</v>
      </c>
      <c r="CS6161" s="74">
        <v>-8.7550000000000008</v>
      </c>
    </row>
    <row r="6162" spans="1:131" x14ac:dyDescent="0.25">
      <c r="A6162" s="127">
        <v>46079</v>
      </c>
      <c r="B6162" s="24" t="s">
        <v>192</v>
      </c>
      <c r="C6162" s="21">
        <f t="shared" si="115"/>
        <v>-8.625</v>
      </c>
      <c r="BI6162" s="106">
        <v>-8.625</v>
      </c>
    </row>
    <row r="6163" spans="1:131" x14ac:dyDescent="0.25">
      <c r="A6163" s="127">
        <v>46079</v>
      </c>
      <c r="B6163" s="24" t="s">
        <v>48</v>
      </c>
      <c r="C6163" s="21">
        <f t="shared" si="115"/>
        <v>17.274999999999999</v>
      </c>
      <c r="O6163" s="375">
        <f>8.66+8.615</f>
        <v>17.274999999999999</v>
      </c>
    </row>
    <row r="6164" spans="1:131" x14ac:dyDescent="0.25">
      <c r="A6164" s="127">
        <v>46080</v>
      </c>
      <c r="B6164" s="24" t="s">
        <v>48</v>
      </c>
      <c r="C6164" s="21">
        <f t="shared" si="115"/>
        <v>-16.93</v>
      </c>
      <c r="AN6164" s="74">
        <v>-16.93</v>
      </c>
    </row>
    <row r="6165" spans="1:131" x14ac:dyDescent="0.25">
      <c r="A6165" s="127">
        <v>46080</v>
      </c>
      <c r="B6165" s="24" t="s">
        <v>184</v>
      </c>
      <c r="C6165" s="21">
        <f t="shared" si="115"/>
        <v>-112.515</v>
      </c>
      <c r="CY6165" s="74">
        <v>-8.8049999999999997</v>
      </c>
      <c r="DE6165" s="74">
        <v>-35.075000000000003</v>
      </c>
      <c r="DK6165" s="74">
        <v>-25.91</v>
      </c>
      <c r="DM6165" s="150">
        <v>-8.9</v>
      </c>
      <c r="EA6165" s="74">
        <v>-33.825000000000003</v>
      </c>
    </row>
    <row r="6166" spans="1:131" x14ac:dyDescent="0.25">
      <c r="A6166" s="127">
        <v>46080</v>
      </c>
      <c r="B6166" s="24" t="s">
        <v>213</v>
      </c>
      <c r="C6166" s="21">
        <f t="shared" si="115"/>
        <v>-41.44</v>
      </c>
      <c r="O6166" s="375">
        <v>-7.68</v>
      </c>
      <c r="BI6166" s="106">
        <v>-8.6</v>
      </c>
      <c r="BU6166" s="106">
        <v>-8.5</v>
      </c>
      <c r="CG6166" s="106">
        <v>-8.7050000000000001</v>
      </c>
      <c r="CM6166" s="74">
        <v>-7.9550000000000001</v>
      </c>
    </row>
    <row r="6167" spans="1:131" x14ac:dyDescent="0.25">
      <c r="A6167" s="127">
        <v>46080</v>
      </c>
      <c r="B6167" s="24" t="s">
        <v>184</v>
      </c>
      <c r="C6167" s="21">
        <f t="shared" si="115"/>
        <v>-65.795000000000002</v>
      </c>
      <c r="S6167" s="74">
        <v>-13.62</v>
      </c>
      <c r="AN6167" s="74">
        <v>-16.55</v>
      </c>
      <c r="BO6167" s="74">
        <v>-8.42</v>
      </c>
      <c r="CA6167" s="106">
        <v>-9.5649999999999995</v>
      </c>
      <c r="CG6167" s="106">
        <v>-8.7750000000000004</v>
      </c>
      <c r="DE6167" s="74">
        <v>-8.8650000000000002</v>
      </c>
    </row>
    <row r="6168" spans="1:131" x14ac:dyDescent="0.25">
      <c r="A6168" s="127">
        <v>46080</v>
      </c>
      <c r="B6168" s="24" t="s">
        <v>301</v>
      </c>
      <c r="C6168" s="21">
        <f t="shared" si="115"/>
        <v>-0.98</v>
      </c>
      <c r="O6168" s="375">
        <v>-0.98</v>
      </c>
    </row>
    <row r="6169" spans="1:131" x14ac:dyDescent="0.25">
      <c r="A6169" s="127">
        <v>46080</v>
      </c>
      <c r="B6169" s="24" t="s">
        <v>224</v>
      </c>
      <c r="C6169" s="21">
        <f t="shared" si="115"/>
        <v>-17.335000000000001</v>
      </c>
      <c r="BU6169" s="106">
        <v>-8.89</v>
      </c>
      <c r="CA6169" s="106">
        <v>-8.4450000000000003</v>
      </c>
    </row>
    <row r="6170" spans="1:131" x14ac:dyDescent="0.25">
      <c r="A6170" s="127">
        <v>46081</v>
      </c>
      <c r="B6170" s="24" t="s">
        <v>302</v>
      </c>
      <c r="C6170" s="21">
        <f t="shared" si="115"/>
        <v>-126.38500000000001</v>
      </c>
      <c r="AW6170" s="74">
        <v>-8.07</v>
      </c>
      <c r="BC6170" s="74">
        <v>-8.6</v>
      </c>
      <c r="BI6170" s="106">
        <v>-17.21</v>
      </c>
      <c r="BO6170" s="74">
        <v>-16.97</v>
      </c>
      <c r="BU6170" s="106">
        <v>-16.745000000000001</v>
      </c>
      <c r="CA6170" s="106">
        <v>-25.245000000000001</v>
      </c>
      <c r="CD6170" s="115">
        <v>-16.579999999999998</v>
      </c>
      <c r="CG6170" s="106">
        <v>-8.7100000000000009</v>
      </c>
      <c r="CM6170" s="74">
        <v>-8.2550000000000008</v>
      </c>
    </row>
    <row r="6171" spans="1:131" x14ac:dyDescent="0.25">
      <c r="C6171" s="21">
        <f t="shared" si="115"/>
        <v>0</v>
      </c>
    </row>
    <row r="6172" spans="1:131" x14ac:dyDescent="0.25">
      <c r="C6172" s="21">
        <f t="shared" si="115"/>
        <v>0</v>
      </c>
    </row>
    <row r="6173" spans="1:131" x14ac:dyDescent="0.25">
      <c r="C6173" s="21">
        <f t="shared" si="115"/>
        <v>0</v>
      </c>
    </row>
    <row r="6174" spans="1:131" x14ac:dyDescent="0.25">
      <c r="C6174" s="21">
        <f t="shared" si="115"/>
        <v>0</v>
      </c>
    </row>
    <row r="6175" spans="1:131" x14ac:dyDescent="0.25">
      <c r="C6175" s="21">
        <f t="shared" si="115"/>
        <v>0</v>
      </c>
    </row>
    <row r="6176" spans="1:131" x14ac:dyDescent="0.25">
      <c r="C6176" s="21">
        <f t="shared" si="115"/>
        <v>0</v>
      </c>
    </row>
    <row r="6177" spans="3:3" x14ac:dyDescent="0.25">
      <c r="C6177" s="21">
        <f t="shared" si="115"/>
        <v>0</v>
      </c>
    </row>
    <row r="6178" spans="3:3" x14ac:dyDescent="0.25">
      <c r="C6178" s="21">
        <f t="shared" si="115"/>
        <v>0</v>
      </c>
    </row>
    <row r="6179" spans="3:3" x14ac:dyDescent="0.25">
      <c r="C6179" s="21">
        <f t="shared" si="115"/>
        <v>0</v>
      </c>
    </row>
    <row r="6180" spans="3:3" x14ac:dyDescent="0.25">
      <c r="C6180" s="21">
        <f t="shared" si="115"/>
        <v>0</v>
      </c>
    </row>
    <row r="6181" spans="3:3" x14ac:dyDescent="0.25">
      <c r="C6181" s="21">
        <f t="shared" si="115"/>
        <v>0</v>
      </c>
    </row>
    <row r="6182" spans="3:3" x14ac:dyDescent="0.25">
      <c r="C6182" s="21">
        <f t="shared" si="115"/>
        <v>0</v>
      </c>
    </row>
    <row r="6183" spans="3:3" x14ac:dyDescent="0.25">
      <c r="C6183" s="21">
        <f t="shared" si="115"/>
        <v>0</v>
      </c>
    </row>
    <row r="6184" spans="3:3" x14ac:dyDescent="0.25">
      <c r="C6184" s="21">
        <f t="shared" si="115"/>
        <v>0</v>
      </c>
    </row>
    <row r="6185" spans="3:3" x14ac:dyDescent="0.25">
      <c r="C6185" s="21">
        <f t="shared" ref="C6185:C6248" si="116">SUM(D6185:JT6185)</f>
        <v>0</v>
      </c>
    </row>
    <row r="6186" spans="3:3" x14ac:dyDescent="0.25">
      <c r="C6186" s="21">
        <f t="shared" si="116"/>
        <v>0</v>
      </c>
    </row>
    <row r="6187" spans="3:3" x14ac:dyDescent="0.25">
      <c r="C6187" s="21">
        <f t="shared" si="116"/>
        <v>0</v>
      </c>
    </row>
    <row r="6188" spans="3:3" x14ac:dyDescent="0.25">
      <c r="C6188" s="21">
        <f t="shared" si="116"/>
        <v>0</v>
      </c>
    </row>
    <row r="6189" spans="3:3" x14ac:dyDescent="0.25">
      <c r="C6189" s="21">
        <f t="shared" si="116"/>
        <v>0</v>
      </c>
    </row>
    <row r="6190" spans="3:3" x14ac:dyDescent="0.25">
      <c r="C6190" s="21">
        <f t="shared" si="116"/>
        <v>0</v>
      </c>
    </row>
    <row r="6191" spans="3:3" x14ac:dyDescent="0.25">
      <c r="C6191" s="21">
        <f t="shared" si="116"/>
        <v>0</v>
      </c>
    </row>
    <row r="6192" spans="3:3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si="116"/>
        <v>0</v>
      </c>
    </row>
    <row r="6249" spans="3:3" x14ac:dyDescent="0.25">
      <c r="C6249" s="21">
        <f t="shared" ref="C6249:C6312" si="117">SUM(D6249:JT6249)</f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si="117"/>
        <v>0</v>
      </c>
    </row>
    <row r="6313" spans="3:3" x14ac:dyDescent="0.25">
      <c r="C6313" s="21">
        <f t="shared" ref="C6313:C6376" si="118">SUM(D6313:JT6313)</f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si="118"/>
        <v>0</v>
      </c>
    </row>
    <row r="6377" spans="3:3" x14ac:dyDescent="0.25">
      <c r="C6377" s="21">
        <f t="shared" ref="C6377:C6440" si="119">SUM(D6377:JT6377)</f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si="119"/>
        <v>0</v>
      </c>
    </row>
    <row r="6441" spans="3:3" x14ac:dyDescent="0.25">
      <c r="C6441" s="21">
        <f t="shared" ref="C6441:C6504" si="120">SUM(D6441:JT6441)</f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  <row r="6504" spans="3:3" x14ac:dyDescent="0.25">
      <c r="C6504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37"/>
    <col min="2" max="3" width="20.7109375" style="237" customWidth="1"/>
    <col min="4" max="16384" width="9.140625" style="237"/>
  </cols>
  <sheetData>
    <row r="1" spans="1:4" x14ac:dyDescent="0.25">
      <c r="A1" s="245"/>
      <c r="B1" s="245"/>
      <c r="C1" s="245"/>
      <c r="D1" s="245"/>
    </row>
    <row r="2" spans="1:4" x14ac:dyDescent="0.25">
      <c r="A2" s="245"/>
      <c r="B2" s="245"/>
      <c r="C2" s="245"/>
      <c r="D2" s="245"/>
    </row>
    <row r="3" spans="1:4" ht="20.100000000000001" customHeight="1" x14ac:dyDescent="0.25">
      <c r="A3" s="245"/>
      <c r="B3" s="427" t="s">
        <v>10</v>
      </c>
      <c r="C3" s="427"/>
      <c r="D3" s="245"/>
    </row>
    <row r="4" spans="1:4" ht="20.100000000000001" customHeight="1" x14ac:dyDescent="0.25">
      <c r="A4" s="245"/>
      <c r="B4" s="427"/>
      <c r="C4" s="427"/>
      <c r="D4" s="245"/>
    </row>
    <row r="5" spans="1:4" ht="20.100000000000001" customHeight="1" x14ac:dyDescent="0.25">
      <c r="A5" s="245"/>
      <c r="B5" s="254">
        <v>0.3</v>
      </c>
      <c r="C5" s="255">
        <v>3.4</v>
      </c>
      <c r="D5" s="245"/>
    </row>
    <row r="6" spans="1:4" ht="20.100000000000001" customHeight="1" x14ac:dyDescent="0.25">
      <c r="A6" s="245"/>
      <c r="B6" s="254">
        <v>0.5</v>
      </c>
      <c r="C6" s="255">
        <f>21.6+20.86+3.44+17.62</f>
        <v>63.52</v>
      </c>
      <c r="D6" s="245"/>
    </row>
    <row r="7" spans="1:4" ht="20.100000000000001" customHeight="1" x14ac:dyDescent="0.25">
      <c r="A7" s="245"/>
      <c r="B7" s="254">
        <v>0.55000000000000004</v>
      </c>
      <c r="C7" s="255">
        <v>10.46</v>
      </c>
      <c r="D7" s="245"/>
    </row>
    <row r="8" spans="1:4" ht="20.100000000000001" customHeight="1" x14ac:dyDescent="0.25">
      <c r="A8" s="245"/>
      <c r="B8" s="254">
        <v>1</v>
      </c>
      <c r="C8" s="255">
        <v>2.5</v>
      </c>
      <c r="D8" s="245"/>
    </row>
    <row r="9" spans="1:4" ht="20.100000000000001" customHeight="1" x14ac:dyDescent="0.25">
      <c r="A9" s="245"/>
      <c r="B9" s="254">
        <v>1.2</v>
      </c>
      <c r="C9" s="255">
        <v>16.399999999999999</v>
      </c>
      <c r="D9" s="245"/>
    </row>
    <row r="10" spans="1:4" ht="20.100000000000001" customHeight="1" x14ac:dyDescent="0.25">
      <c r="A10" s="245"/>
      <c r="B10" s="254">
        <v>1.3</v>
      </c>
      <c r="C10" s="255">
        <v>4.8</v>
      </c>
      <c r="D10" s="245"/>
    </row>
    <row r="11" spans="1:4" ht="20.100000000000001" customHeight="1" x14ac:dyDescent="0.25">
      <c r="A11" s="245"/>
      <c r="B11" s="254">
        <v>1.4</v>
      </c>
      <c r="C11" s="255">
        <v>9.14</v>
      </c>
      <c r="D11" s="245"/>
    </row>
    <row r="12" spans="1:4" ht="20.100000000000001" customHeight="1" x14ac:dyDescent="0.25">
      <c r="A12" s="245"/>
      <c r="B12" s="254">
        <v>1.6</v>
      </c>
      <c r="C12" s="255">
        <v>9.2200000000000006</v>
      </c>
      <c r="D12" s="245"/>
    </row>
    <row r="13" spans="1:4" ht="20.100000000000001" customHeight="1" x14ac:dyDescent="0.25">
      <c r="A13" s="245"/>
      <c r="B13" s="254">
        <v>1.7</v>
      </c>
      <c r="C13" s="255">
        <v>18.5</v>
      </c>
      <c r="D13" s="245"/>
    </row>
    <row r="14" spans="1:4" ht="20.100000000000001" customHeight="1" x14ac:dyDescent="0.25">
      <c r="A14" s="245"/>
      <c r="B14" s="254">
        <v>1.8</v>
      </c>
      <c r="C14" s="255">
        <v>64.48</v>
      </c>
      <c r="D14" s="245"/>
    </row>
    <row r="15" spans="1:4" ht="20.100000000000001" customHeight="1" x14ac:dyDescent="0.25">
      <c r="A15" s="245"/>
      <c r="B15" s="254">
        <v>3.5</v>
      </c>
      <c r="C15" s="255">
        <v>52.36</v>
      </c>
      <c r="D15" s="245"/>
    </row>
    <row r="16" spans="1:4" x14ac:dyDescent="0.25">
      <c r="A16" s="245"/>
      <c r="B16" s="245"/>
      <c r="C16" s="245"/>
      <c r="D16" s="245"/>
    </row>
    <row r="17" spans="1:4" x14ac:dyDescent="0.25">
      <c r="A17" s="245"/>
      <c r="B17" s="245"/>
      <c r="C17" s="245"/>
      <c r="D17" s="245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zoomScale="114" zoomScaleNormal="114" zoomScalePageLayoutView="55" workbookViewId="0"/>
  </sheetViews>
  <sheetFormatPr defaultColWidth="9.140625" defaultRowHeight="26.25" x14ac:dyDescent="0.4"/>
  <cols>
    <col min="1" max="2" width="14.7109375" style="165" customWidth="1"/>
    <col min="3" max="3" width="8.7109375" style="165" customWidth="1"/>
    <col min="4" max="10" width="25.7109375" style="165" customWidth="1"/>
    <col min="11" max="16384" width="9.140625" style="165"/>
  </cols>
  <sheetData>
    <row r="1" spans="1:23" ht="21.95" customHeight="1" x14ac:dyDescent="0.4">
      <c r="A1" s="368" t="s">
        <v>240</v>
      </c>
      <c r="B1" s="368" t="s">
        <v>241</v>
      </c>
      <c r="C1" s="368" t="s">
        <v>220</v>
      </c>
      <c r="D1" s="367" t="s">
        <v>2</v>
      </c>
      <c r="E1" s="367" t="s">
        <v>3</v>
      </c>
      <c r="F1" s="367" t="s">
        <v>113</v>
      </c>
      <c r="G1" s="367" t="s">
        <v>5</v>
      </c>
      <c r="H1" s="367" t="s">
        <v>6</v>
      </c>
      <c r="I1" s="367" t="s">
        <v>115</v>
      </c>
      <c r="J1" s="368" t="s">
        <v>4</v>
      </c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</row>
    <row r="2" spans="1:23" s="188" customFormat="1" ht="18" customHeight="1" x14ac:dyDescent="0.35">
      <c r="A2" s="367" t="s">
        <v>242</v>
      </c>
      <c r="B2" s="368" t="s">
        <v>128</v>
      </c>
      <c r="C2" s="369">
        <v>102</v>
      </c>
      <c r="D2" s="308"/>
      <c r="E2" s="308"/>
      <c r="F2" s="308"/>
      <c r="G2" s="308"/>
      <c r="H2" s="308"/>
      <c r="I2" s="308">
        <f>'STOK DETAY'!D6</f>
        <v>0</v>
      </c>
      <c r="J2" s="330">
        <f t="shared" ref="J2:J33" si="0">SUM(D2:I2)</f>
        <v>0</v>
      </c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</row>
    <row r="3" spans="1:23" s="188" customFormat="1" ht="18" customHeight="1" x14ac:dyDescent="0.35">
      <c r="A3" s="367" t="s">
        <v>243</v>
      </c>
      <c r="B3" s="368" t="s">
        <v>128</v>
      </c>
      <c r="C3" s="369">
        <v>102</v>
      </c>
      <c r="D3" s="308"/>
      <c r="E3" s="308"/>
      <c r="F3" s="308"/>
      <c r="G3" s="308"/>
      <c r="H3" s="308"/>
      <c r="I3" s="308">
        <f>'STOK DETAY'!E6</f>
        <v>0</v>
      </c>
      <c r="J3" s="330">
        <f t="shared" si="0"/>
        <v>0</v>
      </c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</row>
    <row r="4" spans="1:23" s="188" customFormat="1" ht="18" customHeight="1" x14ac:dyDescent="0.35">
      <c r="A4" s="367" t="s">
        <v>244</v>
      </c>
      <c r="B4" s="368" t="s">
        <v>128</v>
      </c>
      <c r="C4" s="369">
        <v>102</v>
      </c>
      <c r="D4" s="308"/>
      <c r="E4" s="308"/>
      <c r="F4" s="308"/>
      <c r="G4" s="308"/>
      <c r="H4" s="308"/>
      <c r="I4" s="308">
        <f>'STOK DETAY'!F6</f>
        <v>0</v>
      </c>
      <c r="J4" s="330">
        <f t="shared" si="0"/>
        <v>0</v>
      </c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</row>
    <row r="5" spans="1:23" s="188" customFormat="1" ht="18" customHeight="1" x14ac:dyDescent="0.35">
      <c r="A5" s="367" t="s">
        <v>245</v>
      </c>
      <c r="B5" s="368" t="s">
        <v>128</v>
      </c>
      <c r="C5" s="369"/>
      <c r="D5" s="330"/>
      <c r="E5" s="330"/>
      <c r="F5" s="330"/>
      <c r="G5" s="330"/>
      <c r="H5" s="330"/>
      <c r="I5" s="330">
        <f>'STOK DETAY'!G6</f>
        <v>0</v>
      </c>
      <c r="J5" s="330">
        <f t="shared" si="0"/>
        <v>0</v>
      </c>
      <c r="K5" s="189"/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</row>
    <row r="6" spans="1:23" s="188" customFormat="1" ht="18" customHeight="1" x14ac:dyDescent="0.35">
      <c r="A6" s="367" t="s">
        <v>246</v>
      </c>
      <c r="B6" s="368" t="s">
        <v>55</v>
      </c>
      <c r="C6" s="369">
        <v>312</v>
      </c>
      <c r="D6" s="308"/>
      <c r="E6" s="308"/>
      <c r="F6" s="308">
        <f>'STOK DETAY'!H6</f>
        <v>92.75</v>
      </c>
      <c r="G6" s="308"/>
      <c r="H6" s="308"/>
      <c r="I6" s="308"/>
      <c r="J6" s="330">
        <f t="shared" si="0"/>
        <v>92.75</v>
      </c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</row>
    <row r="7" spans="1:23" s="188" customFormat="1" ht="18" customHeight="1" x14ac:dyDescent="0.35">
      <c r="A7" s="367" t="s">
        <v>247</v>
      </c>
      <c r="B7" s="368" t="s">
        <v>55</v>
      </c>
      <c r="C7" s="369">
        <v>113</v>
      </c>
      <c r="D7" s="330"/>
      <c r="E7" s="330"/>
      <c r="F7" s="330">
        <f>'STOK DETAY'!I6</f>
        <v>38.11</v>
      </c>
      <c r="G7" s="330"/>
      <c r="H7" s="330"/>
      <c r="I7" s="330"/>
      <c r="J7" s="330">
        <f t="shared" si="0"/>
        <v>38.11</v>
      </c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</row>
    <row r="8" spans="1:23" s="188" customFormat="1" ht="18" customHeight="1" x14ac:dyDescent="0.35">
      <c r="A8" s="367" t="s">
        <v>248</v>
      </c>
      <c r="B8" s="368" t="s">
        <v>55</v>
      </c>
      <c r="C8" s="369">
        <v>103</v>
      </c>
      <c r="D8" s="330"/>
      <c r="E8" s="330">
        <f>'STOK DETAY'!L6</f>
        <v>0</v>
      </c>
      <c r="F8" s="330">
        <f>'STOK DETAY'!M6</f>
        <v>0</v>
      </c>
      <c r="G8" s="330"/>
      <c r="H8" s="330"/>
      <c r="I8" s="330"/>
      <c r="J8" s="330">
        <f t="shared" si="0"/>
        <v>0</v>
      </c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</row>
    <row r="9" spans="1:23" s="188" customFormat="1" ht="18" customHeight="1" x14ac:dyDescent="0.35">
      <c r="A9" s="367" t="s">
        <v>249</v>
      </c>
      <c r="B9" s="368" t="s">
        <v>55</v>
      </c>
      <c r="C9" s="369">
        <v>103</v>
      </c>
      <c r="D9" s="330">
        <f>'STOK DETAY'!N6</f>
        <v>0</v>
      </c>
      <c r="E9" s="330">
        <f>'STOK DETAY'!O6</f>
        <v>8.6150000000000002</v>
      </c>
      <c r="F9" s="330">
        <f>'STOK DETAY'!P6</f>
        <v>0</v>
      </c>
      <c r="G9" s="330"/>
      <c r="H9" s="330">
        <f>'STOK DETAY'!Q6</f>
        <v>0</v>
      </c>
      <c r="I9" s="330">
        <f>'STOK DETAY'!R6</f>
        <v>0</v>
      </c>
      <c r="J9" s="330">
        <f t="shared" si="0"/>
        <v>8.6150000000000002</v>
      </c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</row>
    <row r="10" spans="1:23" s="188" customFormat="1" ht="18" customHeight="1" x14ac:dyDescent="0.35">
      <c r="A10" s="367" t="s">
        <v>250</v>
      </c>
      <c r="B10" s="368" t="s">
        <v>143</v>
      </c>
      <c r="C10" s="369"/>
      <c r="D10" s="330"/>
      <c r="E10" s="330"/>
      <c r="F10" s="330">
        <f>'STOK DETAY'!S6</f>
        <v>98.29</v>
      </c>
      <c r="G10" s="330"/>
      <c r="H10" s="330"/>
      <c r="I10" s="330"/>
      <c r="J10" s="330">
        <f t="shared" si="0"/>
        <v>98.29</v>
      </c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</row>
    <row r="11" spans="1:23" s="188" customFormat="1" ht="18" customHeight="1" x14ac:dyDescent="0.35">
      <c r="A11" s="367" t="s">
        <v>251</v>
      </c>
      <c r="B11" s="368" t="s">
        <v>55</v>
      </c>
      <c r="C11" s="369">
        <v>201</v>
      </c>
      <c r="D11" s="330">
        <f>'STOK DETAY'!T6</f>
        <v>0</v>
      </c>
      <c r="E11" s="330">
        <f>'STOK DETAY'!U6</f>
        <v>0</v>
      </c>
      <c r="F11" s="334">
        <f>'STOK DETAY'!V6</f>
        <v>54.594999999999999</v>
      </c>
      <c r="G11" s="330"/>
      <c r="H11" s="330"/>
      <c r="I11" s="330">
        <f>'STOK DETAY'!W6</f>
        <v>0</v>
      </c>
      <c r="J11" s="330">
        <f t="shared" si="0"/>
        <v>54.594999999999999</v>
      </c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</row>
    <row r="12" spans="1:23" s="188" customFormat="1" ht="18" customHeight="1" x14ac:dyDescent="0.35">
      <c r="A12" s="367" t="s">
        <v>252</v>
      </c>
      <c r="B12" s="368" t="s">
        <v>55</v>
      </c>
      <c r="C12" s="369">
        <v>201</v>
      </c>
      <c r="D12" s="330">
        <f>'STOK DETAY'!X6</f>
        <v>0</v>
      </c>
      <c r="E12" s="330">
        <f>'STOK DETAY'!Y6</f>
        <v>0</v>
      </c>
      <c r="F12" s="330">
        <f>'STOK DETAY'!Z6</f>
        <v>16.89</v>
      </c>
      <c r="G12" s="330"/>
      <c r="H12" s="330"/>
      <c r="I12" s="330"/>
      <c r="J12" s="330">
        <f t="shared" si="0"/>
        <v>16.89</v>
      </c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</row>
    <row r="13" spans="1:23" s="188" customFormat="1" ht="18" customHeight="1" x14ac:dyDescent="0.35">
      <c r="A13" s="367" t="s">
        <v>242</v>
      </c>
      <c r="B13" s="368" t="s">
        <v>55</v>
      </c>
      <c r="C13" s="369">
        <v>202</v>
      </c>
      <c r="D13" s="330">
        <f>'STOK DETAY'!AA6</f>
        <v>0</v>
      </c>
      <c r="E13" s="330">
        <f>'STOK DETAY'!AB6</f>
        <v>0</v>
      </c>
      <c r="F13" s="330">
        <f>'STOK DETAY'!AC6</f>
        <v>25.8</v>
      </c>
      <c r="G13" s="330"/>
      <c r="H13" s="330"/>
      <c r="I13" s="330">
        <f>'STOK DETAY'!AD6</f>
        <v>0</v>
      </c>
      <c r="J13" s="330">
        <f t="shared" si="0"/>
        <v>25.8</v>
      </c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</row>
    <row r="14" spans="1:23" s="188" customFormat="1" ht="18" customHeight="1" x14ac:dyDescent="0.35">
      <c r="A14" s="367" t="s">
        <v>253</v>
      </c>
      <c r="B14" s="368" t="s">
        <v>55</v>
      </c>
      <c r="C14" s="369">
        <v>202</v>
      </c>
      <c r="D14" s="330">
        <f>'STOK DETAY'!AE6</f>
        <v>0</v>
      </c>
      <c r="E14" s="330">
        <f>'STOK DETAY'!AF6</f>
        <v>0</v>
      </c>
      <c r="F14" s="330">
        <f>'STOK DETAY'!AG6</f>
        <v>0</v>
      </c>
      <c r="G14" s="330">
        <f>'STOK DETAY'!AH6</f>
        <v>0</v>
      </c>
      <c r="H14" s="330">
        <f>'STOK DETAY'!AI6</f>
        <v>0</v>
      </c>
      <c r="I14" s="330">
        <f>'STOK DETAY'!AJ6</f>
        <v>0</v>
      </c>
      <c r="J14" s="330">
        <f t="shared" si="0"/>
        <v>0</v>
      </c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</row>
    <row r="15" spans="1:23" s="188" customFormat="1" ht="18" customHeight="1" x14ac:dyDescent="0.35">
      <c r="A15" s="367" t="s">
        <v>254</v>
      </c>
      <c r="B15" s="368" t="s">
        <v>55</v>
      </c>
      <c r="C15" s="369"/>
      <c r="D15" s="330"/>
      <c r="E15" s="330"/>
      <c r="F15" s="330">
        <f>'STOK DETAY'!AK6</f>
        <v>24.27</v>
      </c>
      <c r="G15" s="330"/>
      <c r="H15" s="330"/>
      <c r="I15" s="330"/>
      <c r="J15" s="330">
        <f t="shared" si="0"/>
        <v>24.27</v>
      </c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</row>
    <row r="16" spans="1:23" s="188" customFormat="1" ht="18" customHeight="1" x14ac:dyDescent="0.35">
      <c r="A16" s="367" t="s">
        <v>243</v>
      </c>
      <c r="B16" s="368" t="s">
        <v>55</v>
      </c>
      <c r="C16" s="369">
        <v>203</v>
      </c>
      <c r="D16" s="330">
        <f>'STOK DETAY'!AL6</f>
        <v>0</v>
      </c>
      <c r="E16" s="330">
        <f>'STOK DETAY'!AM6</f>
        <v>0</v>
      </c>
      <c r="F16" s="330">
        <f>'STOK DETAY'!AN6</f>
        <v>49.41</v>
      </c>
      <c r="G16" s="330"/>
      <c r="H16" s="330">
        <f>'STOK DETAY'!AO6</f>
        <v>0</v>
      </c>
      <c r="I16" s="330"/>
      <c r="J16" s="330">
        <f t="shared" si="0"/>
        <v>49.41</v>
      </c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</row>
    <row r="17" spans="1:23" s="188" customFormat="1" ht="18" customHeight="1" x14ac:dyDescent="0.35">
      <c r="A17" s="367" t="s">
        <v>255</v>
      </c>
      <c r="B17" s="368" t="s">
        <v>55</v>
      </c>
      <c r="C17" s="369">
        <v>203</v>
      </c>
      <c r="D17" s="330">
        <f>'STOK DETAY'!AP6</f>
        <v>0</v>
      </c>
      <c r="E17" s="330">
        <f>'STOK DETAY'!AQ6</f>
        <v>0</v>
      </c>
      <c r="F17" s="330">
        <f>'STOK DETAY'!AR6</f>
        <v>7.83</v>
      </c>
      <c r="G17" s="330">
        <f>'STOK DETAY'!AS6</f>
        <v>0</v>
      </c>
      <c r="H17" s="330">
        <f>'STOK DETAY'!AT6</f>
        <v>0</v>
      </c>
      <c r="I17" s="330"/>
      <c r="J17" s="330">
        <f t="shared" si="0"/>
        <v>7.83</v>
      </c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</row>
    <row r="18" spans="1:23" s="188" customFormat="1" ht="18" customHeight="1" x14ac:dyDescent="0.35">
      <c r="A18" s="367" t="s">
        <v>244</v>
      </c>
      <c r="B18" s="368" t="s">
        <v>55</v>
      </c>
      <c r="C18" s="369">
        <v>301</v>
      </c>
      <c r="D18" s="330">
        <f>'STOK DETAY'!AU6</f>
        <v>0</v>
      </c>
      <c r="E18" s="330">
        <f>'STOK DETAY'!AV6</f>
        <v>0</v>
      </c>
      <c r="F18" s="330">
        <f>'STOK DETAY'!AW6</f>
        <v>16.170000000000002</v>
      </c>
      <c r="G18" s="330">
        <f>'STOK DETAY'!AX6</f>
        <v>0</v>
      </c>
      <c r="H18" s="330">
        <f>'STOK DETAY'!AY6</f>
        <v>0</v>
      </c>
      <c r="I18" s="330">
        <f>'STOK DETAY'!AZ6</f>
        <v>0</v>
      </c>
      <c r="J18" s="330">
        <f t="shared" si="0"/>
        <v>16.170000000000002</v>
      </c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</row>
    <row r="19" spans="1:23" s="188" customFormat="1" ht="18" customHeight="1" x14ac:dyDescent="0.35">
      <c r="A19" s="367" t="s">
        <v>256</v>
      </c>
      <c r="B19" s="368" t="s">
        <v>55</v>
      </c>
      <c r="C19" s="369">
        <v>301</v>
      </c>
      <c r="D19" s="330">
        <f>'STOK DETAY'!BA6</f>
        <v>0</v>
      </c>
      <c r="E19" s="330">
        <f>'STOK DETAY'!BB6</f>
        <v>0</v>
      </c>
      <c r="F19" s="330">
        <f>'STOK DETAY'!BC6</f>
        <v>17.34</v>
      </c>
      <c r="G19" s="330"/>
      <c r="H19" s="330">
        <f>'STOK DETAY'!BE6</f>
        <v>0</v>
      </c>
      <c r="I19" s="330">
        <f>'STOK DETAY'!BF6</f>
        <v>0</v>
      </c>
      <c r="J19" s="330">
        <f t="shared" si="0"/>
        <v>17.34</v>
      </c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</row>
    <row r="20" spans="1:23" s="188" customFormat="1" ht="18" customHeight="1" x14ac:dyDescent="0.35">
      <c r="A20" s="367" t="s">
        <v>257</v>
      </c>
      <c r="B20" s="368" t="s">
        <v>55</v>
      </c>
      <c r="C20" s="369">
        <v>302</v>
      </c>
      <c r="D20" s="330">
        <f>'STOK DETAY'!BG6</f>
        <v>0</v>
      </c>
      <c r="E20" s="330">
        <f>'STOK DETAY'!BH6</f>
        <v>0</v>
      </c>
      <c r="F20" s="330">
        <f>'STOK DETAY'!BI6</f>
        <v>0</v>
      </c>
      <c r="G20" s="330">
        <f>'STOK DETAY'!BJ6</f>
        <v>0</v>
      </c>
      <c r="H20" s="330">
        <f>'STOK DETAY'!BK6</f>
        <v>0</v>
      </c>
      <c r="I20" s="330">
        <f>'STOK DETAY'!BL6</f>
        <v>0</v>
      </c>
      <c r="J20" s="330">
        <f t="shared" si="0"/>
        <v>0</v>
      </c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</row>
    <row r="21" spans="1:23" s="188" customFormat="1" ht="18" customHeight="1" x14ac:dyDescent="0.35">
      <c r="A21" s="367" t="s">
        <v>258</v>
      </c>
      <c r="B21" s="368" t="s">
        <v>55</v>
      </c>
      <c r="C21" s="369">
        <v>302</v>
      </c>
      <c r="D21" s="330">
        <f>'STOK DETAY'!BM6</f>
        <v>0</v>
      </c>
      <c r="E21" s="330">
        <f>'STOK DETAY'!BN6</f>
        <v>0</v>
      </c>
      <c r="F21" s="330">
        <f>'STOK DETAY'!BO6</f>
        <v>8.83</v>
      </c>
      <c r="G21" s="330">
        <f>'STOK DETAY'!BP6</f>
        <v>0</v>
      </c>
      <c r="H21" s="330">
        <f>'STOK DETAY'!BQ6</f>
        <v>0</v>
      </c>
      <c r="I21" s="330">
        <f>'STOK DETAY'!BR6</f>
        <v>0</v>
      </c>
      <c r="J21" s="330">
        <f t="shared" si="0"/>
        <v>8.83</v>
      </c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</row>
    <row r="22" spans="1:23" s="188" customFormat="1" ht="18" customHeight="1" x14ac:dyDescent="0.35">
      <c r="A22" s="367" t="s">
        <v>259</v>
      </c>
      <c r="B22" s="368" t="s">
        <v>55</v>
      </c>
      <c r="C22" s="369">
        <v>303</v>
      </c>
      <c r="D22" s="330">
        <f>'STOK DETAY'!BS6</f>
        <v>0</v>
      </c>
      <c r="E22" s="330">
        <f>'STOK DETAY'!BT6</f>
        <v>0</v>
      </c>
      <c r="F22" s="330">
        <f>'STOK DETAY'!BU6</f>
        <v>0</v>
      </c>
      <c r="G22" s="330">
        <f>'STOK DETAY'!BV6</f>
        <v>0</v>
      </c>
      <c r="H22" s="330">
        <f>'STOK DETAY'!BW6</f>
        <v>0</v>
      </c>
      <c r="I22" s="330">
        <f>'STOK DETAY'!BX6</f>
        <v>0</v>
      </c>
      <c r="J22" s="330">
        <f t="shared" si="0"/>
        <v>0</v>
      </c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</row>
    <row r="23" spans="1:23" s="188" customFormat="1" ht="18" customHeight="1" x14ac:dyDescent="0.35">
      <c r="A23" s="367" t="s">
        <v>260</v>
      </c>
      <c r="B23" s="368" t="s">
        <v>55</v>
      </c>
      <c r="C23" s="369">
        <v>303</v>
      </c>
      <c r="D23" s="330">
        <f>'STOK DETAY'!BY6</f>
        <v>0</v>
      </c>
      <c r="E23" s="330">
        <f>'STOK DETAY'!BZ6</f>
        <v>0</v>
      </c>
      <c r="F23" s="330">
        <f>'STOK DETAY'!CA6</f>
        <v>0</v>
      </c>
      <c r="G23" s="330">
        <f>'STOK DETAY'!CB6</f>
        <v>0</v>
      </c>
      <c r="H23" s="330">
        <f>'STOK DETAY'!CC6</f>
        <v>0</v>
      </c>
      <c r="I23" s="330">
        <f>'STOK DETAY'!CD6</f>
        <v>0</v>
      </c>
      <c r="J23" s="330">
        <f t="shared" si="0"/>
        <v>0</v>
      </c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</row>
    <row r="24" spans="1:23" s="188" customFormat="1" ht="18" customHeight="1" x14ac:dyDescent="0.35">
      <c r="A24" s="367" t="s">
        <v>261</v>
      </c>
      <c r="B24" s="368" t="s">
        <v>55</v>
      </c>
      <c r="C24" s="369">
        <v>401</v>
      </c>
      <c r="D24" s="330">
        <f>'STOK DETAY'!CE6</f>
        <v>0</v>
      </c>
      <c r="E24" s="330">
        <f>'STOK DETAY'!CF6</f>
        <v>0</v>
      </c>
      <c r="F24" s="330">
        <f>'STOK DETAY'!CG6</f>
        <v>0</v>
      </c>
      <c r="G24" s="330">
        <f>'STOK DETAY'!CH6</f>
        <v>0</v>
      </c>
      <c r="H24" s="330">
        <f>'STOK DETAY'!CI6</f>
        <v>0</v>
      </c>
      <c r="I24" s="330">
        <f>'STOK DETAY'!CJ6</f>
        <v>0</v>
      </c>
      <c r="J24" s="330">
        <f t="shared" si="0"/>
        <v>0</v>
      </c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</row>
    <row r="25" spans="1:23" s="188" customFormat="1" ht="18" customHeight="1" x14ac:dyDescent="0.35">
      <c r="A25" s="367" t="s">
        <v>262</v>
      </c>
      <c r="B25" s="368" t="s">
        <v>55</v>
      </c>
      <c r="C25" s="369">
        <v>401</v>
      </c>
      <c r="D25" s="330">
        <f>'STOK DETAY'!CK6</f>
        <v>0</v>
      </c>
      <c r="E25" s="330">
        <f>'STOK DETAY'!CL6</f>
        <v>0</v>
      </c>
      <c r="F25" s="330">
        <f>'STOK DETAY'!CM6</f>
        <v>8.6750000000000007</v>
      </c>
      <c r="G25" s="330">
        <f>'STOK DETAY'!CN6</f>
        <v>0</v>
      </c>
      <c r="H25" s="330">
        <f>'STOK DETAY'!CO6</f>
        <v>0</v>
      </c>
      <c r="I25" s="330">
        <f>'STOK DETAY'!CP6</f>
        <v>0</v>
      </c>
      <c r="J25" s="330">
        <f t="shared" si="0"/>
        <v>8.6750000000000007</v>
      </c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</row>
    <row r="26" spans="1:23" s="188" customFormat="1" ht="18" customHeight="1" x14ac:dyDescent="0.35">
      <c r="A26" s="367" t="s">
        <v>263</v>
      </c>
      <c r="B26" s="368" t="s">
        <v>55</v>
      </c>
      <c r="C26" s="369">
        <v>402</v>
      </c>
      <c r="D26" s="330">
        <f>'STOK DETAY'!CQ6</f>
        <v>0</v>
      </c>
      <c r="E26" s="330">
        <f>'STOK DETAY'!CR6</f>
        <v>0</v>
      </c>
      <c r="F26" s="330">
        <f>'STOK DETAY'!CS6</f>
        <v>86.37</v>
      </c>
      <c r="G26" s="330">
        <f>'STOK DETAY'!CT6</f>
        <v>0</v>
      </c>
      <c r="H26" s="330">
        <f>'STOK DETAY'!CU6</f>
        <v>0</v>
      </c>
      <c r="I26" s="330">
        <f>'STOK DETAY'!CV6</f>
        <v>0</v>
      </c>
      <c r="J26" s="330">
        <f t="shared" si="0"/>
        <v>86.37</v>
      </c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</row>
    <row r="27" spans="1:23" s="188" customFormat="1" ht="18" customHeight="1" x14ac:dyDescent="0.35">
      <c r="A27" s="367" t="s">
        <v>264</v>
      </c>
      <c r="B27" s="368" t="s">
        <v>55</v>
      </c>
      <c r="C27" s="369">
        <v>402</v>
      </c>
      <c r="D27" s="330">
        <f>'STOK DETAY'!CW6</f>
        <v>0</v>
      </c>
      <c r="E27" s="330">
        <f>'STOK DETAY'!CX6</f>
        <v>0</v>
      </c>
      <c r="F27" s="330">
        <f>'STOK DETAY'!CY6</f>
        <v>8.7949999999999999</v>
      </c>
      <c r="G27" s="330">
        <f>'STOK DETAY'!CZ6</f>
        <v>0</v>
      </c>
      <c r="H27" s="330">
        <f>'STOK DETAY'!DA6</f>
        <v>0</v>
      </c>
      <c r="I27" s="330">
        <f>'STOK DETAY'!DB6</f>
        <v>0</v>
      </c>
      <c r="J27" s="330">
        <f t="shared" si="0"/>
        <v>8.7949999999999999</v>
      </c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</row>
    <row r="28" spans="1:23" s="188" customFormat="1" ht="18" customHeight="1" x14ac:dyDescent="0.35">
      <c r="A28" s="367" t="s">
        <v>265</v>
      </c>
      <c r="B28" s="368" t="s">
        <v>55</v>
      </c>
      <c r="C28" s="369">
        <v>403</v>
      </c>
      <c r="D28" s="330">
        <f>'STOK DETAY'!DC6</f>
        <v>0</v>
      </c>
      <c r="E28" s="330">
        <f>'STOK DETAY'!DD6</f>
        <v>0</v>
      </c>
      <c r="F28" s="330">
        <f>'STOK DETAY'!DE6</f>
        <v>51.814999999999998</v>
      </c>
      <c r="G28" s="330">
        <f>'STOK DETAY'!DF6</f>
        <v>0</v>
      </c>
      <c r="H28" s="330">
        <f>'STOK DETAY'!DG6</f>
        <v>0</v>
      </c>
      <c r="I28" s="330"/>
      <c r="J28" s="330">
        <f t="shared" si="0"/>
        <v>51.814999999999998</v>
      </c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</row>
    <row r="29" spans="1:23" s="188" customFormat="1" ht="18" customHeight="1" x14ac:dyDescent="0.35">
      <c r="A29" s="367" t="s">
        <v>266</v>
      </c>
      <c r="B29" s="368" t="s">
        <v>55</v>
      </c>
      <c r="C29" s="369">
        <v>403</v>
      </c>
      <c r="D29" s="330">
        <f>'STOK DETAY'!DI6</f>
        <v>0</v>
      </c>
      <c r="E29" s="330">
        <f>'STOK DETAY'!DJ6</f>
        <v>0</v>
      </c>
      <c r="F29" s="330">
        <f>'STOK DETAY'!DK6</f>
        <v>0</v>
      </c>
      <c r="G29" s="330">
        <f>'STOK DETAY'!DL6</f>
        <v>0</v>
      </c>
      <c r="H29" s="330">
        <f>'STOK DETAY'!DM6</f>
        <v>24.55</v>
      </c>
      <c r="I29" s="330"/>
      <c r="J29" s="330">
        <f t="shared" si="0"/>
        <v>24.55</v>
      </c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</row>
    <row r="30" spans="1:23" s="188" customFormat="1" ht="18" customHeight="1" x14ac:dyDescent="0.35">
      <c r="A30" s="367" t="s">
        <v>267</v>
      </c>
      <c r="B30" s="368" t="s">
        <v>55</v>
      </c>
      <c r="C30" s="369">
        <v>501</v>
      </c>
      <c r="D30" s="330">
        <f>'STOK DETAY'!DN6</f>
        <v>0</v>
      </c>
      <c r="E30" s="330">
        <f>'STOK DETAY'!DO6</f>
        <v>0</v>
      </c>
      <c r="F30" s="330">
        <f>'STOK DETAY'!DP6</f>
        <v>8.8049999999999997</v>
      </c>
      <c r="G30" s="330">
        <f>'STOK DETAY'!DQ6</f>
        <v>0</v>
      </c>
      <c r="H30" s="330">
        <f>'STOK DETAY'!DR6</f>
        <v>0</v>
      </c>
      <c r="I30" s="330"/>
      <c r="J30" s="330">
        <f t="shared" si="0"/>
        <v>8.8049999999999997</v>
      </c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</row>
    <row r="31" spans="1:23" s="188" customFormat="1" ht="18" customHeight="1" x14ac:dyDescent="0.35">
      <c r="A31" s="367" t="s">
        <v>268</v>
      </c>
      <c r="B31" s="368" t="s">
        <v>55</v>
      </c>
      <c r="C31" s="369">
        <v>501</v>
      </c>
      <c r="D31" s="330">
        <f>'STOK DETAY'!DS6</f>
        <v>0</v>
      </c>
      <c r="E31" s="330">
        <f>'STOK DETAY'!DT6</f>
        <v>0</v>
      </c>
      <c r="F31" s="330">
        <f>'STOK DETAY'!DU6</f>
        <v>0</v>
      </c>
      <c r="G31" s="330">
        <f>'STOK DETAY'!DV6</f>
        <v>0</v>
      </c>
      <c r="H31" s="330">
        <f>'STOK DETAY'!DW6</f>
        <v>0</v>
      </c>
      <c r="I31" s="330">
        <f>'STOK DETAY'!DX6</f>
        <v>0</v>
      </c>
      <c r="J31" s="330">
        <f t="shared" si="0"/>
        <v>0</v>
      </c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</row>
    <row r="32" spans="1:23" s="188" customFormat="1" ht="18" customHeight="1" x14ac:dyDescent="0.35">
      <c r="A32" s="367" t="s">
        <v>269</v>
      </c>
      <c r="B32" s="368" t="s">
        <v>55</v>
      </c>
      <c r="C32" s="369">
        <v>502</v>
      </c>
      <c r="D32" s="330">
        <f>'STOK DETAY'!DY6</f>
        <v>0</v>
      </c>
      <c r="E32" s="330">
        <f>'STOK DETAY'!DZ6</f>
        <v>0</v>
      </c>
      <c r="F32" s="330">
        <f>'STOK DETAY'!EA6</f>
        <v>42.075000000000003</v>
      </c>
      <c r="G32" s="330">
        <f>'STOK DETAY'!EB6</f>
        <v>0</v>
      </c>
      <c r="H32" s="330">
        <f>'STOK DETAY'!EC6</f>
        <v>0</v>
      </c>
      <c r="I32" s="330">
        <f>'STOK DETAY'!ED6</f>
        <v>0</v>
      </c>
      <c r="J32" s="330">
        <f t="shared" si="0"/>
        <v>42.075000000000003</v>
      </c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</row>
    <row r="33" spans="1:23" s="188" customFormat="1" ht="18" customHeight="1" x14ac:dyDescent="0.35">
      <c r="A33" s="367" t="s">
        <v>270</v>
      </c>
      <c r="B33" s="368" t="s">
        <v>55</v>
      </c>
      <c r="C33" s="369">
        <v>502</v>
      </c>
      <c r="D33" s="330">
        <f>'STOK DETAY'!EE6</f>
        <v>0</v>
      </c>
      <c r="E33" s="330">
        <f>'STOK DETAY'!EF6</f>
        <v>0</v>
      </c>
      <c r="F33" s="330">
        <f>'STOK DETAY'!EG6</f>
        <v>661.745</v>
      </c>
      <c r="G33" s="330">
        <f>'STOK DETAY'!EH6</f>
        <v>1.75</v>
      </c>
      <c r="H33" s="330">
        <f>'STOK DETAY'!EI6</f>
        <v>8.44</v>
      </c>
      <c r="I33" s="330"/>
      <c r="J33" s="330">
        <f t="shared" si="0"/>
        <v>671.93499999999995</v>
      </c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</row>
    <row r="34" spans="1:23" s="188" customFormat="1" ht="18" customHeight="1" x14ac:dyDescent="0.35">
      <c r="A34" s="367" t="s">
        <v>271</v>
      </c>
      <c r="B34" s="368" t="s">
        <v>55</v>
      </c>
      <c r="C34" s="369">
        <v>503</v>
      </c>
      <c r="D34" s="330">
        <f>'STOK DETAY'!EJ6</f>
        <v>0</v>
      </c>
      <c r="E34" s="330">
        <f>'STOK DETAY'!EK6</f>
        <v>0</v>
      </c>
      <c r="F34" s="330">
        <f>'STOK DETAY'!EL6</f>
        <v>0</v>
      </c>
      <c r="G34" s="330"/>
      <c r="H34" s="330">
        <f>'STOK DETAY'!EM6</f>
        <v>68.8</v>
      </c>
      <c r="I34" s="330"/>
      <c r="J34" s="330">
        <f t="shared" ref="J34:J65" si="1">SUM(D34:I34)</f>
        <v>68.8</v>
      </c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</row>
    <row r="35" spans="1:23" s="188" customFormat="1" ht="18" customHeight="1" x14ac:dyDescent="0.35">
      <c r="A35" s="367" t="s">
        <v>272</v>
      </c>
      <c r="B35" s="368" t="s">
        <v>55</v>
      </c>
      <c r="C35" s="369">
        <v>503</v>
      </c>
      <c r="D35" s="330">
        <f>'STOK DETAY'!EN6</f>
        <v>0</v>
      </c>
      <c r="E35" s="330">
        <f>'STOK DETAY'!EO6</f>
        <v>0</v>
      </c>
      <c r="F35" s="330">
        <f>'STOK DETAY'!EP6</f>
        <v>16.170000000000002</v>
      </c>
      <c r="G35" s="330"/>
      <c r="H35" s="330">
        <f>'STOK DETAY'!EQ6</f>
        <v>0</v>
      </c>
      <c r="I35" s="330"/>
      <c r="J35" s="330">
        <f t="shared" si="1"/>
        <v>16.170000000000002</v>
      </c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</row>
    <row r="36" spans="1:23" s="188" customFormat="1" ht="18" customHeight="1" x14ac:dyDescent="0.35">
      <c r="A36" s="367" t="s">
        <v>273</v>
      </c>
      <c r="B36" s="368" t="s">
        <v>55</v>
      </c>
      <c r="C36" s="369"/>
      <c r="D36" s="330">
        <f>'STOK DETAY'!ER6</f>
        <v>0</v>
      </c>
      <c r="E36" s="330">
        <f>'STOK DETAY'!ES6</f>
        <v>0</v>
      </c>
      <c r="F36" s="330">
        <f>'STOK DETAY'!ET6</f>
        <v>0</v>
      </c>
      <c r="G36" s="330"/>
      <c r="H36" s="330">
        <f>'STOK DETAY'!EU6</f>
        <v>0</v>
      </c>
      <c r="I36" s="330"/>
      <c r="J36" s="330">
        <f t="shared" si="1"/>
        <v>0</v>
      </c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</row>
    <row r="37" spans="1:23" s="188" customFormat="1" ht="18" customHeight="1" x14ac:dyDescent="0.35">
      <c r="A37" s="367" t="s">
        <v>274</v>
      </c>
      <c r="B37" s="368" t="s">
        <v>55</v>
      </c>
      <c r="C37" s="369">
        <v>211</v>
      </c>
      <c r="D37" s="330"/>
      <c r="E37" s="330"/>
      <c r="F37" s="330"/>
      <c r="G37" s="330"/>
      <c r="H37" s="330">
        <f>'STOK DETAY'!EV6</f>
        <v>27.65</v>
      </c>
      <c r="I37" s="330"/>
      <c r="J37" s="330">
        <f t="shared" si="1"/>
        <v>27.65</v>
      </c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</row>
    <row r="38" spans="1:23" s="188" customFormat="1" ht="18" customHeight="1" x14ac:dyDescent="0.35">
      <c r="A38" s="367" t="s">
        <v>275</v>
      </c>
      <c r="B38" s="368" t="s">
        <v>55</v>
      </c>
      <c r="C38" s="369"/>
      <c r="D38" s="330"/>
      <c r="E38" s="330">
        <f>'STOK DETAY'!EW6</f>
        <v>0</v>
      </c>
      <c r="F38" s="330"/>
      <c r="G38" s="330"/>
      <c r="H38" s="330"/>
      <c r="I38" s="330"/>
      <c r="J38" s="330">
        <f t="shared" si="1"/>
        <v>0</v>
      </c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</row>
    <row r="39" spans="1:23" s="188" customFormat="1" ht="18" customHeight="1" x14ac:dyDescent="0.35">
      <c r="A39" s="367" t="s">
        <v>276</v>
      </c>
      <c r="B39" s="368" t="s">
        <v>55</v>
      </c>
      <c r="C39" s="369"/>
      <c r="D39" s="330"/>
      <c r="E39" s="330">
        <f>'STOK DETAY'!EY6</f>
        <v>0</v>
      </c>
      <c r="F39" s="330">
        <f>'STOK DETAY'!EZ6</f>
        <v>0</v>
      </c>
      <c r="G39" s="330"/>
      <c r="H39" s="330"/>
      <c r="I39" s="330"/>
      <c r="J39" s="330">
        <f t="shared" si="1"/>
        <v>0</v>
      </c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</row>
    <row r="40" spans="1:23" s="188" customFormat="1" ht="18" customHeight="1" x14ac:dyDescent="0.35">
      <c r="A40" s="367" t="s">
        <v>277</v>
      </c>
      <c r="B40" s="368" t="s">
        <v>55</v>
      </c>
      <c r="C40" s="369"/>
      <c r="D40" s="330">
        <f>'STOK DETAY'!FA6</f>
        <v>0</v>
      </c>
      <c r="E40" s="330">
        <f>'STOK DETAY'!FB6</f>
        <v>0</v>
      </c>
      <c r="F40" s="330">
        <f>'STOK DETAY'!FC6</f>
        <v>0</v>
      </c>
      <c r="G40" s="330"/>
      <c r="H40" s="330">
        <f>'STOK DETAY'!FD6</f>
        <v>0</v>
      </c>
      <c r="I40" s="330"/>
      <c r="J40" s="330">
        <f t="shared" si="1"/>
        <v>0</v>
      </c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</row>
    <row r="41" spans="1:23" s="188" customFormat="1" ht="18" customHeight="1" x14ac:dyDescent="0.35">
      <c r="A41" s="367" t="s">
        <v>278</v>
      </c>
      <c r="B41" s="368" t="s">
        <v>55</v>
      </c>
      <c r="C41" s="369"/>
      <c r="D41" s="330"/>
      <c r="E41" s="330"/>
      <c r="F41" s="330"/>
      <c r="G41" s="330"/>
      <c r="H41" s="330">
        <f>'STOK DETAY'!FE6</f>
        <v>28</v>
      </c>
      <c r="I41" s="330"/>
      <c r="J41" s="330">
        <f t="shared" si="1"/>
        <v>28</v>
      </c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</row>
    <row r="42" spans="1:23" s="188" customFormat="1" ht="18" customHeight="1" x14ac:dyDescent="0.35">
      <c r="A42" s="367" t="s">
        <v>279</v>
      </c>
      <c r="B42" s="368" t="s">
        <v>55</v>
      </c>
      <c r="C42" s="369"/>
      <c r="D42" s="330"/>
      <c r="E42" s="330">
        <f>'STOK DETAY'!FF6</f>
        <v>0</v>
      </c>
      <c r="F42" s="330">
        <f>'STOK DETAY'!FG6</f>
        <v>103.66500000000001</v>
      </c>
      <c r="G42" s="330"/>
      <c r="H42" s="330">
        <f>'STOK DETAY'!FH6</f>
        <v>0</v>
      </c>
      <c r="I42" s="330"/>
      <c r="J42" s="330">
        <f t="shared" si="1"/>
        <v>103.66500000000001</v>
      </c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</row>
    <row r="43" spans="1:23" s="188" customFormat="1" ht="18" customHeight="1" x14ac:dyDescent="0.35">
      <c r="A43" s="367" t="s">
        <v>280</v>
      </c>
      <c r="B43" s="368" t="s">
        <v>55</v>
      </c>
      <c r="C43" s="369"/>
      <c r="D43" s="330"/>
      <c r="E43" s="330">
        <f>'STOK DETAY'!FJ6</f>
        <v>0</v>
      </c>
      <c r="F43" s="330">
        <f>'STOK DETAY'!FK6</f>
        <v>0</v>
      </c>
      <c r="G43" s="330"/>
      <c r="H43" s="330">
        <f>'STOK DETAY'!FL6</f>
        <v>0</v>
      </c>
      <c r="I43" s="330"/>
      <c r="J43" s="330">
        <f t="shared" si="1"/>
        <v>0</v>
      </c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</row>
    <row r="44" spans="1:23" s="188" customFormat="1" ht="18" customHeight="1" x14ac:dyDescent="0.35">
      <c r="A44" s="367" t="s">
        <v>281</v>
      </c>
      <c r="B44" s="368" t="s">
        <v>55</v>
      </c>
      <c r="C44" s="369"/>
      <c r="D44" s="330">
        <f>'STOK DETAY'!FM6</f>
        <v>0</v>
      </c>
      <c r="E44" s="330"/>
      <c r="F44" s="330"/>
      <c r="G44" s="330"/>
      <c r="H44" s="330">
        <f>'STOK DETAY'!FN6</f>
        <v>45.85</v>
      </c>
      <c r="I44" s="330"/>
      <c r="J44" s="330">
        <f t="shared" si="1"/>
        <v>45.85</v>
      </c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</row>
    <row r="45" spans="1:23" s="188" customFormat="1" ht="18" customHeight="1" x14ac:dyDescent="0.35">
      <c r="A45" s="367" t="s">
        <v>282</v>
      </c>
      <c r="B45" s="368" t="s">
        <v>55</v>
      </c>
      <c r="C45" s="369"/>
      <c r="D45" s="330"/>
      <c r="E45" s="330"/>
      <c r="F45" s="330"/>
      <c r="G45" s="330"/>
      <c r="H45" s="330">
        <f>'STOK DETAY'!FO6</f>
        <v>0</v>
      </c>
      <c r="I45" s="330"/>
      <c r="J45" s="330">
        <f t="shared" si="1"/>
        <v>0</v>
      </c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</row>
    <row r="46" spans="1:23" s="188" customFormat="1" ht="18" customHeight="1" x14ac:dyDescent="0.35">
      <c r="A46" s="367" t="s">
        <v>283</v>
      </c>
      <c r="B46" s="368" t="s">
        <v>55</v>
      </c>
      <c r="C46" s="369"/>
      <c r="D46" s="330"/>
      <c r="E46" s="330"/>
      <c r="F46" s="330"/>
      <c r="G46" s="330"/>
      <c r="H46" s="330">
        <f>'STOK DETAY'!FP6</f>
        <v>0</v>
      </c>
      <c r="I46" s="330"/>
      <c r="J46" s="330">
        <f t="shared" si="1"/>
        <v>0</v>
      </c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</row>
    <row r="47" spans="1:23" s="188" customFormat="1" ht="18" customHeight="1" x14ac:dyDescent="0.35">
      <c r="A47" s="367" t="s">
        <v>284</v>
      </c>
      <c r="B47" s="368" t="s">
        <v>55</v>
      </c>
      <c r="C47" s="369"/>
      <c r="D47" s="330">
        <f>'STOK DETAY'!FQ6</f>
        <v>0</v>
      </c>
      <c r="E47" s="330">
        <f>'STOK DETAY'!FR6</f>
        <v>0</v>
      </c>
      <c r="F47" s="330">
        <f>'STOK DETAY'!FS6</f>
        <v>0</v>
      </c>
      <c r="G47" s="330"/>
      <c r="H47" s="330"/>
      <c r="I47" s="330">
        <f>'STOK DETAY'!FT6</f>
        <v>0</v>
      </c>
      <c r="J47" s="330">
        <f t="shared" si="1"/>
        <v>0</v>
      </c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</row>
    <row r="48" spans="1:23" s="188" customFormat="1" ht="18" customHeight="1" x14ac:dyDescent="0.35">
      <c r="A48" s="367" t="s">
        <v>245</v>
      </c>
      <c r="B48" s="368" t="s">
        <v>55</v>
      </c>
      <c r="C48" s="369"/>
      <c r="D48" s="330"/>
      <c r="E48" s="330">
        <f>'STOK DETAY'!FU6</f>
        <v>0</v>
      </c>
      <c r="F48" s="330">
        <f>'STOK DETAY'!FV6</f>
        <v>0</v>
      </c>
      <c r="G48" s="330"/>
      <c r="H48" s="330">
        <f>'STOK DETAY'!FW6</f>
        <v>45.4</v>
      </c>
      <c r="I48" s="330"/>
      <c r="J48" s="330">
        <f t="shared" si="1"/>
        <v>45.4</v>
      </c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</row>
    <row r="49" spans="1:23" s="188" customFormat="1" ht="18" customHeight="1" x14ac:dyDescent="0.35">
      <c r="A49" s="367" t="s">
        <v>285</v>
      </c>
      <c r="B49" s="368" t="s">
        <v>55</v>
      </c>
      <c r="C49" s="369">
        <v>113</v>
      </c>
      <c r="D49" s="330">
        <f>'STOK DETAY'!FX6</f>
        <v>9.1999999999999993</v>
      </c>
      <c r="E49" s="330"/>
      <c r="F49" s="330"/>
      <c r="G49" s="330"/>
      <c r="H49" s="330">
        <f>'STOK DETAY'!FY6</f>
        <v>0</v>
      </c>
      <c r="I49" s="330">
        <f>'STOK DETAY'!FZ6</f>
        <v>0</v>
      </c>
      <c r="J49" s="330">
        <f t="shared" si="1"/>
        <v>9.1999999999999993</v>
      </c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</row>
    <row r="50" spans="1:23" s="188" customFormat="1" ht="18" customHeight="1" x14ac:dyDescent="0.35">
      <c r="A50" s="367" t="s">
        <v>286</v>
      </c>
      <c r="B50" s="368" t="s">
        <v>55</v>
      </c>
      <c r="C50" s="369"/>
      <c r="D50" s="330"/>
      <c r="E50" s="330">
        <f>'STOK DETAY'!GA6</f>
        <v>0</v>
      </c>
      <c r="F50" s="330">
        <f>'STOK DETAY'!GB6</f>
        <v>0</v>
      </c>
      <c r="G50" s="330"/>
      <c r="H50" s="330">
        <f>'STOK DETAY'!GC6</f>
        <v>89.45</v>
      </c>
      <c r="I50" s="330">
        <f>'STOK DETAY'!GD6</f>
        <v>0</v>
      </c>
      <c r="J50" s="330">
        <f t="shared" si="1"/>
        <v>89.45</v>
      </c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</row>
    <row r="51" spans="1:23" s="188" customFormat="1" ht="18" customHeight="1" x14ac:dyDescent="0.35">
      <c r="A51" s="367" t="s">
        <v>287</v>
      </c>
      <c r="B51" s="368" t="s">
        <v>55</v>
      </c>
      <c r="C51" s="369">
        <v>211</v>
      </c>
      <c r="D51" s="330"/>
      <c r="E51" s="330">
        <f>'STOK DETAY'!GE6</f>
        <v>0</v>
      </c>
      <c r="F51" s="330"/>
      <c r="G51" s="330"/>
      <c r="H51" s="330">
        <f>'STOK DETAY'!GF6</f>
        <v>21.45</v>
      </c>
      <c r="I51" s="330"/>
      <c r="J51" s="330">
        <f t="shared" si="1"/>
        <v>21.45</v>
      </c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</row>
    <row r="52" spans="1:23" s="188" customFormat="1" ht="18" customHeight="1" x14ac:dyDescent="0.35">
      <c r="A52" s="367" t="s">
        <v>288</v>
      </c>
      <c r="B52" s="368" t="s">
        <v>55</v>
      </c>
      <c r="C52" s="369"/>
      <c r="D52" s="330"/>
      <c r="E52" s="330"/>
      <c r="F52" s="330"/>
      <c r="G52" s="330"/>
      <c r="H52" s="330">
        <f>'STOK DETAY'!GG6</f>
        <v>0</v>
      </c>
      <c r="I52" s="330"/>
      <c r="J52" s="330">
        <f t="shared" si="1"/>
        <v>0</v>
      </c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</row>
    <row r="53" spans="1:23" s="188" customFormat="1" ht="18" customHeight="1" x14ac:dyDescent="0.35">
      <c r="A53" s="367" t="s">
        <v>289</v>
      </c>
      <c r="B53" s="368" t="s">
        <v>55</v>
      </c>
      <c r="C53" s="369"/>
      <c r="D53" s="330"/>
      <c r="E53" s="330"/>
      <c r="F53" s="330"/>
      <c r="G53" s="330"/>
      <c r="H53" s="330">
        <f>'STOK DETAY'!GI6</f>
        <v>0</v>
      </c>
      <c r="I53" s="330"/>
      <c r="J53" s="330">
        <f t="shared" si="1"/>
        <v>0</v>
      </c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</row>
    <row r="54" spans="1:23" s="188" customFormat="1" ht="18" customHeight="1" x14ac:dyDescent="0.35">
      <c r="A54" s="367" t="s">
        <v>290</v>
      </c>
      <c r="B54" s="368" t="s">
        <v>30</v>
      </c>
      <c r="C54" s="369">
        <v>611</v>
      </c>
      <c r="D54" s="330">
        <f>'STOK DETAY'!GJ6</f>
        <v>0</v>
      </c>
      <c r="E54" s="330"/>
      <c r="F54" s="330">
        <f>'STOK DETAY'!GK6</f>
        <v>76.703000000000003</v>
      </c>
      <c r="G54" s="330"/>
      <c r="H54" s="330"/>
      <c r="I54" s="330"/>
      <c r="J54" s="330">
        <f t="shared" si="1"/>
        <v>76.703000000000003</v>
      </c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</row>
    <row r="55" spans="1:23" s="188" customFormat="1" ht="18" customHeight="1" x14ac:dyDescent="0.35">
      <c r="A55" s="367" t="s">
        <v>246</v>
      </c>
      <c r="B55" s="332" t="s">
        <v>30</v>
      </c>
      <c r="C55" s="369"/>
      <c r="D55" s="330">
        <f>'STOK DETAY'!GL6</f>
        <v>0</v>
      </c>
      <c r="E55" s="330"/>
      <c r="F55" s="330">
        <f>'STOK DETAY'!GM6</f>
        <v>0</v>
      </c>
      <c r="G55" s="330"/>
      <c r="H55" s="330"/>
      <c r="I55" s="330"/>
      <c r="J55" s="330">
        <f t="shared" si="1"/>
        <v>0</v>
      </c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</row>
    <row r="56" spans="1:23" s="188" customFormat="1" ht="18" customHeight="1" x14ac:dyDescent="0.35">
      <c r="A56" s="367" t="s">
        <v>291</v>
      </c>
      <c r="B56" s="332" t="s">
        <v>30</v>
      </c>
      <c r="C56" s="369">
        <v>601</v>
      </c>
      <c r="D56" s="330"/>
      <c r="E56" s="330"/>
      <c r="F56" s="330">
        <f>'STOK DETAY'!GO6</f>
        <v>0</v>
      </c>
      <c r="G56" s="330"/>
      <c r="H56" s="330"/>
      <c r="I56" s="330"/>
      <c r="J56" s="330">
        <f t="shared" si="1"/>
        <v>0</v>
      </c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</row>
    <row r="57" spans="1:23" s="188" customFormat="1" ht="18" customHeight="1" x14ac:dyDescent="0.35">
      <c r="A57" s="367" t="s">
        <v>292</v>
      </c>
      <c r="B57" s="368" t="s">
        <v>30</v>
      </c>
      <c r="C57" s="369"/>
      <c r="D57" s="330">
        <f>'STOK DETAY'!GP6</f>
        <v>0</v>
      </c>
      <c r="E57" s="330"/>
      <c r="F57" s="330">
        <f>'STOK DETAY'!GQ6</f>
        <v>0</v>
      </c>
      <c r="G57" s="330"/>
      <c r="H57" s="330"/>
      <c r="I57" s="330"/>
      <c r="J57" s="330">
        <f t="shared" si="1"/>
        <v>0</v>
      </c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</row>
    <row r="58" spans="1:23" s="188" customFormat="1" ht="18" customHeight="1" x14ac:dyDescent="0.35">
      <c r="A58" s="367" t="s">
        <v>293</v>
      </c>
      <c r="B58" s="368" t="s">
        <v>30</v>
      </c>
      <c r="C58" s="369"/>
      <c r="D58" s="330">
        <f>'STOK DETAY'!GR6</f>
        <v>0</v>
      </c>
      <c r="E58" s="330"/>
      <c r="F58" s="330">
        <f>'STOK DETAY'!GS6</f>
        <v>0</v>
      </c>
      <c r="G58" s="330"/>
      <c r="H58" s="330"/>
      <c r="I58" s="330"/>
      <c r="J58" s="330">
        <f t="shared" si="1"/>
        <v>0</v>
      </c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</row>
    <row r="59" spans="1:23" s="188" customFormat="1" ht="18" customHeight="1" x14ac:dyDescent="0.35">
      <c r="A59" s="367" t="s">
        <v>294</v>
      </c>
      <c r="B59" s="368" t="s">
        <v>30</v>
      </c>
      <c r="C59" s="369"/>
      <c r="D59" s="330"/>
      <c r="E59" s="330"/>
      <c r="F59" s="330">
        <f>'STOK DETAY'!GU6</f>
        <v>0</v>
      </c>
      <c r="G59" s="330"/>
      <c r="H59" s="330"/>
      <c r="I59" s="330"/>
      <c r="J59" s="330">
        <f t="shared" si="1"/>
        <v>0</v>
      </c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</row>
    <row r="60" spans="1:23" s="188" customFormat="1" ht="18" customHeight="1" x14ac:dyDescent="0.35">
      <c r="A60" s="367" t="s">
        <v>295</v>
      </c>
      <c r="B60" s="368" t="s">
        <v>30</v>
      </c>
      <c r="C60" s="369"/>
      <c r="D60" s="330">
        <f>'STOK DETAY'!GV6</f>
        <v>0</v>
      </c>
      <c r="E60" s="330"/>
      <c r="F60" s="330">
        <f>'STOK DETAY'!GW6</f>
        <v>0</v>
      </c>
      <c r="G60" s="330"/>
      <c r="H60" s="330"/>
      <c r="I60" s="330"/>
      <c r="J60" s="330">
        <f t="shared" si="1"/>
        <v>0</v>
      </c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</row>
    <row r="61" spans="1:23" s="188" customFormat="1" ht="18" customHeight="1" x14ac:dyDescent="0.35">
      <c r="A61" s="367" t="s">
        <v>296</v>
      </c>
      <c r="B61" s="368" t="s">
        <v>30</v>
      </c>
      <c r="C61" s="369"/>
      <c r="D61" s="330"/>
      <c r="E61" s="330"/>
      <c r="F61" s="330">
        <f>'STOK DETAY'!GX6</f>
        <v>0</v>
      </c>
      <c r="G61" s="330"/>
      <c r="H61" s="330"/>
      <c r="I61" s="330"/>
      <c r="J61" s="330">
        <f t="shared" si="1"/>
        <v>0</v>
      </c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</row>
    <row r="62" spans="1:23" s="188" customFormat="1" ht="18" customHeight="1" x14ac:dyDescent="0.35">
      <c r="A62" s="367" t="s">
        <v>248</v>
      </c>
      <c r="B62" s="368" t="s">
        <v>30</v>
      </c>
      <c r="C62" s="369"/>
      <c r="D62" s="330">
        <f>'STOK DETAY'!GY6</f>
        <v>0</v>
      </c>
      <c r="E62" s="330"/>
      <c r="F62" s="330">
        <f>'STOK DETAY'!GZ6</f>
        <v>0</v>
      </c>
      <c r="G62" s="330"/>
      <c r="H62" s="330"/>
      <c r="I62" s="330">
        <f>'STOK DETAY'!HA6</f>
        <v>0</v>
      </c>
      <c r="J62" s="330">
        <f t="shared" si="1"/>
        <v>0</v>
      </c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</row>
    <row r="63" spans="1:23" s="188" customFormat="1" ht="18" customHeight="1" x14ac:dyDescent="0.35">
      <c r="A63" s="367" t="s">
        <v>297</v>
      </c>
      <c r="B63" s="368" t="s">
        <v>30</v>
      </c>
      <c r="C63" s="369"/>
      <c r="D63" s="330">
        <f>'STOK DETAY'!HB6</f>
        <v>0</v>
      </c>
      <c r="E63" s="330"/>
      <c r="F63" s="330"/>
      <c r="G63" s="330"/>
      <c r="H63" s="330"/>
      <c r="I63" s="330"/>
      <c r="J63" s="330">
        <f t="shared" si="1"/>
        <v>0</v>
      </c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</row>
    <row r="64" spans="1:23" s="188" customFormat="1" ht="18" customHeight="1" x14ac:dyDescent="0.35">
      <c r="A64" s="367" t="s">
        <v>249</v>
      </c>
      <c r="B64" s="368" t="s">
        <v>30</v>
      </c>
      <c r="C64" s="369"/>
      <c r="D64" s="330">
        <f>'STOK DETAY'!HC6</f>
        <v>0</v>
      </c>
      <c r="E64" s="330"/>
      <c r="F64" s="330">
        <f>'STOK DETAY'!HD6</f>
        <v>0</v>
      </c>
      <c r="G64" s="330"/>
      <c r="H64" s="330"/>
      <c r="I64" s="330"/>
      <c r="J64" s="330">
        <f t="shared" si="1"/>
        <v>0</v>
      </c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</row>
    <row r="65" spans="1:23" s="188" customFormat="1" ht="18" customHeight="1" x14ac:dyDescent="0.35">
      <c r="A65" s="367" t="s">
        <v>250</v>
      </c>
      <c r="B65" s="368" t="s">
        <v>30</v>
      </c>
      <c r="C65" s="369"/>
      <c r="D65" s="330">
        <f>'STOK DETAY'!HE6</f>
        <v>0</v>
      </c>
      <c r="E65" s="330"/>
      <c r="F65" s="330">
        <f>'STOK DETAY'!HF6</f>
        <v>67.03</v>
      </c>
      <c r="G65" s="330"/>
      <c r="H65" s="330"/>
      <c r="I65" s="330"/>
      <c r="J65" s="330">
        <f t="shared" si="1"/>
        <v>67.03</v>
      </c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</row>
    <row r="66" spans="1:23" s="188" customFormat="1" ht="18" customHeight="1" x14ac:dyDescent="0.35">
      <c r="A66" s="367" t="s">
        <v>251</v>
      </c>
      <c r="B66" s="368" t="s">
        <v>30</v>
      </c>
      <c r="C66" s="369"/>
      <c r="D66" s="330">
        <f>'STOK DETAY'!HG6</f>
        <v>0</v>
      </c>
      <c r="E66" s="330"/>
      <c r="F66" s="330">
        <f>'STOK DETAY'!HH6</f>
        <v>0</v>
      </c>
      <c r="G66" s="330"/>
      <c r="H66" s="330"/>
      <c r="I66" s="330">
        <f>'STOK DETAY'!HI6</f>
        <v>13.32</v>
      </c>
      <c r="J66" s="330">
        <f t="shared" ref="J66:J96" si="2">SUM(D66:I66)</f>
        <v>13.32</v>
      </c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</row>
    <row r="67" spans="1:23" s="188" customFormat="1" ht="18" customHeight="1" x14ac:dyDescent="0.35">
      <c r="A67" s="367" t="s">
        <v>298</v>
      </c>
      <c r="B67" s="368" t="s">
        <v>30</v>
      </c>
      <c r="C67" s="369">
        <v>613</v>
      </c>
      <c r="D67" s="330"/>
      <c r="E67" s="330"/>
      <c r="F67" s="330">
        <f>'STOK DETAY'!HJ6</f>
        <v>8.9849999999999994</v>
      </c>
      <c r="G67" s="330"/>
      <c r="H67" s="330"/>
      <c r="I67" s="330"/>
      <c r="J67" s="330">
        <f t="shared" si="2"/>
        <v>8.9849999999999994</v>
      </c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</row>
    <row r="68" spans="1:23" s="188" customFormat="1" ht="18" customHeight="1" x14ac:dyDescent="0.35">
      <c r="A68" s="367" t="s">
        <v>299</v>
      </c>
      <c r="B68" s="368" t="s">
        <v>30</v>
      </c>
      <c r="C68" s="369"/>
      <c r="D68" s="330">
        <f>'STOK DETAY'!HK6</f>
        <v>0</v>
      </c>
      <c r="E68" s="330"/>
      <c r="F68" s="330"/>
      <c r="G68" s="330"/>
      <c r="H68" s="330"/>
      <c r="I68" s="330"/>
      <c r="J68" s="330">
        <f t="shared" si="2"/>
        <v>0</v>
      </c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</row>
    <row r="69" spans="1:23" s="188" customFormat="1" ht="18" customHeight="1" x14ac:dyDescent="0.35">
      <c r="A69" s="367" t="s">
        <v>252</v>
      </c>
      <c r="B69" s="368" t="s">
        <v>30</v>
      </c>
      <c r="C69" s="369"/>
      <c r="D69" s="330">
        <f>'STOK DETAY'!HL6</f>
        <v>0</v>
      </c>
      <c r="E69" s="330"/>
      <c r="F69" s="330">
        <f>'STOK DETAY'!HM6</f>
        <v>0</v>
      </c>
      <c r="G69" s="330"/>
      <c r="H69" s="330"/>
      <c r="I69" s="330">
        <f>'STOK DETAY'!HN6</f>
        <v>0</v>
      </c>
      <c r="J69" s="330">
        <f t="shared" si="2"/>
        <v>0</v>
      </c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</row>
    <row r="70" spans="1:23" s="188" customFormat="1" ht="18" customHeight="1" x14ac:dyDescent="0.35">
      <c r="A70" s="367" t="s">
        <v>300</v>
      </c>
      <c r="B70" s="368" t="s">
        <v>30</v>
      </c>
      <c r="C70" s="369">
        <v>612</v>
      </c>
      <c r="D70" s="330">
        <f>'STOK DETAY'!HO6</f>
        <v>0</v>
      </c>
      <c r="E70" s="330"/>
      <c r="F70" s="330">
        <f>'STOK DETAY'!HP6</f>
        <v>51.43</v>
      </c>
      <c r="G70" s="330"/>
      <c r="H70" s="330"/>
      <c r="I70" s="330"/>
      <c r="J70" s="330">
        <f t="shared" si="2"/>
        <v>51.43</v>
      </c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</row>
    <row r="71" spans="1:23" s="188" customFormat="1" ht="18" customHeight="1" x14ac:dyDescent="0.35">
      <c r="A71" s="367" t="s">
        <v>242</v>
      </c>
      <c r="B71" s="368" t="s">
        <v>30</v>
      </c>
      <c r="C71" s="369"/>
      <c r="D71" s="330">
        <f>'STOK DETAY'!HQ6</f>
        <v>0</v>
      </c>
      <c r="E71" s="330"/>
      <c r="F71" s="330">
        <f>'STOK DETAY'!HR6</f>
        <v>0</v>
      </c>
      <c r="G71" s="330"/>
      <c r="H71" s="330"/>
      <c r="I71" s="330"/>
      <c r="J71" s="330">
        <f t="shared" si="2"/>
        <v>0</v>
      </c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</row>
    <row r="72" spans="1:23" s="188" customFormat="1" ht="18" customHeight="1" x14ac:dyDescent="0.35">
      <c r="A72" s="367" t="s">
        <v>253</v>
      </c>
      <c r="B72" s="368" t="s">
        <v>30</v>
      </c>
      <c r="C72" s="369">
        <v>213</v>
      </c>
      <c r="D72" s="330">
        <f>'STOK DETAY'!HS6</f>
        <v>93.39</v>
      </c>
      <c r="E72" s="330"/>
      <c r="F72" s="330"/>
      <c r="G72" s="330"/>
      <c r="H72" s="330"/>
      <c r="I72" s="330"/>
      <c r="J72" s="330">
        <f t="shared" si="2"/>
        <v>93.39</v>
      </c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</row>
    <row r="73" spans="1:23" s="188" customFormat="1" ht="18" customHeight="1" x14ac:dyDescent="0.35">
      <c r="A73" s="367" t="s">
        <v>253</v>
      </c>
      <c r="B73" s="368" t="s">
        <v>129</v>
      </c>
      <c r="C73" s="369">
        <v>213</v>
      </c>
      <c r="D73" s="330"/>
      <c r="E73" s="330"/>
      <c r="F73" s="330">
        <f>'STOK DETAY'!HT6</f>
        <v>31.1</v>
      </c>
      <c r="G73" s="330"/>
      <c r="H73" s="330"/>
      <c r="I73" s="330"/>
      <c r="J73" s="330">
        <f t="shared" si="2"/>
        <v>31.1</v>
      </c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</row>
    <row r="74" spans="1:23" s="188" customFormat="1" ht="18" customHeight="1" x14ac:dyDescent="0.35">
      <c r="A74" s="367" t="s">
        <v>243</v>
      </c>
      <c r="B74" s="368" t="s">
        <v>30</v>
      </c>
      <c r="C74" s="369"/>
      <c r="D74" s="330">
        <f>'STOK DETAY'!HU6</f>
        <v>0</v>
      </c>
      <c r="E74" s="330"/>
      <c r="F74" s="330">
        <f>'STOK DETAY'!HV6</f>
        <v>0</v>
      </c>
      <c r="G74" s="330"/>
      <c r="H74" s="330"/>
      <c r="I74" s="330"/>
      <c r="J74" s="330">
        <f t="shared" si="2"/>
        <v>0</v>
      </c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</row>
    <row r="75" spans="1:23" s="188" customFormat="1" ht="18" customHeight="1" x14ac:dyDescent="0.35">
      <c r="A75" s="367" t="s">
        <v>255</v>
      </c>
      <c r="B75" s="368" t="s">
        <v>30</v>
      </c>
      <c r="C75" s="369"/>
      <c r="D75" s="330">
        <f>'STOK DETAY'!HW6</f>
        <v>0</v>
      </c>
      <c r="E75" s="330"/>
      <c r="F75" s="330">
        <f>'STOK DETAY'!HX6</f>
        <v>0</v>
      </c>
      <c r="G75" s="330"/>
      <c r="H75" s="330"/>
      <c r="I75" s="330"/>
      <c r="J75" s="330">
        <f t="shared" si="2"/>
        <v>0</v>
      </c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</row>
    <row r="76" spans="1:23" s="188" customFormat="1" ht="18" customHeight="1" x14ac:dyDescent="0.35">
      <c r="A76" s="367" t="s">
        <v>244</v>
      </c>
      <c r="B76" s="368" t="s">
        <v>30</v>
      </c>
      <c r="C76" s="369"/>
      <c r="D76" s="330">
        <f>'STOK DETAY'!HY6</f>
        <v>8.94</v>
      </c>
      <c r="E76" s="330"/>
      <c r="F76" s="330"/>
      <c r="G76" s="330"/>
      <c r="H76" s="330"/>
      <c r="I76" s="330"/>
      <c r="J76" s="330">
        <f t="shared" si="2"/>
        <v>8.94</v>
      </c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</row>
    <row r="77" spans="1:23" s="188" customFormat="1" ht="18" customHeight="1" x14ac:dyDescent="0.35">
      <c r="A77" s="367" t="s">
        <v>256</v>
      </c>
      <c r="B77" s="368" t="s">
        <v>30</v>
      </c>
      <c r="C77" s="369">
        <v>411</v>
      </c>
      <c r="D77" s="330"/>
      <c r="E77" s="330"/>
      <c r="F77" s="330">
        <f>'STOK DETAY'!IA6</f>
        <v>83.82</v>
      </c>
      <c r="G77" s="330"/>
      <c r="H77" s="330"/>
      <c r="I77" s="330"/>
      <c r="J77" s="330">
        <f t="shared" si="2"/>
        <v>83.82</v>
      </c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</row>
    <row r="78" spans="1:23" s="188" customFormat="1" ht="18" customHeight="1" x14ac:dyDescent="0.35">
      <c r="A78" s="367" t="s">
        <v>257</v>
      </c>
      <c r="B78" s="368" t="s">
        <v>30</v>
      </c>
      <c r="C78" s="369"/>
      <c r="D78" s="330">
        <f>'STOK DETAY'!IB6</f>
        <v>0</v>
      </c>
      <c r="E78" s="330"/>
      <c r="F78" s="330">
        <f>'STOK DETAY'!IC6</f>
        <v>0</v>
      </c>
      <c r="G78" s="330"/>
      <c r="H78" s="330"/>
      <c r="I78" s="330"/>
      <c r="J78" s="330">
        <f t="shared" si="2"/>
        <v>0</v>
      </c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</row>
    <row r="79" spans="1:23" s="188" customFormat="1" ht="18" customHeight="1" x14ac:dyDescent="0.35">
      <c r="A79" s="367" t="s">
        <v>258</v>
      </c>
      <c r="B79" s="368" t="s">
        <v>30</v>
      </c>
      <c r="C79" s="369"/>
      <c r="D79" s="330">
        <f>'STOK DETAY'!ID6</f>
        <v>0</v>
      </c>
      <c r="E79" s="330"/>
      <c r="F79" s="330">
        <f>'STOK DETAY'!IE6</f>
        <v>2.42</v>
      </c>
      <c r="G79" s="330"/>
      <c r="H79" s="330"/>
      <c r="I79" s="330"/>
      <c r="J79" s="330">
        <f t="shared" si="2"/>
        <v>2.42</v>
      </c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</row>
    <row r="80" spans="1:23" s="188" customFormat="1" ht="18" customHeight="1" x14ac:dyDescent="0.35">
      <c r="A80" s="367" t="s">
        <v>259</v>
      </c>
      <c r="B80" s="368" t="s">
        <v>30</v>
      </c>
      <c r="C80" s="369"/>
      <c r="D80" s="330">
        <f>'STOK DETAY'!IF6</f>
        <v>0</v>
      </c>
      <c r="E80" s="330"/>
      <c r="F80" s="330"/>
      <c r="G80" s="330"/>
      <c r="H80" s="330"/>
      <c r="I80" s="330"/>
      <c r="J80" s="330">
        <f t="shared" si="2"/>
        <v>0</v>
      </c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</row>
    <row r="81" spans="1:23" s="188" customFormat="1" ht="18" customHeight="1" x14ac:dyDescent="0.35">
      <c r="A81" s="367" t="s">
        <v>260</v>
      </c>
      <c r="B81" s="332" t="s">
        <v>30</v>
      </c>
      <c r="C81" s="369">
        <v>611</v>
      </c>
      <c r="D81" s="330">
        <f>'STOK DETAY'!IG6</f>
        <v>127.11</v>
      </c>
      <c r="E81" s="330"/>
      <c r="F81" s="330"/>
      <c r="G81" s="330"/>
      <c r="H81" s="330"/>
      <c r="I81" s="330"/>
      <c r="J81" s="330">
        <f t="shared" si="2"/>
        <v>127.11</v>
      </c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</row>
    <row r="82" spans="1:23" s="188" customFormat="1" ht="18" customHeight="1" x14ac:dyDescent="0.35">
      <c r="A82" s="367" t="s">
        <v>261</v>
      </c>
      <c r="B82" s="368" t="s">
        <v>30</v>
      </c>
      <c r="C82" s="369">
        <v>613</v>
      </c>
      <c r="D82" s="330">
        <f>'STOK DETAY'!IH6</f>
        <v>128.26</v>
      </c>
      <c r="E82" s="330"/>
      <c r="F82" s="330"/>
      <c r="G82" s="330"/>
      <c r="H82" s="330"/>
      <c r="I82" s="330"/>
      <c r="J82" s="330">
        <f t="shared" si="2"/>
        <v>128.26</v>
      </c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</row>
    <row r="83" spans="1:23" s="188" customFormat="1" ht="18" customHeight="1" x14ac:dyDescent="0.35">
      <c r="A83" s="367" t="s">
        <v>262</v>
      </c>
      <c r="B83" s="368" t="s">
        <v>30</v>
      </c>
      <c r="C83" s="369"/>
      <c r="D83" s="330"/>
      <c r="E83" s="330"/>
      <c r="F83" s="330">
        <f>'STOK DETAY'!II6</f>
        <v>29.6</v>
      </c>
      <c r="G83" s="330"/>
      <c r="H83" s="330"/>
      <c r="I83" s="330"/>
      <c r="J83" s="330">
        <f t="shared" si="2"/>
        <v>29.6</v>
      </c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</row>
    <row r="84" spans="1:23" s="188" customFormat="1" ht="18" customHeight="1" x14ac:dyDescent="0.35">
      <c r="A84" s="367" t="s">
        <v>251</v>
      </c>
      <c r="B84" s="368" t="s">
        <v>10</v>
      </c>
      <c r="C84" s="369">
        <v>511</v>
      </c>
      <c r="D84" s="330"/>
      <c r="E84" s="330">
        <f>'STOK DETAY'!IJ6</f>
        <v>3.28</v>
      </c>
      <c r="F84" s="330"/>
      <c r="G84" s="330"/>
      <c r="H84" s="330"/>
      <c r="I84" s="330"/>
      <c r="J84" s="330">
        <f t="shared" si="2"/>
        <v>3.28</v>
      </c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</row>
    <row r="85" spans="1:23" s="188" customFormat="1" ht="18" customHeight="1" x14ac:dyDescent="0.35">
      <c r="A85" s="367" t="s">
        <v>243</v>
      </c>
      <c r="B85" s="368" t="s">
        <v>10</v>
      </c>
      <c r="C85" s="369">
        <v>511</v>
      </c>
      <c r="D85" s="330"/>
      <c r="E85" s="330">
        <f>'STOK DETAY'!IK6</f>
        <v>63.54</v>
      </c>
      <c r="F85" s="330"/>
      <c r="G85" s="330"/>
      <c r="H85" s="330"/>
      <c r="I85" s="330"/>
      <c r="J85" s="330">
        <f t="shared" si="2"/>
        <v>63.54</v>
      </c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</row>
    <row r="86" spans="1:23" s="188" customFormat="1" ht="18" customHeight="1" x14ac:dyDescent="0.35">
      <c r="A86" s="367" t="s">
        <v>255</v>
      </c>
      <c r="B86" s="368" t="s">
        <v>10</v>
      </c>
      <c r="C86" s="369">
        <v>511</v>
      </c>
      <c r="D86" s="330"/>
      <c r="E86" s="330">
        <f>'STOK DETAY'!IL6</f>
        <v>10.45</v>
      </c>
      <c r="F86" s="330"/>
      <c r="G86" s="330"/>
      <c r="H86" s="330"/>
      <c r="I86" s="330"/>
      <c r="J86" s="330">
        <f t="shared" si="2"/>
        <v>10.45</v>
      </c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</row>
    <row r="87" spans="1:23" s="188" customFormat="1" ht="18" customHeight="1" x14ac:dyDescent="0.35">
      <c r="A87" s="367" t="s">
        <v>244</v>
      </c>
      <c r="B87" s="368" t="s">
        <v>10</v>
      </c>
      <c r="C87" s="369">
        <v>101</v>
      </c>
      <c r="D87" s="330">
        <f>'STOK DETAY'!IM6</f>
        <v>0</v>
      </c>
      <c r="E87" s="330"/>
      <c r="F87" s="330"/>
      <c r="G87" s="330"/>
      <c r="H87" s="330"/>
      <c r="I87" s="330"/>
      <c r="J87" s="330">
        <f t="shared" si="2"/>
        <v>0</v>
      </c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</row>
    <row r="88" spans="1:23" s="188" customFormat="1" ht="18" customHeight="1" x14ac:dyDescent="0.35">
      <c r="A88" s="367" t="s">
        <v>257</v>
      </c>
      <c r="B88" s="368" t="s">
        <v>10</v>
      </c>
      <c r="C88" s="369">
        <v>101</v>
      </c>
      <c r="D88" s="330">
        <f>'STOK DETAY'!IN6</f>
        <v>0</v>
      </c>
      <c r="E88" s="330"/>
      <c r="F88" s="330"/>
      <c r="G88" s="330"/>
      <c r="H88" s="330"/>
      <c r="I88" s="330">
        <f>'STOK DETAY'!IO6</f>
        <v>457.2</v>
      </c>
      <c r="J88" s="330">
        <f t="shared" si="2"/>
        <v>457.2</v>
      </c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</row>
    <row r="89" spans="1:23" s="188" customFormat="1" ht="18" customHeight="1" x14ac:dyDescent="0.35">
      <c r="A89" s="367" t="s">
        <v>263</v>
      </c>
      <c r="B89" s="368" t="s">
        <v>10</v>
      </c>
      <c r="C89" s="369">
        <v>511</v>
      </c>
      <c r="D89" s="330"/>
      <c r="E89" s="330">
        <f>'STOK DETAY'!IP6</f>
        <v>2.5</v>
      </c>
      <c r="F89" s="330"/>
      <c r="G89" s="330"/>
      <c r="H89" s="330"/>
      <c r="I89" s="330"/>
      <c r="J89" s="330">
        <f t="shared" si="2"/>
        <v>2.5</v>
      </c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</row>
    <row r="90" spans="1:23" s="188" customFormat="1" ht="18" customHeight="1" x14ac:dyDescent="0.35">
      <c r="A90" s="367" t="s">
        <v>267</v>
      </c>
      <c r="B90" s="368" t="s">
        <v>10</v>
      </c>
      <c r="C90" s="369">
        <v>511</v>
      </c>
      <c r="D90" s="330"/>
      <c r="E90" s="330">
        <f>'STOK DETAY'!IQ6</f>
        <v>14.7</v>
      </c>
      <c r="F90" s="330"/>
      <c r="G90" s="330"/>
      <c r="H90" s="330"/>
      <c r="I90" s="330"/>
      <c r="J90" s="330">
        <f t="shared" si="2"/>
        <v>14.7</v>
      </c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</row>
    <row r="91" spans="1:23" s="188" customFormat="1" ht="18" customHeight="1" x14ac:dyDescent="0.35">
      <c r="A91" s="367" t="s">
        <v>269</v>
      </c>
      <c r="B91" s="368" t="s">
        <v>10</v>
      </c>
      <c r="C91" s="369">
        <v>511</v>
      </c>
      <c r="D91" s="330"/>
      <c r="E91" s="330">
        <f>'STOK DETAY'!IR6</f>
        <v>2.85</v>
      </c>
      <c r="F91" s="330"/>
      <c r="G91" s="330"/>
      <c r="H91" s="330"/>
      <c r="I91" s="330"/>
      <c r="J91" s="330">
        <f t="shared" si="2"/>
        <v>2.85</v>
      </c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</row>
    <row r="92" spans="1:23" s="188" customFormat="1" ht="18" customHeight="1" x14ac:dyDescent="0.35">
      <c r="A92" s="367" t="s">
        <v>271</v>
      </c>
      <c r="B92" s="368" t="s">
        <v>10</v>
      </c>
      <c r="C92" s="369">
        <v>511</v>
      </c>
      <c r="D92" s="330"/>
      <c r="E92" s="330">
        <f>'STOK DETAY'!IS6</f>
        <v>6.83</v>
      </c>
      <c r="F92" s="330"/>
      <c r="G92" s="330"/>
      <c r="H92" s="330"/>
      <c r="I92" s="330"/>
      <c r="J92" s="330">
        <f t="shared" si="2"/>
        <v>6.83</v>
      </c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</row>
    <row r="93" spans="1:23" s="188" customFormat="1" ht="18" customHeight="1" x14ac:dyDescent="0.35">
      <c r="A93" s="367" t="s">
        <v>275</v>
      </c>
      <c r="B93" s="368" t="s">
        <v>10</v>
      </c>
      <c r="C93" s="369">
        <v>511</v>
      </c>
      <c r="D93" s="330"/>
      <c r="E93" s="330">
        <f>'STOK DETAY'!IT6</f>
        <v>9.2200000000000006</v>
      </c>
      <c r="F93" s="330"/>
      <c r="G93" s="330"/>
      <c r="H93" s="330"/>
      <c r="I93" s="330"/>
      <c r="J93" s="330">
        <f t="shared" si="2"/>
        <v>9.2200000000000006</v>
      </c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</row>
    <row r="94" spans="1:23" s="188" customFormat="1" ht="18" customHeight="1" x14ac:dyDescent="0.35">
      <c r="A94" s="367" t="s">
        <v>276</v>
      </c>
      <c r="B94" s="368" t="s">
        <v>10</v>
      </c>
      <c r="C94" s="369">
        <v>511</v>
      </c>
      <c r="D94" s="330"/>
      <c r="E94" s="330">
        <f>'STOK DETAY'!IU6</f>
        <v>18.5</v>
      </c>
      <c r="F94" s="330"/>
      <c r="G94" s="330"/>
      <c r="H94" s="330"/>
      <c r="I94" s="330"/>
      <c r="J94" s="330">
        <f t="shared" si="2"/>
        <v>18.5</v>
      </c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</row>
    <row r="95" spans="1:23" s="188" customFormat="1" ht="18" customHeight="1" x14ac:dyDescent="0.35">
      <c r="A95" s="367" t="s">
        <v>277</v>
      </c>
      <c r="B95" s="368" t="s">
        <v>10</v>
      </c>
      <c r="C95" s="369">
        <v>511</v>
      </c>
      <c r="D95" s="330"/>
      <c r="E95" s="330">
        <f>'STOK DETAY'!IV6</f>
        <v>64.48</v>
      </c>
      <c r="F95" s="330"/>
      <c r="G95" s="330"/>
      <c r="H95" s="330"/>
      <c r="I95" s="330"/>
      <c r="J95" s="330">
        <f t="shared" si="2"/>
        <v>64.48</v>
      </c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</row>
    <row r="96" spans="1:23" s="188" customFormat="1" ht="18" customHeight="1" x14ac:dyDescent="0.35">
      <c r="A96" s="367" t="s">
        <v>288</v>
      </c>
      <c r="B96" s="368" t="s">
        <v>10</v>
      </c>
      <c r="C96" s="369">
        <v>511</v>
      </c>
      <c r="D96" s="330"/>
      <c r="E96" s="330">
        <f>'STOK DETAY'!IW6</f>
        <v>52.36</v>
      </c>
      <c r="F96" s="330"/>
      <c r="G96" s="330"/>
      <c r="H96" s="330"/>
      <c r="I96" s="330"/>
      <c r="J96" s="330">
        <f t="shared" si="2"/>
        <v>52.36</v>
      </c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</row>
    <row r="97" spans="1:23" ht="15.75" customHeight="1" x14ac:dyDescent="0.4">
      <c r="A97" s="166"/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</row>
    <row r="98" spans="1:23" ht="15.75" customHeight="1" x14ac:dyDescent="0.4">
      <c r="A98" s="166"/>
      <c r="B98" s="166"/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</row>
    <row r="99" spans="1:23" ht="15.75" customHeight="1" x14ac:dyDescent="0.4">
      <c r="A99" s="166"/>
      <c r="B99" s="166"/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</row>
    <row r="100" spans="1:23" ht="15.75" customHeight="1" x14ac:dyDescent="0.4">
      <c r="A100" s="166"/>
      <c r="B100" s="166"/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</row>
    <row r="101" spans="1:23" ht="15.75" customHeight="1" x14ac:dyDescent="0.4">
      <c r="A101" s="166"/>
      <c r="B101" s="166"/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</row>
    <row r="102" spans="1:23" ht="15.75" customHeight="1" x14ac:dyDescent="0.4">
      <c r="A102" s="166"/>
      <c r="B102" s="166"/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</row>
    <row r="103" spans="1:23" ht="15.75" customHeight="1" x14ac:dyDescent="0.4">
      <c r="A103" s="166"/>
      <c r="B103" s="166"/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</row>
    <row r="104" spans="1:23" ht="15.75" customHeight="1" x14ac:dyDescent="0.4">
      <c r="A104" s="166"/>
      <c r="B104" s="166"/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</row>
    <row r="105" spans="1:23" ht="15.75" customHeight="1" x14ac:dyDescent="0.4">
      <c r="A105" s="166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</row>
    <row r="106" spans="1:23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</row>
    <row r="107" spans="1:23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</row>
    <row r="108" spans="1:23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</row>
    <row r="109" spans="1:23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</row>
    <row r="110" spans="1:23" ht="15.75" customHeight="1" x14ac:dyDescent="0.4">
      <c r="A110" s="166"/>
      <c r="B110" s="166"/>
      <c r="C110" s="166"/>
      <c r="D110" s="166"/>
      <c r="E110" s="166"/>
      <c r="F110" s="166"/>
      <c r="G110" s="167"/>
      <c r="H110" s="167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</row>
    <row r="111" spans="1:23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</row>
    <row r="112" spans="1:23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</row>
    <row r="113" spans="1:23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</row>
    <row r="114" spans="1:23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</row>
    <row r="115" spans="1:23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</row>
    <row r="116" spans="1:23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</row>
    <row r="117" spans="1:23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</row>
    <row r="118" spans="1:23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</row>
    <row r="119" spans="1:23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</row>
    <row r="120" spans="1:23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</row>
    <row r="121" spans="1:23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</row>
    <row r="122" spans="1:23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</row>
    <row r="123" spans="1:23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</row>
    <row r="124" spans="1:23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</row>
    <row r="125" spans="1:23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</row>
    <row r="126" spans="1:23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</row>
    <row r="127" spans="1:23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</row>
    <row r="128" spans="1:23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</row>
    <row r="129" spans="1:23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</row>
    <row r="130" spans="1:23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</row>
    <row r="131" spans="1:23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</row>
    <row r="132" spans="1:23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</row>
    <row r="133" spans="1:23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</row>
    <row r="134" spans="1:23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</row>
    <row r="135" spans="1:23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</row>
    <row r="136" spans="1:23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</row>
    <row r="137" spans="1:23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</row>
    <row r="138" spans="1:23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</row>
    <row r="139" spans="1:23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</row>
    <row r="140" spans="1:23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</row>
    <row r="141" spans="1:23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</row>
    <row r="142" spans="1:23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</row>
    <row r="143" spans="1:23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</row>
    <row r="144" spans="1:23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</row>
    <row r="145" spans="1:23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</row>
    <row r="146" spans="1:23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</row>
    <row r="147" spans="1:23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</row>
    <row r="148" spans="1:23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</row>
    <row r="149" spans="1:23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</row>
    <row r="150" spans="1:23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</row>
    <row r="151" spans="1:23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</row>
    <row r="152" spans="1:23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</row>
    <row r="153" spans="1:23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</row>
    <row r="154" spans="1:23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</row>
    <row r="155" spans="1:23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</row>
    <row r="156" spans="1:23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</row>
    <row r="157" spans="1:23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</row>
    <row r="158" spans="1:23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</row>
    <row r="159" spans="1:23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</row>
    <row r="160" spans="1:23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</row>
    <row r="161" spans="1:23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</row>
    <row r="162" spans="1:23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</row>
    <row r="163" spans="1:23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</row>
    <row r="164" spans="1:23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</row>
    <row r="165" spans="1:23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</row>
    <row r="166" spans="1:23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</row>
    <row r="167" spans="1:23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</row>
    <row r="168" spans="1:23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</row>
    <row r="169" spans="1:23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</row>
    <row r="170" spans="1:23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</row>
    <row r="171" spans="1:23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</row>
    <row r="172" spans="1:23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</row>
    <row r="173" spans="1:23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</row>
    <row r="174" spans="1:23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</row>
    <row r="175" spans="1:23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</row>
    <row r="176" spans="1:23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</row>
    <row r="177" spans="1:23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</row>
    <row r="178" spans="1:23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</row>
    <row r="179" spans="1:23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</row>
    <row r="180" spans="1:23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</row>
    <row r="181" spans="1:23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</row>
    <row r="182" spans="1:23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</row>
    <row r="183" spans="1:23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</row>
    <row r="184" spans="1:23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</row>
    <row r="185" spans="1:23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</row>
    <row r="186" spans="1:23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</row>
    <row r="187" spans="1:23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</row>
    <row r="188" spans="1:23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</row>
    <row r="189" spans="1:23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</row>
    <row r="190" spans="1:23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</row>
    <row r="191" spans="1:23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</row>
    <row r="192" spans="1:23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</row>
    <row r="193" spans="1:23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</row>
    <row r="194" spans="1:23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</row>
    <row r="195" spans="1:23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</row>
    <row r="196" spans="1:23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</row>
    <row r="197" spans="1:23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</row>
    <row r="198" spans="1:23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</row>
    <row r="199" spans="1:23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</row>
    <row r="200" spans="1:23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</row>
    <row r="201" spans="1:23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</row>
    <row r="202" spans="1:23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</row>
    <row r="203" spans="1:23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</row>
    <row r="204" spans="1:23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</row>
    <row r="205" spans="1:23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</row>
    <row r="206" spans="1:23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</row>
    <row r="207" spans="1:23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</row>
    <row r="208" spans="1:23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</row>
    <row r="209" spans="1:23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</row>
    <row r="210" spans="1:23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</row>
    <row r="211" spans="1:23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</row>
    <row r="212" spans="1:23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</row>
    <row r="213" spans="1:23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</row>
    <row r="214" spans="1:23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</row>
    <row r="215" spans="1:23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</row>
    <row r="216" spans="1:23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</row>
    <row r="217" spans="1:23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</row>
    <row r="218" spans="1:23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</row>
    <row r="219" spans="1:23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</row>
    <row r="220" spans="1:23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</row>
    <row r="221" spans="1:23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</row>
    <row r="222" spans="1:23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</row>
    <row r="223" spans="1:23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</row>
    <row r="224" spans="1:23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</row>
    <row r="225" spans="1:23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</row>
    <row r="226" spans="1:23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</row>
    <row r="227" spans="1:23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</row>
    <row r="228" spans="1:23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</row>
    <row r="229" spans="1:23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</row>
    <row r="230" spans="1:23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</row>
    <row r="231" spans="1:23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</row>
    <row r="232" spans="1:23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</row>
    <row r="233" spans="1:23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</row>
    <row r="234" spans="1:23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</row>
    <row r="235" spans="1:23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</row>
    <row r="236" spans="1:23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</row>
    <row r="237" spans="1:23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</row>
    <row r="238" spans="1:23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</row>
    <row r="239" spans="1:23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</row>
    <row r="240" spans="1:23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</row>
    <row r="241" spans="1:23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</row>
    <row r="242" spans="1:23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</row>
    <row r="243" spans="1:23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</row>
    <row r="244" spans="1:23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</row>
    <row r="245" spans="1:23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</row>
    <row r="246" spans="1:23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</row>
    <row r="247" spans="1:23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</row>
    <row r="248" spans="1:23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</row>
    <row r="249" spans="1:23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</row>
    <row r="250" spans="1:23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</row>
    <row r="251" spans="1:23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</row>
    <row r="252" spans="1:23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</row>
    <row r="253" spans="1:23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</row>
    <row r="254" spans="1:23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</row>
    <row r="255" spans="1:23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</row>
    <row r="256" spans="1:23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</row>
    <row r="257" spans="1:23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</row>
    <row r="258" spans="1:23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</row>
    <row r="259" spans="1:23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</row>
    <row r="260" spans="1:23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</row>
    <row r="261" spans="1:23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</row>
    <row r="262" spans="1:23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</row>
    <row r="263" spans="1:23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</row>
    <row r="264" spans="1:23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</row>
    <row r="265" spans="1:23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</row>
    <row r="266" spans="1:23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</row>
    <row r="267" spans="1:23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</row>
    <row r="268" spans="1:23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</row>
    <row r="269" spans="1:23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</row>
    <row r="270" spans="1:23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</row>
    <row r="271" spans="1:23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</row>
    <row r="272" spans="1:23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</row>
    <row r="273" spans="1:23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</row>
    <row r="274" spans="1:23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</row>
    <row r="275" spans="1:23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</row>
    <row r="276" spans="1:23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</row>
    <row r="277" spans="1:23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</row>
    <row r="278" spans="1:23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</row>
    <row r="279" spans="1:23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</row>
    <row r="280" spans="1:23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</row>
    <row r="281" spans="1:23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</row>
    <row r="282" spans="1:23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</row>
    <row r="283" spans="1:23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</row>
    <row r="284" spans="1:23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</row>
    <row r="285" spans="1:23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</row>
    <row r="286" spans="1:23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</row>
    <row r="287" spans="1:23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</row>
    <row r="288" spans="1:23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</row>
    <row r="289" spans="1:23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</row>
    <row r="290" spans="1:23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</row>
    <row r="291" spans="1:23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</row>
    <row r="292" spans="1:23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</row>
    <row r="293" spans="1:23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</row>
    <row r="294" spans="1:23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</row>
    <row r="295" spans="1:23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</row>
    <row r="296" spans="1:23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</row>
    <row r="297" spans="1:23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</row>
    <row r="298" spans="1:23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</row>
    <row r="299" spans="1:23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</row>
    <row r="300" spans="1:23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</row>
    <row r="301" spans="1:23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</row>
    <row r="302" spans="1:23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</row>
    <row r="303" spans="1:23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</row>
    <row r="304" spans="1:23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</row>
    <row r="305" spans="1:23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</row>
    <row r="306" spans="1:23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</row>
    <row r="307" spans="1:23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</row>
    <row r="308" spans="1:23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</row>
    <row r="309" spans="1:23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</row>
    <row r="310" spans="1:23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</row>
    <row r="311" spans="1:23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</row>
    <row r="312" spans="1:23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</row>
    <row r="313" spans="1:23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</row>
    <row r="314" spans="1:23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</row>
    <row r="315" spans="1:23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</row>
    <row r="316" spans="1:23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</row>
    <row r="317" spans="1:23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</row>
    <row r="318" spans="1:23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</row>
    <row r="319" spans="1:23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</row>
    <row r="320" spans="1:23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</row>
    <row r="321" spans="1:23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</row>
    <row r="322" spans="1:23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</row>
    <row r="323" spans="1:23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</row>
    <row r="324" spans="1:23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</row>
    <row r="325" spans="1:23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</row>
    <row r="326" spans="1:23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</row>
    <row r="327" spans="1:23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</row>
    <row r="328" spans="1:23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</row>
    <row r="329" spans="1:23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</row>
    <row r="330" spans="1:23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</row>
    <row r="331" spans="1:23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</row>
    <row r="332" spans="1:23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</row>
    <row r="333" spans="1:23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</row>
    <row r="334" spans="1:23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</row>
    <row r="335" spans="1:23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</row>
    <row r="336" spans="1:23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</row>
    <row r="337" spans="1:23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</row>
    <row r="338" spans="1:23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</row>
    <row r="339" spans="1:23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</row>
    <row r="340" spans="1:23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</row>
    <row r="341" spans="1:23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</row>
    <row r="342" spans="1:23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</row>
    <row r="343" spans="1:23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</row>
    <row r="344" spans="1:23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</row>
    <row r="345" spans="1:23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</row>
    <row r="346" spans="1:23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</row>
    <row r="347" spans="1:23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</row>
    <row r="348" spans="1:23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</row>
    <row r="349" spans="1:23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</row>
    <row r="350" spans="1:23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</row>
    <row r="351" spans="1:23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</row>
    <row r="352" spans="1:23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</row>
    <row r="353" spans="1:23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</row>
    <row r="354" spans="1:23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</row>
    <row r="355" spans="1:23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</row>
    <row r="356" spans="1:23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</row>
    <row r="357" spans="1:23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</row>
    <row r="358" spans="1:23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</row>
    <row r="359" spans="1:23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</row>
    <row r="360" spans="1:23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</row>
    <row r="361" spans="1:23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</row>
    <row r="362" spans="1:23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</row>
    <row r="363" spans="1:23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</row>
    <row r="364" spans="1:23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</row>
    <row r="365" spans="1:23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</row>
    <row r="366" spans="1:23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</row>
    <row r="367" spans="1:23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</row>
    <row r="368" spans="1:23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</row>
    <row r="369" spans="1:23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</row>
    <row r="370" spans="1:23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</row>
    <row r="371" spans="1:23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</row>
    <row r="372" spans="1:23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</row>
    <row r="373" spans="1:23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</row>
    <row r="374" spans="1:23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</row>
    <row r="375" spans="1:23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</row>
    <row r="376" spans="1:23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</row>
    <row r="377" spans="1:23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</row>
    <row r="378" spans="1:23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</row>
    <row r="379" spans="1:23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</row>
    <row r="380" spans="1:23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</row>
    <row r="381" spans="1:23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</row>
    <row r="382" spans="1:23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</row>
    <row r="383" spans="1:23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</row>
    <row r="384" spans="1:23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</row>
    <row r="385" spans="1:23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</row>
    <row r="386" spans="1:23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</row>
    <row r="387" spans="1:23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</row>
    <row r="388" spans="1:23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</row>
    <row r="389" spans="1:23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</row>
    <row r="390" spans="1:23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</row>
    <row r="391" spans="1:23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</row>
    <row r="392" spans="1:23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</row>
    <row r="393" spans="1:23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</row>
    <row r="394" spans="1:23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</row>
    <row r="395" spans="1:23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</row>
    <row r="396" spans="1:23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</row>
    <row r="397" spans="1:23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</row>
    <row r="398" spans="1:23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</row>
    <row r="399" spans="1:23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</row>
    <row r="400" spans="1:23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</row>
    <row r="401" spans="1:23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</row>
    <row r="402" spans="1:23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</row>
    <row r="403" spans="1:23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</row>
    <row r="404" spans="1:23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</row>
    <row r="405" spans="1:23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</row>
    <row r="406" spans="1:23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</row>
    <row r="407" spans="1:23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</row>
    <row r="408" spans="1:23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</row>
    <row r="409" spans="1:23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</row>
    <row r="410" spans="1:23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</row>
    <row r="411" spans="1:23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</row>
    <row r="412" spans="1:23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</row>
    <row r="413" spans="1:23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</row>
    <row r="414" spans="1:23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</row>
    <row r="415" spans="1:23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</row>
    <row r="416" spans="1:23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</row>
    <row r="417" spans="1:23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</row>
    <row r="418" spans="1:23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</row>
    <row r="419" spans="1:23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</row>
    <row r="420" spans="1:23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</row>
    <row r="421" spans="1:23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</row>
    <row r="422" spans="1:23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</row>
    <row r="423" spans="1:23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</row>
    <row r="424" spans="1:23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</row>
    <row r="425" spans="1:23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</row>
    <row r="426" spans="1:23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</row>
    <row r="427" spans="1:23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</row>
    <row r="428" spans="1:23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</row>
    <row r="429" spans="1:23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</row>
    <row r="430" spans="1:23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</row>
    <row r="431" spans="1:23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</row>
    <row r="432" spans="1:23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</row>
    <row r="433" spans="1:23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</row>
    <row r="434" spans="1:23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</row>
    <row r="435" spans="1:23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</row>
    <row r="436" spans="1:23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</row>
    <row r="437" spans="1:23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</row>
    <row r="438" spans="1:23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</row>
    <row r="439" spans="1:23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</row>
    <row r="440" spans="1:23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</row>
    <row r="441" spans="1:23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</row>
    <row r="442" spans="1:23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</row>
    <row r="443" spans="1:23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</row>
    <row r="444" spans="1:23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</row>
    <row r="445" spans="1:23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</row>
    <row r="446" spans="1:23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</row>
    <row r="447" spans="1:23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</row>
    <row r="448" spans="1:23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</row>
    <row r="449" spans="1:23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</row>
    <row r="450" spans="1:23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</row>
    <row r="451" spans="1:23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</row>
    <row r="452" spans="1:23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</row>
    <row r="453" spans="1:23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</row>
    <row r="454" spans="1:23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</row>
    <row r="455" spans="1:23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</row>
    <row r="456" spans="1:23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</row>
    <row r="457" spans="1:23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</row>
    <row r="458" spans="1:23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</row>
    <row r="459" spans="1:23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</row>
    <row r="460" spans="1:23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</row>
    <row r="461" spans="1:23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</row>
    <row r="462" spans="1:23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</row>
    <row r="463" spans="1:23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</row>
    <row r="464" spans="1:23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</row>
    <row r="465" spans="1:23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</row>
    <row r="466" spans="1:23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</row>
    <row r="467" spans="1:23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</row>
    <row r="468" spans="1:23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</row>
    <row r="469" spans="1:23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</row>
    <row r="470" spans="1:23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</row>
    <row r="471" spans="1:23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</row>
    <row r="472" spans="1:23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</row>
    <row r="473" spans="1:23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</row>
    <row r="474" spans="1:23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</row>
    <row r="475" spans="1:23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</row>
    <row r="476" spans="1:23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</row>
    <row r="477" spans="1:23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</row>
    <row r="478" spans="1:23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</row>
    <row r="479" spans="1:23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</row>
    <row r="480" spans="1:23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</row>
    <row r="481" spans="1:23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</row>
    <row r="482" spans="1:23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</row>
    <row r="483" spans="1:23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</row>
    <row r="484" spans="1:23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</row>
    <row r="485" spans="1:23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</row>
    <row r="486" spans="1:23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</row>
    <row r="487" spans="1:23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</row>
    <row r="488" spans="1:23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</row>
    <row r="489" spans="1:23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</row>
    <row r="490" spans="1:23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</row>
    <row r="491" spans="1:23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</row>
    <row r="492" spans="1:23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</row>
    <row r="493" spans="1:23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</row>
    <row r="494" spans="1:23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</row>
    <row r="495" spans="1:23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</row>
    <row r="496" spans="1:23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</row>
    <row r="497" spans="1:23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</row>
    <row r="498" spans="1:23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</row>
    <row r="499" spans="1:23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</row>
    <row r="500" spans="1:23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</row>
    <row r="501" spans="1:23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</row>
    <row r="502" spans="1:23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</row>
    <row r="503" spans="1:23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</row>
    <row r="504" spans="1:23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</row>
    <row r="505" spans="1:23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</row>
    <row r="506" spans="1:23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</row>
    <row r="507" spans="1:23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</row>
    <row r="508" spans="1:23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</row>
    <row r="509" spans="1:23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</row>
    <row r="510" spans="1:23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</row>
    <row r="511" spans="1:23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</row>
    <row r="512" spans="1:23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</row>
    <row r="513" spans="1:23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</row>
    <row r="514" spans="1:23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</row>
    <row r="515" spans="1:23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</row>
    <row r="516" spans="1:23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</row>
    <row r="517" spans="1:23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</row>
    <row r="518" spans="1:23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</row>
    <row r="519" spans="1:23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</row>
    <row r="520" spans="1:23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</row>
    <row r="521" spans="1:23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</row>
    <row r="522" spans="1:23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</row>
    <row r="523" spans="1:23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</row>
    <row r="524" spans="1:23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</row>
    <row r="525" spans="1:23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</row>
    <row r="526" spans="1:23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</row>
    <row r="527" spans="1:23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</row>
    <row r="528" spans="1:23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</row>
    <row r="529" spans="1:23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</row>
    <row r="530" spans="1:23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</row>
    <row r="531" spans="1:23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</row>
    <row r="532" spans="1:23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</row>
    <row r="533" spans="1:23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</row>
    <row r="534" spans="1:23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</row>
    <row r="535" spans="1:23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</row>
    <row r="536" spans="1:23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</row>
    <row r="537" spans="1:23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</row>
    <row r="538" spans="1:23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</row>
    <row r="539" spans="1:23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</row>
    <row r="540" spans="1:23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</row>
    <row r="541" spans="1:23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</row>
    <row r="542" spans="1:23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</row>
    <row r="543" spans="1:23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</row>
    <row r="544" spans="1:23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</row>
    <row r="545" spans="1:23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</row>
    <row r="546" spans="1:23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</row>
    <row r="547" spans="1:23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</row>
    <row r="548" spans="1:23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</row>
    <row r="549" spans="1:23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</row>
    <row r="550" spans="1:23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</row>
    <row r="551" spans="1:23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</row>
    <row r="552" spans="1:23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</row>
    <row r="553" spans="1:23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</row>
    <row r="554" spans="1:23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</row>
    <row r="555" spans="1:23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</row>
    <row r="556" spans="1:23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</row>
    <row r="557" spans="1:23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</row>
    <row r="558" spans="1:23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</row>
    <row r="559" spans="1:23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</row>
    <row r="560" spans="1:23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</row>
    <row r="561" spans="1:23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</row>
    <row r="562" spans="1:23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</row>
    <row r="563" spans="1:23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</row>
    <row r="564" spans="1:23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</row>
    <row r="565" spans="1:23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</row>
    <row r="566" spans="1:23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</row>
    <row r="567" spans="1:23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</row>
    <row r="568" spans="1:23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</row>
    <row r="569" spans="1:23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</row>
    <row r="570" spans="1:23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</row>
    <row r="571" spans="1:23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</row>
    <row r="572" spans="1:23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</row>
    <row r="573" spans="1:23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</row>
    <row r="574" spans="1:23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</row>
    <row r="575" spans="1:23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</row>
    <row r="576" spans="1:23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</row>
    <row r="577" spans="1:23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</row>
    <row r="578" spans="1:23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</row>
    <row r="579" spans="1:23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</row>
    <row r="580" spans="1:23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</row>
    <row r="581" spans="1:23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</row>
    <row r="582" spans="1:23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</row>
    <row r="583" spans="1:23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</row>
    <row r="584" spans="1:23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</row>
    <row r="585" spans="1:23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</row>
    <row r="586" spans="1:23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</row>
    <row r="587" spans="1:23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</row>
    <row r="588" spans="1:23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</row>
    <row r="589" spans="1:23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</row>
    <row r="590" spans="1:23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</row>
    <row r="591" spans="1:23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</row>
    <row r="592" spans="1:23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</row>
    <row r="593" spans="1:23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</row>
    <row r="594" spans="1:23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</row>
    <row r="595" spans="1:23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</row>
    <row r="596" spans="1:23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</row>
    <row r="597" spans="1:23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</row>
    <row r="598" spans="1:23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</row>
    <row r="599" spans="1:23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</row>
    <row r="600" spans="1:23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</row>
    <row r="601" spans="1:23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</row>
    <row r="602" spans="1:23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</row>
    <row r="603" spans="1:23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</row>
    <row r="604" spans="1:23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</row>
    <row r="605" spans="1:23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</row>
    <row r="606" spans="1:23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</row>
    <row r="607" spans="1:23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</row>
    <row r="608" spans="1:23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</row>
    <row r="609" spans="1:23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</row>
    <row r="610" spans="1:23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</row>
    <row r="611" spans="1:23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</row>
    <row r="612" spans="1:23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</row>
    <row r="613" spans="1:23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</row>
    <row r="614" spans="1:23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</row>
    <row r="615" spans="1:23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</row>
    <row r="616" spans="1:23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</row>
    <row r="617" spans="1:23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</row>
    <row r="618" spans="1:23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</row>
    <row r="619" spans="1:23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</row>
    <row r="620" spans="1:23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</row>
    <row r="621" spans="1:23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</row>
    <row r="622" spans="1:23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</row>
    <row r="623" spans="1:23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</row>
    <row r="624" spans="1:23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</row>
    <row r="625" spans="1:23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</row>
    <row r="626" spans="1:23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</row>
    <row r="627" spans="1:23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</row>
    <row r="628" spans="1:23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</row>
    <row r="629" spans="1:23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</row>
    <row r="630" spans="1:23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</row>
    <row r="631" spans="1:23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</row>
    <row r="632" spans="1:23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</row>
    <row r="633" spans="1:23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</row>
    <row r="634" spans="1:23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</row>
    <row r="635" spans="1:23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</row>
    <row r="636" spans="1:23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</row>
    <row r="637" spans="1:23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</row>
    <row r="638" spans="1:23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</row>
    <row r="639" spans="1:23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</row>
    <row r="640" spans="1:23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</row>
    <row r="641" spans="1:23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</row>
    <row r="642" spans="1:23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</row>
    <row r="643" spans="1:23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</row>
    <row r="644" spans="1:23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</row>
    <row r="645" spans="1:23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</row>
    <row r="646" spans="1:23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</row>
    <row r="647" spans="1:23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</row>
    <row r="648" spans="1:23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</row>
    <row r="649" spans="1:23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</row>
    <row r="650" spans="1:23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</row>
    <row r="651" spans="1:23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</row>
    <row r="652" spans="1:23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</row>
    <row r="653" spans="1:23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</row>
    <row r="654" spans="1:23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</row>
    <row r="655" spans="1:23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</row>
    <row r="656" spans="1:23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</row>
    <row r="657" spans="1:23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</row>
    <row r="658" spans="1:23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</row>
    <row r="659" spans="1:23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</row>
    <row r="660" spans="1:23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</row>
    <row r="661" spans="1:23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</row>
    <row r="662" spans="1:23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</row>
    <row r="663" spans="1:23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</row>
    <row r="664" spans="1:23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</row>
    <row r="665" spans="1:23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</row>
    <row r="666" spans="1:23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</row>
    <row r="667" spans="1:23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</row>
    <row r="668" spans="1:23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</row>
    <row r="669" spans="1:23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</row>
    <row r="670" spans="1:23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</row>
    <row r="671" spans="1:23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</row>
    <row r="672" spans="1:23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</row>
    <row r="673" spans="1:23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</row>
    <row r="674" spans="1:23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</row>
    <row r="675" spans="1:23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</row>
    <row r="676" spans="1:23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</row>
    <row r="677" spans="1:23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</row>
    <row r="678" spans="1:23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</row>
    <row r="679" spans="1:23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</row>
    <row r="680" spans="1:23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</row>
    <row r="681" spans="1:23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</row>
    <row r="682" spans="1:23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</row>
    <row r="683" spans="1:23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</row>
    <row r="684" spans="1:23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</row>
    <row r="685" spans="1:23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</row>
    <row r="686" spans="1:23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</row>
    <row r="687" spans="1:23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</row>
    <row r="688" spans="1:23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</row>
    <row r="689" spans="1:23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</row>
    <row r="690" spans="1:23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</row>
    <row r="691" spans="1:23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</row>
    <row r="692" spans="1:23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</row>
    <row r="693" spans="1:23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</row>
    <row r="694" spans="1:23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</row>
    <row r="695" spans="1:23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</row>
    <row r="696" spans="1:23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</row>
    <row r="697" spans="1:23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</row>
    <row r="698" spans="1:23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</row>
    <row r="699" spans="1:23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</row>
    <row r="700" spans="1:23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</row>
    <row r="701" spans="1:23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</row>
    <row r="702" spans="1:23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</row>
    <row r="703" spans="1:23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</row>
    <row r="704" spans="1:23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</row>
    <row r="705" spans="1:23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</row>
    <row r="706" spans="1:23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</row>
    <row r="707" spans="1:23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</row>
    <row r="708" spans="1:23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</row>
    <row r="709" spans="1:23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</row>
    <row r="710" spans="1:23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</row>
    <row r="711" spans="1:23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</row>
    <row r="712" spans="1:23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</row>
    <row r="713" spans="1:23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</row>
    <row r="714" spans="1:23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</row>
    <row r="715" spans="1:23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</row>
    <row r="716" spans="1:23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</row>
    <row r="717" spans="1:23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</row>
    <row r="718" spans="1:23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</row>
    <row r="719" spans="1:23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</row>
    <row r="720" spans="1:23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</row>
    <row r="721" spans="1:23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</row>
    <row r="722" spans="1:23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</row>
    <row r="723" spans="1:23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</row>
    <row r="724" spans="1:23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</row>
    <row r="725" spans="1:23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</row>
    <row r="726" spans="1:23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</row>
    <row r="727" spans="1:23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</row>
    <row r="728" spans="1:23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</row>
    <row r="729" spans="1:23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</row>
    <row r="730" spans="1:23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</row>
    <row r="731" spans="1:23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</row>
    <row r="732" spans="1:23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</row>
    <row r="733" spans="1:23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</row>
    <row r="734" spans="1:23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</row>
    <row r="735" spans="1:23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</row>
    <row r="736" spans="1:23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</row>
    <row r="737" spans="1:23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</row>
    <row r="738" spans="1:23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</row>
    <row r="739" spans="1:23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</row>
    <row r="740" spans="1:23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</row>
    <row r="741" spans="1:23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</row>
    <row r="742" spans="1:23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</row>
    <row r="743" spans="1:23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</row>
    <row r="744" spans="1:23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</row>
    <row r="745" spans="1:23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</row>
    <row r="746" spans="1:23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</row>
    <row r="747" spans="1:23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</row>
    <row r="748" spans="1:23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</row>
    <row r="749" spans="1:23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</row>
    <row r="750" spans="1:23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</row>
    <row r="751" spans="1:23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</row>
    <row r="752" spans="1:23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</row>
    <row r="753" spans="1:23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</row>
    <row r="754" spans="1:23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</row>
    <row r="755" spans="1:23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</row>
    <row r="756" spans="1:23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</row>
    <row r="757" spans="1:23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</row>
    <row r="758" spans="1:23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</row>
    <row r="759" spans="1:23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</row>
    <row r="760" spans="1:23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</row>
    <row r="761" spans="1:23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</row>
    <row r="762" spans="1:23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</row>
    <row r="763" spans="1:23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</row>
    <row r="764" spans="1:23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</row>
    <row r="765" spans="1:23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</row>
    <row r="766" spans="1:23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</row>
    <row r="767" spans="1:23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</row>
    <row r="768" spans="1:23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</row>
    <row r="769" spans="1:23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</row>
    <row r="770" spans="1:23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</row>
    <row r="771" spans="1:23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</row>
    <row r="772" spans="1:23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</row>
    <row r="773" spans="1:23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</row>
    <row r="774" spans="1:23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</row>
    <row r="775" spans="1:23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</row>
    <row r="776" spans="1:23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</row>
    <row r="777" spans="1:23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</row>
    <row r="778" spans="1:23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</row>
    <row r="779" spans="1:23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</row>
    <row r="780" spans="1:23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</row>
    <row r="781" spans="1:23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</row>
    <row r="782" spans="1:23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</row>
    <row r="783" spans="1:23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</row>
    <row r="784" spans="1:23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</row>
    <row r="785" spans="1:23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</row>
    <row r="786" spans="1:23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</row>
    <row r="787" spans="1:23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</row>
    <row r="788" spans="1:23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</row>
    <row r="789" spans="1:23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</row>
    <row r="790" spans="1:23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</row>
    <row r="791" spans="1:23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</row>
    <row r="792" spans="1:23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</row>
    <row r="793" spans="1:23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</row>
    <row r="794" spans="1:23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</row>
    <row r="795" spans="1:23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</row>
    <row r="796" spans="1:23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</row>
    <row r="797" spans="1:23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</row>
    <row r="798" spans="1:23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</row>
    <row r="799" spans="1:23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</row>
    <row r="800" spans="1:23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</row>
    <row r="801" spans="1:23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</row>
    <row r="802" spans="1:23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</row>
    <row r="803" spans="1:23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</row>
    <row r="804" spans="1:23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</row>
    <row r="805" spans="1:23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</row>
    <row r="806" spans="1:23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</row>
    <row r="807" spans="1:23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</row>
    <row r="808" spans="1:23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</row>
    <row r="809" spans="1:23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</row>
    <row r="810" spans="1:23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</row>
    <row r="811" spans="1:23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</row>
    <row r="812" spans="1:23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</row>
    <row r="813" spans="1:23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</row>
    <row r="814" spans="1:23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</row>
    <row r="815" spans="1:23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</row>
    <row r="816" spans="1:23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</row>
    <row r="817" spans="1:23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</row>
    <row r="818" spans="1:23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</row>
    <row r="819" spans="1:23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</row>
    <row r="820" spans="1:23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</row>
    <row r="821" spans="1:23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</row>
    <row r="822" spans="1:23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</row>
    <row r="823" spans="1:23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</row>
    <row r="824" spans="1:23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</row>
    <row r="825" spans="1:23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</row>
    <row r="826" spans="1:23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</row>
    <row r="827" spans="1:23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</row>
    <row r="828" spans="1:23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</row>
    <row r="829" spans="1:23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</row>
    <row r="830" spans="1:23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</row>
    <row r="831" spans="1:23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</row>
    <row r="832" spans="1:23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</row>
    <row r="833" spans="1:23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</row>
    <row r="834" spans="1:23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</row>
    <row r="835" spans="1:23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</row>
    <row r="836" spans="1:23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</row>
    <row r="837" spans="1:23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</row>
    <row r="838" spans="1:23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</row>
    <row r="839" spans="1:23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</row>
    <row r="840" spans="1:23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</row>
    <row r="841" spans="1:23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</row>
    <row r="842" spans="1:23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</row>
    <row r="843" spans="1:23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</row>
    <row r="844" spans="1:23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</row>
    <row r="845" spans="1:23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</row>
    <row r="846" spans="1:23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</row>
    <row r="847" spans="1:23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</row>
    <row r="848" spans="1:23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</row>
    <row r="849" spans="1:23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</row>
    <row r="850" spans="1:23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</row>
    <row r="851" spans="1:23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</row>
    <row r="852" spans="1:23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</row>
    <row r="853" spans="1:23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</row>
    <row r="854" spans="1:23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</row>
    <row r="855" spans="1:23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</row>
    <row r="856" spans="1:23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</row>
    <row r="857" spans="1:23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</row>
    <row r="858" spans="1:23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</row>
    <row r="859" spans="1:23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</row>
    <row r="860" spans="1:23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</row>
    <row r="861" spans="1:23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</row>
    <row r="862" spans="1:23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</row>
    <row r="863" spans="1:23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</row>
    <row r="864" spans="1:23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</row>
    <row r="865" spans="1:23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</row>
    <row r="866" spans="1:23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</row>
    <row r="867" spans="1:23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</row>
    <row r="868" spans="1:23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</row>
    <row r="869" spans="1:23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</row>
    <row r="870" spans="1:23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</row>
    <row r="871" spans="1:23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</row>
    <row r="872" spans="1:23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</row>
    <row r="873" spans="1:23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</row>
    <row r="874" spans="1:23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</row>
    <row r="875" spans="1:23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</row>
    <row r="876" spans="1:23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</row>
    <row r="877" spans="1:23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</row>
    <row r="878" spans="1:23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</row>
    <row r="879" spans="1:23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</row>
    <row r="880" spans="1:23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</row>
    <row r="881" spans="1:23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</row>
    <row r="882" spans="1:23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</row>
    <row r="883" spans="1:23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</row>
    <row r="884" spans="1:23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</row>
    <row r="885" spans="1:23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</row>
    <row r="886" spans="1:23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</row>
    <row r="887" spans="1:23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</row>
    <row r="888" spans="1:23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</row>
    <row r="889" spans="1:23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</row>
    <row r="890" spans="1:23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</row>
    <row r="891" spans="1:23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</row>
    <row r="892" spans="1:23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</row>
    <row r="893" spans="1:23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</row>
    <row r="894" spans="1:23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</row>
    <row r="895" spans="1:23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</row>
    <row r="896" spans="1:23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</row>
    <row r="897" spans="1:23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</row>
    <row r="898" spans="1:23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</row>
    <row r="899" spans="1:23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</row>
    <row r="900" spans="1:23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</row>
    <row r="901" spans="1:23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</row>
    <row r="902" spans="1:23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</row>
    <row r="903" spans="1:23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</row>
    <row r="904" spans="1:23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</row>
    <row r="905" spans="1:23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</row>
    <row r="906" spans="1:23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</row>
    <row r="907" spans="1:23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</row>
    <row r="908" spans="1:23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</row>
    <row r="909" spans="1:23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</row>
    <row r="910" spans="1:23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</row>
    <row r="911" spans="1:23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</row>
    <row r="912" spans="1:23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</row>
    <row r="913" spans="1:23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</row>
    <row r="914" spans="1:23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</row>
    <row r="915" spans="1:23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</row>
    <row r="916" spans="1:23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</row>
    <row r="917" spans="1:23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</row>
    <row r="918" spans="1:23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</row>
    <row r="919" spans="1:23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</row>
    <row r="920" spans="1:23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</row>
    <row r="921" spans="1:23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</row>
    <row r="922" spans="1:23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</row>
    <row r="923" spans="1:23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</row>
    <row r="924" spans="1:23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</row>
    <row r="925" spans="1:23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</row>
    <row r="926" spans="1:23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</row>
    <row r="927" spans="1:23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</row>
    <row r="928" spans="1:23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</row>
    <row r="929" spans="1:23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</row>
    <row r="930" spans="1:23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</row>
    <row r="931" spans="1:23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</row>
    <row r="932" spans="1:23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</row>
    <row r="933" spans="1:23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</row>
    <row r="934" spans="1:23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</row>
    <row r="935" spans="1:23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</row>
    <row r="936" spans="1:23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</row>
    <row r="937" spans="1:23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</row>
    <row r="938" spans="1:23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</row>
    <row r="939" spans="1:23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</row>
    <row r="940" spans="1:23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</row>
    <row r="941" spans="1:23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</row>
    <row r="942" spans="1:23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</row>
    <row r="943" spans="1:23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</row>
    <row r="944" spans="1:23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</row>
    <row r="945" spans="1:23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</row>
    <row r="946" spans="1:23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</row>
    <row r="947" spans="1:23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</row>
    <row r="948" spans="1:23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</row>
    <row r="949" spans="1:23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</row>
    <row r="950" spans="1:23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</row>
    <row r="951" spans="1:23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</row>
    <row r="952" spans="1:23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</row>
    <row r="953" spans="1:23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</row>
    <row r="954" spans="1:23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</row>
    <row r="955" spans="1:23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</row>
    <row r="956" spans="1:23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</row>
    <row r="957" spans="1:23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</row>
    <row r="958" spans="1:23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</row>
    <row r="959" spans="1:23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</row>
    <row r="960" spans="1:23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</row>
    <row r="961" spans="1:23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</row>
    <row r="962" spans="1:23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</row>
    <row r="963" spans="1:23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</row>
    <row r="964" spans="1:23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</row>
    <row r="965" spans="1:23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</row>
    <row r="966" spans="1:23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</row>
    <row r="967" spans="1:23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</row>
    <row r="968" spans="1:23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</row>
    <row r="969" spans="1:23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</row>
    <row r="970" spans="1:23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</row>
    <row r="971" spans="1:23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</row>
    <row r="972" spans="1:23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</row>
    <row r="973" spans="1:23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</row>
    <row r="974" spans="1:23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</row>
    <row r="975" spans="1:23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</row>
    <row r="976" spans="1:23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</row>
    <row r="977" spans="1:23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</row>
    <row r="978" spans="1:23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</row>
    <row r="979" spans="1:23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</row>
    <row r="980" spans="1:23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</row>
    <row r="981" spans="1:23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</row>
    <row r="982" spans="1:23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</row>
    <row r="983" spans="1:23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</row>
    <row r="984" spans="1:23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</row>
    <row r="985" spans="1:23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</row>
    <row r="986" spans="1:23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</row>
    <row r="987" spans="1:23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</row>
    <row r="988" spans="1:23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</row>
    <row r="989" spans="1:23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</row>
    <row r="990" spans="1:23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</row>
    <row r="991" spans="1:23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</row>
    <row r="992" spans="1:23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</row>
    <row r="993" spans="1:23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</row>
    <row r="994" spans="1:23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</row>
    <row r="995" spans="1:23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</row>
    <row r="996" spans="1:23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</row>
    <row r="997" spans="1:23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</row>
  </sheetData>
  <dataConsolidate/>
  <conditionalFormatting sqref="D95:I96 D2:I82">
    <cfRule type="cellIs" dxfId="2" priority="3" operator="equal">
      <formula>0</formula>
    </cfRule>
  </conditionalFormatting>
  <conditionalFormatting sqref="D84:I94">
    <cfRule type="cellIs" dxfId="1" priority="2" operator="between">
      <formula>-0.1</formula>
      <formula>0.1</formula>
    </cfRule>
  </conditionalFormatting>
  <conditionalFormatting sqref="D83:I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  <ignoredErrors>
    <ignoredError sqref="A2:A9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2026-02-28T10:50:55Z</dcterms:modified>
</cp:coreProperties>
</file>