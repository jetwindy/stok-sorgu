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O6163" i="13" l="1"/>
  <c r="C6163" i="13" s="1"/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H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I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F83" i="22"/>
  <c r="J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E96" i="22"/>
  <c r="J96" i="22" s="1"/>
  <c r="G102" i="12"/>
  <c r="E95" i="22"/>
  <c r="J95" i="22" s="1"/>
  <c r="G100" i="12"/>
  <c r="E100" i="12" s="1"/>
  <c r="E93" i="22"/>
  <c r="J93" i="22" s="1"/>
  <c r="G98" i="12"/>
  <c r="E98" i="12" s="1"/>
  <c r="E91" i="22"/>
  <c r="J91" i="22" s="1"/>
  <c r="G96" i="12"/>
  <c r="E96" i="12" s="1"/>
  <c r="E89" i="22"/>
  <c r="J89" i="22" s="1"/>
  <c r="F94" i="12"/>
  <c r="D87" i="22"/>
  <c r="J87" i="22" s="1"/>
  <c r="G92" i="12"/>
  <c r="E92" i="12" s="1"/>
  <c r="E85" i="22"/>
  <c r="J85" i="22" s="1"/>
  <c r="G101" i="12"/>
  <c r="E101" i="12" s="1"/>
  <c r="E94" i="22"/>
  <c r="J94" i="22" s="1"/>
  <c r="G99" i="12"/>
  <c r="E99" i="12" s="1"/>
  <c r="E92" i="22"/>
  <c r="J92" i="22" s="1"/>
  <c r="G97" i="12"/>
  <c r="E97" i="12" s="1"/>
  <c r="E90" i="22"/>
  <c r="J90" i="22" s="1"/>
  <c r="F95" i="12"/>
  <c r="E95" i="12" s="1"/>
  <c r="D88" i="22"/>
  <c r="J88" i="22" s="1"/>
  <c r="G93" i="12"/>
  <c r="E93" i="12" s="1"/>
  <c r="E86" i="22"/>
  <c r="J86" i="22" s="1"/>
  <c r="G91" i="12"/>
  <c r="E84" i="22"/>
  <c r="J84" i="22" s="1"/>
  <c r="E94" i="12"/>
  <c r="F104" i="12"/>
  <c r="E91" i="12"/>
  <c r="G104" i="12"/>
  <c r="GX6" i="13"/>
  <c r="W6" i="13"/>
  <c r="K14" i="12" l="1"/>
  <c r="I11" i="22"/>
  <c r="H66" i="12"/>
  <c r="E66" i="12" s="1"/>
  <c r="F61" i="22"/>
  <c r="J61" i="22" s="1"/>
  <c r="E104" i="12"/>
  <c r="BO5696" i="13"/>
  <c r="DX6" i="13" l="1"/>
  <c r="C5692" i="13"/>
  <c r="ED6" i="13"/>
  <c r="K35" i="12" l="1"/>
  <c r="I32" i="22"/>
  <c r="K34" i="12"/>
  <c r="I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D49" i="22" s="1"/>
  <c r="J52" i="12" l="1"/>
  <c r="H49" i="22"/>
  <c r="AR5560" i="13"/>
  <c r="P5560" i="13"/>
  <c r="AK6" i="13" l="1"/>
  <c r="HB6" i="13"/>
  <c r="HM5560" i="13"/>
  <c r="HY5560" i="13"/>
  <c r="FM6" i="13"/>
  <c r="C6" i="21"/>
  <c r="H18" i="12" l="1"/>
  <c r="E18" i="12" s="1"/>
  <c r="F15" i="22"/>
  <c r="J15" i="22" s="1"/>
  <c r="F47" i="12"/>
  <c r="D44" i="22"/>
  <c r="F68" i="12"/>
  <c r="E68" i="12" s="1"/>
  <c r="D63" i="22"/>
  <c r="J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H41" i="22"/>
  <c r="J41" i="22" s="1"/>
  <c r="J55" i="12"/>
  <c r="E55" i="12" s="1"/>
  <c r="H52" i="22"/>
  <c r="J52" i="22" s="1"/>
  <c r="J53" i="12"/>
  <c r="H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I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H46" i="22"/>
  <c r="J46" i="22" s="1"/>
  <c r="J47" i="12"/>
  <c r="E47" i="12" s="1"/>
  <c r="H44" i="22"/>
  <c r="J44" i="22" s="1"/>
  <c r="J48" i="12"/>
  <c r="E48" i="12" s="1"/>
  <c r="H45" i="22"/>
  <c r="J45" i="22" s="1"/>
  <c r="J56" i="12"/>
  <c r="E56" i="12" s="1"/>
  <c r="H53" i="22"/>
  <c r="J53" i="22" s="1"/>
  <c r="CU6" i="13"/>
  <c r="J29" i="12" l="1"/>
  <c r="H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G33" i="22" s="1"/>
  <c r="AJ6" i="13"/>
  <c r="I14" i="22" s="1"/>
  <c r="K17" i="12" l="1"/>
  <c r="I36" i="12"/>
  <c r="DS4920" i="13"/>
  <c r="DN4920" i="13"/>
  <c r="CY4924" i="13"/>
  <c r="CG4924" i="13"/>
  <c r="C4920" i="13" l="1"/>
  <c r="F7" i="12"/>
  <c r="CD6" i="13" l="1"/>
  <c r="I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H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H51" i="22" s="1"/>
  <c r="FW6" i="13"/>
  <c r="H48" i="22" s="1"/>
  <c r="FU6" i="13"/>
  <c r="E48" i="22" s="1"/>
  <c r="FL6" i="13"/>
  <c r="H43" i="22" s="1"/>
  <c r="FH6" i="13"/>
  <c r="H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H37" i="22" s="1"/>
  <c r="J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H40" i="22" s="1"/>
  <c r="EQ6" i="13"/>
  <c r="H35" i="22" s="1"/>
  <c r="EU6" i="13"/>
  <c r="H36" i="22" s="1"/>
  <c r="EM6" i="13"/>
  <c r="H34" i="22" s="1"/>
  <c r="EI6" i="13"/>
  <c r="H33" i="22" s="1"/>
  <c r="J36" i="12" l="1"/>
  <c r="J39" i="12"/>
  <c r="J43" i="12"/>
  <c r="J37" i="12"/>
  <c r="J38" i="12"/>
  <c r="EP4424" i="13"/>
  <c r="R6" i="13" l="1"/>
  <c r="I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H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I5" i="22" s="1"/>
  <c r="J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8" i="22" s="1"/>
  <c r="FG6" i="13"/>
  <c r="F42" i="22" s="1"/>
  <c r="H45" i="12" l="1"/>
  <c r="H11" i="12"/>
  <c r="C3328" i="13"/>
  <c r="AW3350" i="13" l="1"/>
  <c r="C3320" i="13" l="1"/>
  <c r="C3302" i="13" l="1"/>
  <c r="FS6" i="13" l="1"/>
  <c r="F47" i="22" s="1"/>
  <c r="H50" i="12" l="1"/>
  <c r="C3161" i="13"/>
  <c r="GN6" i="13" l="1"/>
  <c r="C3228" i="13" l="1"/>
  <c r="C3235" i="13"/>
  <c r="AN3253" i="13" l="1"/>
  <c r="HD6" i="13" l="1"/>
  <c r="F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I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H25" i="22" s="1"/>
  <c r="CI6" i="13"/>
  <c r="H24" i="22" s="1"/>
  <c r="BW6" i="13"/>
  <c r="H22" i="22" s="1"/>
  <c r="BK6" i="13"/>
  <c r="H20" i="22" s="1"/>
  <c r="BE6" i="13"/>
  <c r="H19" i="22" s="1"/>
  <c r="AX6" i="13"/>
  <c r="G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I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F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I62" i="22" s="1"/>
  <c r="K67" i="12" l="1"/>
  <c r="DS2738" i="13"/>
  <c r="C2716" i="13" l="1"/>
  <c r="C2710" i="13" l="1"/>
  <c r="C2584" i="13" l="1"/>
  <c r="C2669" i="13" l="1"/>
  <c r="EP6" i="13" l="1"/>
  <c r="F35" i="22" s="1"/>
  <c r="H38" i="12" l="1"/>
  <c r="HI6" i="13"/>
  <c r="I66" i="22" s="1"/>
  <c r="K71" i="12" l="1"/>
  <c r="K89" i="12" s="1"/>
  <c r="BI2618" i="13"/>
  <c r="HJ6" i="13" l="1"/>
  <c r="F67" i="22" s="1"/>
  <c r="J67" i="22" s="1"/>
  <c r="H72" i="12" l="1"/>
  <c r="E72" i="12" s="1"/>
  <c r="C2600" i="13"/>
  <c r="BI2580" i="13" l="1"/>
  <c r="C2578" i="13"/>
  <c r="GZ2436" i="13" l="1"/>
  <c r="C2436" i="13" s="1"/>
  <c r="P6" i="13" l="1"/>
  <c r="F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F54" i="22" s="1"/>
  <c r="GW6" i="13"/>
  <c r="F60" i="22" s="1"/>
  <c r="GO6" i="13"/>
  <c r="F56" i="22" s="1"/>
  <c r="J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I4" i="22" s="1"/>
  <c r="J4" i="22" s="1"/>
  <c r="K5" i="12" l="1"/>
  <c r="E5" i="12" s="1"/>
  <c r="CM2458" i="13"/>
  <c r="CG2458" i="13"/>
  <c r="N6" i="13" l="1"/>
  <c r="D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F77" i="22" s="1"/>
  <c r="J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F43" i="22" s="1"/>
  <c r="HV6" i="13"/>
  <c r="F74" i="22" s="1"/>
  <c r="H79" i="12" l="1"/>
  <c r="H46" i="12"/>
  <c r="HH6" i="13"/>
  <c r="F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F7" i="22" s="1"/>
  <c r="J7" i="22" s="1"/>
  <c r="HX6" i="13"/>
  <c r="F75" i="22" s="1"/>
  <c r="GT6" i="13"/>
  <c r="J6" i="13"/>
  <c r="H6" i="13"/>
  <c r="F6" i="22" s="1"/>
  <c r="J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F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F33" i="22" s="1"/>
  <c r="HF6" i="13"/>
  <c r="F65" i="22" s="1"/>
  <c r="HM6" i="13"/>
  <c r="F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F48" i="22" s="1"/>
  <c r="J48" i="22" s="1"/>
  <c r="AC6" i="13"/>
  <c r="F13" i="22" s="1"/>
  <c r="Z6" i="13"/>
  <c r="F12" i="22" s="1"/>
  <c r="H15" i="12" l="1"/>
  <c r="H51" i="12"/>
  <c r="H16" i="12"/>
  <c r="AR1836" i="13"/>
  <c r="C1836" i="13" s="1"/>
  <c r="C1522" i="13" l="1"/>
  <c r="EA6" i="13" l="1"/>
  <c r="F32" i="22" s="1"/>
  <c r="H35" i="12" l="1"/>
  <c r="C1812" i="13"/>
  <c r="C1714" i="13" l="1"/>
  <c r="GZ6" i="13" l="1"/>
  <c r="F62" i="22" s="1"/>
  <c r="H67" i="12" l="1"/>
  <c r="DE6" i="13"/>
  <c r="F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I49" i="22" s="1"/>
  <c r="J49" i="22" s="1"/>
  <c r="EX6" i="13"/>
  <c r="K52" i="12" l="1"/>
  <c r="CW1652" i="13"/>
  <c r="BM1652" i="13"/>
  <c r="C1652" i="13" l="1"/>
  <c r="ET6" i="13"/>
  <c r="F36" i="22" s="1"/>
  <c r="EW6" i="13"/>
  <c r="E38" i="22" s="1"/>
  <c r="J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F30" i="22" s="1"/>
  <c r="DK6" i="13"/>
  <c r="F29" i="22" s="1"/>
  <c r="H33" i="12" l="1"/>
  <c r="H32" i="12"/>
  <c r="AR1544" i="13"/>
  <c r="C1544" i="13" s="1"/>
  <c r="GU6" i="13" l="1"/>
  <c r="FC6" i="13"/>
  <c r="F40" i="22" s="1"/>
  <c r="HT6" i="13"/>
  <c r="F73" i="22" s="1"/>
  <c r="J73" i="22" s="1"/>
  <c r="H64" i="12" l="1"/>
  <c r="E64" i="12" s="1"/>
  <c r="F59" i="22"/>
  <c r="J59" i="22" s="1"/>
  <c r="H43" i="12"/>
  <c r="H78" i="12"/>
  <c r="E78" i="12" s="1"/>
  <c r="HP1490" i="13"/>
  <c r="C1490" i="13" s="1"/>
  <c r="AR6" i="13" l="1"/>
  <c r="F17" i="22" s="1"/>
  <c r="GQ6" i="13"/>
  <c r="F57" i="22" s="1"/>
  <c r="S6" i="13"/>
  <c r="F10" i="22" s="1"/>
  <c r="J10" i="22" s="1"/>
  <c r="GB6" i="13"/>
  <c r="F50" i="22" s="1"/>
  <c r="IE6" i="13"/>
  <c r="F79" i="22" s="1"/>
  <c r="GM6" i="13"/>
  <c r="F55" i="22" s="1"/>
  <c r="EZ6" i="13"/>
  <c r="F39" i="22" s="1"/>
  <c r="EL6" i="13"/>
  <c r="F34" i="22" s="1"/>
  <c r="AN6" i="13"/>
  <c r="F16" i="22" s="1"/>
  <c r="GS6" i="13"/>
  <c r="DU6" i="13"/>
  <c r="F31" i="22" s="1"/>
  <c r="V6" i="13"/>
  <c r="F11" i="22" s="1"/>
  <c r="H63" i="12" l="1"/>
  <c r="F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I2" i="22" s="1"/>
  <c r="J2" i="22" s="1"/>
  <c r="E6" i="13"/>
  <c r="I3" i="22" s="1"/>
  <c r="J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F27" i="22" s="1"/>
  <c r="CS6" i="13"/>
  <c r="F26" i="22" s="1"/>
  <c r="CG6" i="13"/>
  <c r="F24" i="22" s="1"/>
  <c r="CA6" i="13"/>
  <c r="F23" i="22" s="1"/>
  <c r="BU6" i="13"/>
  <c r="F22" i="22" s="1"/>
  <c r="BO6" i="13"/>
  <c r="F21" i="22" s="1"/>
  <c r="BI6" i="13"/>
  <c r="F20" i="22" s="1"/>
  <c r="BC6" i="13"/>
  <c r="F19" i="22" s="1"/>
  <c r="AW6" i="13"/>
  <c r="F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G25" i="22" s="1"/>
  <c r="CH6" i="13"/>
  <c r="G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G29" i="22" s="1"/>
  <c r="AE950" i="13"/>
  <c r="I32" i="12" l="1"/>
  <c r="C1010" i="13"/>
  <c r="BS876" i="13"/>
  <c r="BM876" i="13"/>
  <c r="BA876" i="13"/>
  <c r="CK800" i="13"/>
  <c r="BS814" i="13"/>
  <c r="FA6" i="13" l="1"/>
  <c r="D40" i="22" s="1"/>
  <c r="F43" i="12" l="1"/>
  <c r="X6" i="13"/>
  <c r="D12" i="22" s="1"/>
  <c r="ER6" i="13"/>
  <c r="D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D58" i="22" s="1"/>
  <c r="J58" i="22" s="1"/>
  <c r="AA6" i="13"/>
  <c r="D13" i="22" s="1"/>
  <c r="F63" i="12" l="1"/>
  <c r="E63" i="12" s="1"/>
  <c r="F16" i="12"/>
  <c r="CW8" i="13"/>
  <c r="BJ6" i="13" l="1"/>
  <c r="G20" i="22" s="1"/>
  <c r="BD6" i="13"/>
  <c r="AV399" i="13"/>
  <c r="I23" i="12" l="1"/>
  <c r="CR395" i="13"/>
  <c r="BN395" i="13"/>
  <c r="CB6" i="13" l="1"/>
  <c r="G23" i="22" s="1"/>
  <c r="BV6" i="13"/>
  <c r="G22" i="22" s="1"/>
  <c r="BP6" i="13"/>
  <c r="G21" i="22" s="1"/>
  <c r="I25" i="12" l="1"/>
  <c r="I24" i="12"/>
  <c r="I26" i="12"/>
  <c r="CC8" i="13"/>
  <c r="HG316" i="13" l="1"/>
  <c r="GL316" i="13"/>
  <c r="IH6" i="13"/>
  <c r="D82" i="22" s="1"/>
  <c r="J82" i="22" s="1"/>
  <c r="F87" i="12" l="1"/>
  <c r="E87" i="12" s="1"/>
  <c r="CE215" i="13"/>
  <c r="CX200" i="13"/>
  <c r="GJ6" i="13" l="1"/>
  <c r="D54" i="22" s="1"/>
  <c r="J54" i="22" s="1"/>
  <c r="BM127" i="13"/>
  <c r="GL6" i="13"/>
  <c r="D55" i="22" s="1"/>
  <c r="J55" i="22" s="1"/>
  <c r="EC6" i="13"/>
  <c r="H32" i="22" s="1"/>
  <c r="CE82" i="13"/>
  <c r="F60" i="12" l="1"/>
  <c r="E60" i="12" s="1"/>
  <c r="J35" i="12"/>
  <c r="F59" i="12"/>
  <c r="IG6" i="13"/>
  <c r="D81" i="22" s="1"/>
  <c r="J81" i="22" s="1"/>
  <c r="IF6" i="13"/>
  <c r="D80" i="22" s="1"/>
  <c r="J80" i="22" s="1"/>
  <c r="ID6" i="13"/>
  <c r="D79" i="22" s="1"/>
  <c r="J79" i="22" s="1"/>
  <c r="IB6" i="13"/>
  <c r="D78" i="22" s="1"/>
  <c r="J78" i="22" s="1"/>
  <c r="HZ6" i="13"/>
  <c r="HY6" i="13"/>
  <c r="D76" i="22" s="1"/>
  <c r="J76" i="22" s="1"/>
  <c r="HW6" i="13"/>
  <c r="D75" i="22" s="1"/>
  <c r="J75" i="22" s="1"/>
  <c r="HU6" i="13"/>
  <c r="D74" i="22" s="1"/>
  <c r="J74" i="22" s="1"/>
  <c r="HS6" i="13"/>
  <c r="D72" i="22" s="1"/>
  <c r="J72" i="22" s="1"/>
  <c r="HR6" i="13"/>
  <c r="F71" i="22" s="1"/>
  <c r="HQ6" i="13"/>
  <c r="D71" i="22" s="1"/>
  <c r="HP6" i="13"/>
  <c r="F70" i="22" s="1"/>
  <c r="HO6" i="13"/>
  <c r="D70" i="22" s="1"/>
  <c r="HL6" i="13"/>
  <c r="D69" i="22" s="1"/>
  <c r="J69" i="22" s="1"/>
  <c r="HK6" i="13"/>
  <c r="D68" i="22" s="1"/>
  <c r="J68" i="22" s="1"/>
  <c r="HG6" i="13"/>
  <c r="D66" i="22" s="1"/>
  <c r="J66" i="22" s="1"/>
  <c r="HE6" i="13"/>
  <c r="D65" i="22" s="1"/>
  <c r="J65" i="22" s="1"/>
  <c r="HC6" i="13"/>
  <c r="D64" i="22" s="1"/>
  <c r="J64" i="22" s="1"/>
  <c r="GY6" i="13"/>
  <c r="D62" i="22" s="1"/>
  <c r="J62" i="22" s="1"/>
  <c r="GV6" i="13"/>
  <c r="D60" i="22" s="1"/>
  <c r="J60" i="22" s="1"/>
  <c r="GE6" i="13"/>
  <c r="E51" i="22" s="1"/>
  <c r="J51" i="22" s="1"/>
  <c r="GA6" i="13"/>
  <c r="E50" i="22" s="1"/>
  <c r="J50" i="22" s="1"/>
  <c r="F52" i="12"/>
  <c r="G51" i="12"/>
  <c r="E51" i="12" s="1"/>
  <c r="FR6" i="13"/>
  <c r="E47" i="22" s="1"/>
  <c r="FQ6" i="13"/>
  <c r="D47" i="22" s="1"/>
  <c r="J47" i="22" s="1"/>
  <c r="FJ6" i="13"/>
  <c r="E43" i="22" s="1"/>
  <c r="J43" i="22" s="1"/>
  <c r="FF6" i="13"/>
  <c r="E42" i="22" s="1"/>
  <c r="J42" i="22" s="1"/>
  <c r="FB6" i="13"/>
  <c r="E40" i="22" s="1"/>
  <c r="J40" i="22" s="1"/>
  <c r="EY6" i="13"/>
  <c r="E39" i="22" s="1"/>
  <c r="J39" i="22" s="1"/>
  <c r="G41" i="12"/>
  <c r="E41" i="12" s="1"/>
  <c r="ES6" i="13"/>
  <c r="E36" i="22" s="1"/>
  <c r="J36" i="22" s="1"/>
  <c r="EO6" i="13"/>
  <c r="E35" i="22" s="1"/>
  <c r="EN6" i="13"/>
  <c r="D35" i="22" s="1"/>
  <c r="J35" i="22" s="1"/>
  <c r="EK6" i="13"/>
  <c r="E34" i="22" s="1"/>
  <c r="EJ6" i="13"/>
  <c r="D34" i="22" s="1"/>
  <c r="J34" i="22" s="1"/>
  <c r="EF6" i="13"/>
  <c r="E33" i="22" s="1"/>
  <c r="EE6" i="13"/>
  <c r="D33" i="22" s="1"/>
  <c r="J33" i="22" s="1"/>
  <c r="EB6" i="13"/>
  <c r="G32" i="22" s="1"/>
  <c r="DZ6" i="13"/>
  <c r="E32" i="22" s="1"/>
  <c r="DY6" i="13"/>
  <c r="D32" i="22" s="1"/>
  <c r="DW6" i="13"/>
  <c r="H31" i="22" s="1"/>
  <c r="DV6" i="13"/>
  <c r="G31" i="22" s="1"/>
  <c r="DT6" i="13"/>
  <c r="E31" i="22" s="1"/>
  <c r="DS6" i="13"/>
  <c r="D31" i="22" s="1"/>
  <c r="DR6" i="13"/>
  <c r="H30" i="22" s="1"/>
  <c r="DQ6" i="13"/>
  <c r="G30" i="22" s="1"/>
  <c r="DO6" i="13"/>
  <c r="E30" i="22" s="1"/>
  <c r="DN6" i="13"/>
  <c r="D30" i="22" s="1"/>
  <c r="DM6" i="13"/>
  <c r="H29" i="22" s="1"/>
  <c r="DI6" i="13"/>
  <c r="D29" i="22" s="1"/>
  <c r="DG6" i="13"/>
  <c r="H28" i="22" s="1"/>
  <c r="DF6" i="13"/>
  <c r="G28" i="22" s="1"/>
  <c r="DD6" i="13"/>
  <c r="E28" i="22" s="1"/>
  <c r="DC6" i="13"/>
  <c r="D28" i="22" s="1"/>
  <c r="DB6" i="13"/>
  <c r="I27" i="22" s="1"/>
  <c r="CZ6" i="13"/>
  <c r="G27" i="22" s="1"/>
  <c r="CX6" i="13"/>
  <c r="E27" i="22" s="1"/>
  <c r="CW6" i="13"/>
  <c r="D27" i="22" s="1"/>
  <c r="CV6" i="13"/>
  <c r="I26" i="22" s="1"/>
  <c r="CT6" i="13"/>
  <c r="G26" i="22" s="1"/>
  <c r="CR6" i="13"/>
  <c r="E26" i="22" s="1"/>
  <c r="CQ6" i="13"/>
  <c r="D26" i="22" s="1"/>
  <c r="CP6" i="13"/>
  <c r="I25" i="22" s="1"/>
  <c r="CM6" i="13"/>
  <c r="F25" i="22" s="1"/>
  <c r="CL6" i="13"/>
  <c r="E25" i="22" s="1"/>
  <c r="CK6" i="13"/>
  <c r="D25" i="22" s="1"/>
  <c r="CJ6" i="13"/>
  <c r="I24" i="22" s="1"/>
  <c r="CF6" i="13"/>
  <c r="E24" i="22" s="1"/>
  <c r="CE6" i="13"/>
  <c r="D24" i="22" s="1"/>
  <c r="J24" i="22" s="1"/>
  <c r="CC6" i="13"/>
  <c r="H23" i="22" s="1"/>
  <c r="BZ6" i="13"/>
  <c r="E23" i="22" s="1"/>
  <c r="BY6" i="13"/>
  <c r="D23" i="22" s="1"/>
  <c r="BX6" i="13"/>
  <c r="I22" i="22" s="1"/>
  <c r="BT6" i="13"/>
  <c r="E22" i="22" s="1"/>
  <c r="BS6" i="13"/>
  <c r="D22" i="22" s="1"/>
  <c r="J22" i="22" s="1"/>
  <c r="BR6" i="13"/>
  <c r="I21" i="22" s="1"/>
  <c r="BN6" i="13"/>
  <c r="E21" i="22" s="1"/>
  <c r="BM6" i="13"/>
  <c r="D21" i="22" s="1"/>
  <c r="BL6" i="13"/>
  <c r="I20" i="22" s="1"/>
  <c r="BH6" i="13"/>
  <c r="E20" i="22" s="1"/>
  <c r="BG6" i="13"/>
  <c r="D20" i="22" s="1"/>
  <c r="J20" i="22" s="1"/>
  <c r="BF6" i="13"/>
  <c r="I19" i="22" s="1"/>
  <c r="BB6" i="13"/>
  <c r="E19" i="22" s="1"/>
  <c r="BA6" i="13"/>
  <c r="D19" i="22" s="1"/>
  <c r="AZ6" i="13"/>
  <c r="I18" i="22" s="1"/>
  <c r="AV6" i="13"/>
  <c r="E18" i="22" s="1"/>
  <c r="AU6" i="13"/>
  <c r="D18" i="22" s="1"/>
  <c r="J18" i="22" s="1"/>
  <c r="AT6" i="13"/>
  <c r="H17" i="22" s="1"/>
  <c r="AS6" i="13"/>
  <c r="G17" i="22" s="1"/>
  <c r="AQ6" i="13"/>
  <c r="E17" i="22" s="1"/>
  <c r="AP6" i="13"/>
  <c r="D17" i="22" s="1"/>
  <c r="J17" i="22" s="1"/>
  <c r="AO6" i="13"/>
  <c r="H16" i="22" s="1"/>
  <c r="AM6" i="13"/>
  <c r="E16" i="22" s="1"/>
  <c r="AL6" i="13"/>
  <c r="D16" i="22" s="1"/>
  <c r="AI6" i="13"/>
  <c r="H14" i="22" s="1"/>
  <c r="AH6" i="13"/>
  <c r="G14" i="22" s="1"/>
  <c r="AF6" i="13"/>
  <c r="E14" i="22" s="1"/>
  <c r="AE6" i="13"/>
  <c r="D14" i="22" s="1"/>
  <c r="AD6" i="13"/>
  <c r="I13" i="22" s="1"/>
  <c r="AB6" i="13"/>
  <c r="E13" i="22" s="1"/>
  <c r="Y6" i="13"/>
  <c r="E12" i="22" s="1"/>
  <c r="J12" i="22" s="1"/>
  <c r="U6" i="13"/>
  <c r="E11" i="22" s="1"/>
  <c r="T6" i="13"/>
  <c r="D11" i="22" s="1"/>
  <c r="J11" i="22" s="1"/>
  <c r="Q6" i="13"/>
  <c r="H9" i="22" s="1"/>
  <c r="O6" i="13"/>
  <c r="E9" i="22" s="1"/>
  <c r="J9" i="22" s="1"/>
  <c r="L6" i="13"/>
  <c r="E8" i="22" s="1"/>
  <c r="J8" i="22" s="1"/>
  <c r="K6" i="13"/>
  <c r="J13" i="22" l="1"/>
  <c r="J16" i="22"/>
  <c r="J19" i="22"/>
  <c r="J21" i="22"/>
  <c r="J23" i="22"/>
  <c r="J26" i="22"/>
  <c r="J27" i="22"/>
  <c r="J28" i="22"/>
  <c r="J30" i="22"/>
  <c r="J31" i="22"/>
  <c r="J32" i="22"/>
  <c r="J70" i="22"/>
  <c r="J71" i="22"/>
  <c r="J25" i="22"/>
  <c r="J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D57" i="22" s="1"/>
  <c r="J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E29" i="22"/>
  <c r="J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<sst xmlns="http://schemas.openxmlformats.org/spreadsheetml/2006/main" count="7381" uniqueCount="302">
  <si>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</si>
  <si>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</si>
  <si>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</si>
  <si>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</si>
  <si>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</si>
  <si>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</si>
  <si>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</si>
  <si>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</si>
  <si>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</si>
  <si>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</si>
  <si>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</si>
  <si>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</si>
  <si>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</si>
  <si>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</si>
  <si>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</si>
  <si>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</si>
  <si>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</si>
  <si>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</si>
  <si>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</si>
  <si>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</si>
  <si>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</si>
  <si>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</si>
  <si>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</si>
  <si>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</si>
  <si>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</si>
  <si>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</si>
  <si>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</si>
  <si>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</si>
  <si>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</si>
  <si>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</si>
  <si>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</si>
  <si>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</si>
  <si>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</si>
  <si>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</si>
  <si>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</si>
  <si>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</si>
  <si>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</si>
  <si>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</si>
  <si>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</si>
  <si>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</si>
  <si>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</si>
  <si>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</si>
  <si>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</si>
  <si>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</si>
  <si>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</si>
  <si>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</si>
  <si>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</si>
  <si>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</si>
  <si>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</si>
  <si>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</si>
  <si>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</si>
  <si>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</si>
  <si>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</si>
  <si>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</si>
  <si>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</si>
  <si>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</si>
  <si>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</si>
  <si>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</si>
  <si>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</si>
  <si>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</si>
  <si>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</si>
  <si>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</si>
  <si>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</si>
  <si>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</si>
  <si>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</si>
  <si>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</si>
  <si>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</si>
  <si>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</si>
  <si>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</si>
  <si>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</si>
  <si>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</si>
  <si>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</si>
  <si>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</si>
  <si>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</si>
  <si>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</si>
  <si>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</si>
  <si>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</si>
  <si>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</si>
  <si>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</si>
  <si>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</si>
  <si>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</si>
  <si>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</si>
  <si>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</si>
  <si>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</si>
  <si>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</si>
  <si>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</si>
  <si>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</si>
  <si>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</si>
  <si>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</si>
  <si>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</si>
  <si>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</si>
  <si>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</si>
  <si>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</si>
  <si>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</si>
  <si>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</si>
  <si>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</si>
  <si>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</si>
  <si>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</si>
  <si>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</si>
  <si>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</si>
  <si>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</si>
  <si>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</si>
  <si>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</si>
  <si>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</si>
  <si>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</si>
  <si>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</si>
  <si>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</si>
  <si>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</si>
  <si>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</si>
  <si>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</si>
  <si>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</si>
  <si>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</si>
  <si>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</si>
  <si>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</si>
  <si>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</si>
  <si>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</si>
  <si>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</si>
  <si>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</si>
  <si>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</si>
  <si>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</si>
  <si>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</si>
  <si>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</si>
  <si>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</si>
  <si>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</si>
  <si>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</si>
  <si>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</si>
  <si>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</si>
  <si>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</si>
  <si>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</si>
  <si>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</si>
  <si>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</si>
  <si>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</si>
  <si>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</si>
  <si>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</si>
  <si>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</si>
  <si>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</si>
  <si>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</si>
  <si>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</si>
  <si>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</si>
  <si>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</si>
  <si>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</si>
  <si>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</si>
  <si>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</si>
  <si>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</si>
  <si>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</si>
  <si>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</si>
  <si>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</si>
  <si>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</si>
  <si>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</si>
  <si>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</si>
  <si>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</si>
  <si>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</si>
  <si>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</si>
  <si>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</si>
  <si>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</si>
  <si>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</si>
  <si>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</si>
  <si>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</si>
  <si>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</si>
  <si>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</si>
  <si>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</si>
  <si>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</si>
  <si>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</si>
  <si>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</si>
  <si>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</si>
  <si>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</si>
  <si>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</si>
  <si>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</si>
  <si>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</si>
  <si>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</si>
  <si>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</si>
  <si>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</si>
  <si>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</si>
  <si>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</si>
  <si>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</si>
  <si>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</si>
  <si>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</si>
  <si>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</si>
  <si>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</si>
  <si>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</si>
  <si>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</si>
  <si>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</si>
  <si>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</si>
  <si>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</si>
  <si>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</si>
  <si>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</si>
  <si>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</si>
  <si>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</si>
  <si>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</si>
  <si>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</si>
  <si>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</si>
  <si>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</si>
  <si>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</si>
  <si>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</si>
  <si>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</si>
  <si>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</si>
  <si>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</si>
  <si>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</si>
  <si>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</si>
  <si>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</si>
  <si>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</si>
  <si>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</si>
  <si>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</si>
  <si>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</si>
  <si>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</si>
  <si>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</si>
  <si>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</si>
  <si>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</si>
  <si>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</si>
  <si>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</si>
  <si>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</si>
  <si>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</si>
  <si>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</si>
  <si>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</si>
  <si>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</si>
  <si>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</si>
  <si>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</si>
  <si>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</si>
  <si>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</si>
  <si>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</si>
  <si>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</si>
  <si>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</si>
  <si>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</si>
  <si>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</si>
  <si>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</si>
  <si>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</si>
  <si>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</si>
  <si>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</si>
  <si>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</si>
  <si>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</si>
  <si>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</si>
  <si>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</si>
  <si>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</si>
  <si>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</si>
  <si>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</si>
  <si>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</si>
  <si>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</si>
  <si>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</si>
  <si>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</si>
  <si>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</si>
  <si>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</si>
  <si>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</si>
  <si>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</si>
  <si>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</si>
  <si>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</si>
  <si>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</si>
  <si>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</si>
  <si>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</si>
  <si>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</si>
  <si>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</si>
  <si>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</si>
  <si>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</si>
  <si>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</si>
  <si>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</si>
  <si>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</si>
  <si>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</si>
  <si>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</si>
  <si>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</si>
  <si>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</si>
  <si>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</si>
  <si>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</si>
  <si>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</si>
  <si>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</si>
  <si>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</si>
  <si>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</si>
  <si>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</si>
  <si>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</si>
  <si>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</si>
  <si>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</si>
  <si>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</si>
  <si>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</si>
  <si>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</si>
  <si>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</si>
  <si>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</si>
  <si>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</si>
  <si>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</si>
  <si>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</si>
  <si>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</si>
  <si>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</si>
  <si>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</si>
  <si>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</si>
  <si>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</si>
  <si>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</si>
  <si>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</si>
  <si>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</si>
  <si>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</si>
  <si>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</si>
  <si>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</si>
  <si>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</si>
  <si>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</si>
  <si>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</si>
  <si>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</si>
  <si>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</si>
  <si>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</si>
  <si>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</si>
  <si>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</si>
  <si>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</si>
  <si>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</si>
  <si>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</si>
  <si>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</si>
  <si>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</si>
  <si>
    <t>ARGEN YAZILIM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</si>
</sst>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9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  <xf numFmtId="0" fontId="15" fillId="7" borderId="34" xfId="5" applyNumberFormat="1" applyBorder="1" applyAlignment="1">
      <alignment horizontal="center" vertical="center"/>
    </xf>
    <xf numFmtId="2" fontId="15" fillId="7" borderId="34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 vertical="center"/>
    </xf>
    <xf numFmtId="165" fontId="15" fillId="7" borderId="67" xfId="5" applyNumberFormat="1" applyBorder="1" applyAlignment="1">
      <alignment horizontal="center" vertical="center"/>
    </xf>
    <xf numFmtId="165" fontId="15" fillId="7" borderId="36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0" t="s">
        <v>0</v>
      </c>
      <c r="B1" s="381"/>
      <c r="C1" s="381"/>
      <c r="D1" s="381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1"/>
      <c r="P1" s="381"/>
      <c r="Q1" s="381"/>
      <c r="R1" s="381"/>
      <c r="S1" s="381"/>
      <c r="T1" s="381"/>
      <c r="U1" s="381"/>
      <c r="V1" s="381"/>
      <c r="W1" s="381"/>
      <c r="X1" s="381"/>
      <c r="Y1" s="381"/>
      <c r="Z1" s="381"/>
      <c r="AA1" s="381"/>
      <c r="AB1" s="381"/>
      <c r="AC1" s="381"/>
    </row>
    <row r="2" spans="1:29" x14ac:dyDescent="0.25">
      <c r="A2" s="382"/>
      <c r="B2" s="379"/>
      <c r="C2" s="379"/>
      <c r="D2" s="379"/>
      <c r="E2" s="379"/>
      <c r="F2" s="379"/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  <c r="T2" s="379"/>
      <c r="U2" s="379"/>
      <c r="V2" s="379"/>
      <c r="W2" s="379"/>
      <c r="X2" s="379"/>
      <c r="Y2" s="379"/>
      <c r="Z2" s="379"/>
      <c r="AA2" s="379"/>
      <c r="AB2" s="379"/>
      <c r="AC2" s="379"/>
    </row>
    <row r="3" spans="1:29" x14ac:dyDescent="0.25">
      <c r="A3" s="3">
        <v>1.8</v>
      </c>
      <c r="B3" s="377"/>
      <c r="C3" s="2">
        <v>2.2000000000000002</v>
      </c>
      <c r="D3" s="377"/>
      <c r="E3" s="2">
        <v>2.2999999999999998</v>
      </c>
      <c r="F3" s="377"/>
      <c r="G3" s="2">
        <v>2.4500000000000002</v>
      </c>
      <c r="H3" s="377"/>
      <c r="I3" s="2"/>
      <c r="J3" s="377"/>
      <c r="K3" s="2"/>
      <c r="L3" s="377"/>
      <c r="M3" s="2"/>
      <c r="N3" s="377"/>
      <c r="O3" s="2"/>
      <c r="P3" s="377"/>
      <c r="Q3" s="2"/>
      <c r="R3" s="377"/>
      <c r="S3" s="2"/>
      <c r="T3" s="377"/>
      <c r="U3" s="2"/>
      <c r="V3" s="377"/>
      <c r="W3" s="2"/>
      <c r="X3" s="377"/>
      <c r="Y3" s="2"/>
      <c r="Z3" s="377"/>
      <c r="AA3" s="2"/>
      <c r="AB3" s="379"/>
    </row>
    <row r="4" spans="1:29" ht="6" customHeight="1" x14ac:dyDescent="0.25">
      <c r="A4" s="4"/>
      <c r="B4" s="378"/>
      <c r="C4" s="5"/>
      <c r="D4" s="378"/>
      <c r="E4" s="5"/>
      <c r="F4" s="378"/>
      <c r="G4" s="5"/>
      <c r="H4" s="378"/>
      <c r="I4" s="5"/>
      <c r="J4" s="378"/>
      <c r="K4" s="5"/>
      <c r="L4" s="378"/>
      <c r="M4" s="5"/>
      <c r="N4" s="378"/>
      <c r="O4" s="5"/>
      <c r="P4" s="378"/>
      <c r="Q4" s="5"/>
      <c r="R4" s="378"/>
      <c r="S4" s="5"/>
      <c r="T4" s="378"/>
      <c r="U4" s="5"/>
      <c r="V4" s="378"/>
      <c r="W4" s="5"/>
      <c r="X4" s="378"/>
      <c r="Y4" s="5"/>
      <c r="Z4" s="378"/>
      <c r="AA4" s="5"/>
      <c r="AB4" s="379"/>
    </row>
    <row r="5" spans="1:29" x14ac:dyDescent="0.25">
      <c r="A5" s="6">
        <v>2035.8</v>
      </c>
      <c r="B5" s="378"/>
      <c r="C5" s="7">
        <v>2018.1</v>
      </c>
      <c r="D5" s="378"/>
      <c r="E5" s="7">
        <v>2056.1</v>
      </c>
      <c r="F5" s="378"/>
      <c r="G5" s="7">
        <v>1995.7</v>
      </c>
      <c r="H5" s="378"/>
      <c r="I5" s="7"/>
      <c r="J5" s="378"/>
      <c r="K5" s="7"/>
      <c r="L5" s="378"/>
      <c r="M5" s="7"/>
      <c r="N5" s="378"/>
      <c r="O5" s="7"/>
      <c r="P5" s="378"/>
      <c r="Q5" s="7"/>
      <c r="R5" s="378"/>
      <c r="S5" s="7"/>
      <c r="T5" s="378"/>
      <c r="U5" s="7"/>
      <c r="V5" s="378"/>
      <c r="W5" s="7"/>
      <c r="X5" s="378"/>
      <c r="Y5" s="7"/>
      <c r="Z5" s="378"/>
      <c r="AA5" s="7"/>
      <c r="AB5" s="379"/>
    </row>
    <row r="6" spans="1:29" x14ac:dyDescent="0.25">
      <c r="A6" s="6"/>
      <c r="B6" s="378"/>
      <c r="C6" s="7"/>
      <c r="D6" s="378"/>
      <c r="E6" s="7"/>
      <c r="F6" s="378"/>
      <c r="G6" s="7"/>
      <c r="H6" s="378"/>
      <c r="I6" s="7"/>
      <c r="J6" s="378"/>
      <c r="K6" s="7"/>
      <c r="L6" s="378"/>
      <c r="M6" s="7"/>
      <c r="N6" s="378"/>
      <c r="O6" s="7"/>
      <c r="P6" s="378"/>
      <c r="Q6" s="7"/>
      <c r="R6" s="378"/>
      <c r="S6" s="7"/>
      <c r="T6" s="378"/>
      <c r="U6" s="7"/>
      <c r="V6" s="378"/>
      <c r="W6" s="7"/>
      <c r="X6" s="378"/>
      <c r="Y6" s="7"/>
      <c r="Z6" s="378"/>
      <c r="AA6" s="7"/>
      <c r="AB6" s="379"/>
    </row>
    <row r="7" spans="1:29" x14ac:dyDescent="0.25">
      <c r="A7" s="6"/>
      <c r="B7" s="378"/>
      <c r="C7" s="7"/>
      <c r="D7" s="378"/>
      <c r="E7" s="7"/>
      <c r="F7" s="378"/>
      <c r="G7" s="7"/>
      <c r="H7" s="378"/>
      <c r="I7" s="7"/>
      <c r="J7" s="378"/>
      <c r="K7" s="7"/>
      <c r="L7" s="378"/>
      <c r="M7" s="7"/>
      <c r="N7" s="378"/>
      <c r="O7" s="7"/>
      <c r="P7" s="378"/>
      <c r="Q7" s="7"/>
      <c r="R7" s="378"/>
      <c r="S7" s="7"/>
      <c r="T7" s="378"/>
      <c r="U7" s="7"/>
      <c r="V7" s="378"/>
      <c r="W7" s="7"/>
      <c r="X7" s="378"/>
      <c r="Y7" s="7"/>
      <c r="Z7" s="378"/>
      <c r="AA7" s="7"/>
      <c r="AB7" s="379"/>
    </row>
    <row r="8" spans="1:29" x14ac:dyDescent="0.25">
      <c r="A8" s="6"/>
      <c r="B8" s="378"/>
      <c r="C8" s="7"/>
      <c r="D8" s="378"/>
      <c r="E8" s="7"/>
      <c r="F8" s="378"/>
      <c r="G8" s="7"/>
      <c r="H8" s="378"/>
      <c r="I8" s="7"/>
      <c r="J8" s="378"/>
      <c r="K8" s="7"/>
      <c r="L8" s="378"/>
      <c r="M8" s="7"/>
      <c r="N8" s="378"/>
      <c r="O8" s="7"/>
      <c r="P8" s="378"/>
      <c r="Q8" s="7"/>
      <c r="R8" s="378"/>
      <c r="S8" s="7"/>
      <c r="T8" s="378"/>
      <c r="U8" s="7"/>
      <c r="V8" s="378"/>
      <c r="W8" s="7"/>
      <c r="X8" s="378"/>
      <c r="Y8" s="7"/>
      <c r="Z8" s="378"/>
      <c r="AA8" s="7"/>
      <c r="AB8" s="379"/>
    </row>
    <row r="9" spans="1:29" x14ac:dyDescent="0.25">
      <c r="A9" s="6"/>
      <c r="B9" s="378"/>
      <c r="C9" s="7"/>
      <c r="D9" s="378"/>
      <c r="E9" s="7"/>
      <c r="F9" s="378"/>
      <c r="G9" s="7"/>
      <c r="H9" s="378"/>
      <c r="I9" s="7"/>
      <c r="J9" s="378"/>
      <c r="K9" s="7"/>
      <c r="L9" s="378"/>
      <c r="M9" s="7"/>
      <c r="N9" s="378"/>
      <c r="O9" s="7"/>
      <c r="P9" s="378"/>
      <c r="Q9" s="7"/>
      <c r="R9" s="378"/>
      <c r="S9" s="7"/>
      <c r="T9" s="378"/>
      <c r="U9" s="7"/>
      <c r="V9" s="378"/>
      <c r="W9" s="7"/>
      <c r="X9" s="378"/>
      <c r="Y9" s="7"/>
      <c r="Z9" s="378"/>
      <c r="AA9" s="7"/>
      <c r="AB9" s="379"/>
    </row>
    <row r="10" spans="1:29" x14ac:dyDescent="0.25">
      <c r="A10" s="6"/>
      <c r="B10" s="378"/>
      <c r="C10" s="7"/>
      <c r="D10" s="378"/>
      <c r="E10" s="7"/>
      <c r="F10" s="378"/>
      <c r="G10" s="7"/>
      <c r="H10" s="378"/>
      <c r="I10" s="7"/>
      <c r="J10" s="378"/>
      <c r="K10" s="7"/>
      <c r="L10" s="378"/>
      <c r="M10" s="7"/>
      <c r="N10" s="378"/>
      <c r="O10" s="7"/>
      <c r="P10" s="378"/>
      <c r="Q10" s="7"/>
      <c r="R10" s="378"/>
      <c r="S10" s="7"/>
      <c r="T10" s="378"/>
      <c r="U10" s="7"/>
      <c r="V10" s="378"/>
      <c r="W10" s="7"/>
      <c r="X10" s="378"/>
      <c r="Y10" s="7"/>
      <c r="Z10" s="378"/>
      <c r="AA10" s="7"/>
      <c r="AB10" s="379"/>
    </row>
    <row r="11" spans="1:29" x14ac:dyDescent="0.25">
      <c r="A11" s="6"/>
      <c r="B11" s="378"/>
      <c r="C11" s="7"/>
      <c r="D11" s="378"/>
      <c r="E11" s="7"/>
      <c r="F11" s="378"/>
      <c r="G11" s="7"/>
      <c r="H11" s="378"/>
      <c r="I11" s="7"/>
      <c r="J11" s="378"/>
      <c r="K11" s="7"/>
      <c r="L11" s="378"/>
      <c r="M11" s="7"/>
      <c r="N11" s="378"/>
      <c r="O11" s="7"/>
      <c r="P11" s="378"/>
      <c r="Q11" s="7"/>
      <c r="R11" s="378"/>
      <c r="S11" s="7"/>
      <c r="T11" s="378"/>
      <c r="U11" s="7"/>
      <c r="V11" s="378"/>
      <c r="W11" s="7"/>
      <c r="X11" s="378"/>
      <c r="Y11" s="7"/>
      <c r="Z11" s="378"/>
      <c r="AA11" s="7"/>
      <c r="AB11" s="379"/>
    </row>
    <row r="12" spans="1:29" x14ac:dyDescent="0.25">
      <c r="A12" s="6"/>
      <c r="B12" s="378"/>
      <c r="C12" s="7"/>
      <c r="D12" s="378"/>
      <c r="E12" s="7"/>
      <c r="F12" s="378"/>
      <c r="G12" s="7"/>
      <c r="H12" s="378"/>
      <c r="I12" s="7"/>
      <c r="J12" s="378"/>
      <c r="K12" s="7"/>
      <c r="L12" s="378"/>
      <c r="M12" s="7"/>
      <c r="N12" s="378"/>
      <c r="O12" s="7"/>
      <c r="P12" s="378"/>
      <c r="Q12" s="7"/>
      <c r="R12" s="378"/>
      <c r="S12" s="7"/>
      <c r="T12" s="378"/>
      <c r="U12" s="7"/>
      <c r="V12" s="378"/>
      <c r="W12" s="7"/>
      <c r="X12" s="378"/>
      <c r="Y12" s="7"/>
      <c r="Z12" s="378"/>
      <c r="AA12" s="7"/>
      <c r="AB12" s="379"/>
    </row>
    <row r="13" spans="1:29" x14ac:dyDescent="0.25">
      <c r="A13" s="6"/>
      <c r="B13" s="378"/>
      <c r="C13" s="7"/>
      <c r="D13" s="378"/>
      <c r="E13" s="7"/>
      <c r="F13" s="378"/>
      <c r="G13" s="7"/>
      <c r="H13" s="378"/>
      <c r="I13" s="7"/>
      <c r="J13" s="378"/>
      <c r="K13" s="7"/>
      <c r="L13" s="378"/>
      <c r="M13" s="7"/>
      <c r="N13" s="378"/>
      <c r="O13" s="7"/>
      <c r="P13" s="378"/>
      <c r="Q13" s="7"/>
      <c r="R13" s="378"/>
      <c r="S13" s="7"/>
      <c r="T13" s="378"/>
      <c r="U13" s="7"/>
      <c r="V13" s="378"/>
      <c r="W13" s="7"/>
      <c r="X13" s="378"/>
      <c r="Y13" s="7"/>
      <c r="Z13" s="378"/>
      <c r="AA13" s="7"/>
      <c r="AB13" s="379"/>
    </row>
    <row r="14" spans="1:29" x14ac:dyDescent="0.25">
      <c r="A14" s="6"/>
      <c r="B14" s="378"/>
      <c r="C14" s="7"/>
      <c r="D14" s="378"/>
      <c r="E14" s="7"/>
      <c r="F14" s="378"/>
      <c r="G14" s="7"/>
      <c r="H14" s="378"/>
      <c r="I14" s="7"/>
      <c r="J14" s="378"/>
      <c r="K14" s="7"/>
      <c r="L14" s="378"/>
      <c r="M14" s="7"/>
      <c r="N14" s="378"/>
      <c r="O14" s="7"/>
      <c r="P14" s="378"/>
      <c r="Q14" s="7"/>
      <c r="R14" s="378"/>
      <c r="S14" s="7"/>
      <c r="T14" s="378"/>
      <c r="U14" s="7"/>
      <c r="V14" s="378"/>
      <c r="W14" s="7"/>
      <c r="X14" s="378"/>
      <c r="Y14" s="7"/>
      <c r="Z14" s="378"/>
      <c r="AA14" s="7"/>
      <c r="AB14" s="379"/>
    </row>
    <row r="15" spans="1:29" x14ac:dyDescent="0.25">
      <c r="A15" s="6"/>
      <c r="B15" s="378"/>
      <c r="C15" s="7"/>
      <c r="D15" s="378"/>
      <c r="E15" s="7"/>
      <c r="F15" s="378"/>
      <c r="G15" s="7"/>
      <c r="H15" s="378"/>
      <c r="I15" s="7"/>
      <c r="J15" s="378"/>
      <c r="K15" s="7"/>
      <c r="L15" s="378"/>
      <c r="M15" s="7"/>
      <c r="N15" s="378"/>
      <c r="O15" s="7"/>
      <c r="P15" s="378"/>
      <c r="Q15" s="7"/>
      <c r="R15" s="378"/>
      <c r="S15" s="7"/>
      <c r="T15" s="378"/>
      <c r="U15" s="7"/>
      <c r="V15" s="378"/>
      <c r="W15" s="7"/>
      <c r="X15" s="378"/>
      <c r="Y15" s="7"/>
      <c r="Z15" s="378"/>
      <c r="AA15" s="7"/>
      <c r="AB15" s="379"/>
    </row>
    <row r="16" spans="1:29" x14ac:dyDescent="0.25">
      <c r="A16" s="6"/>
      <c r="B16" s="378"/>
      <c r="C16" s="7"/>
      <c r="D16" s="378"/>
      <c r="E16" s="7"/>
      <c r="F16" s="378"/>
      <c r="G16" s="7"/>
      <c r="H16" s="378"/>
      <c r="I16" s="7"/>
      <c r="J16" s="378"/>
      <c r="K16" s="7"/>
      <c r="L16" s="378"/>
      <c r="M16" s="7"/>
      <c r="N16" s="378"/>
      <c r="O16" s="7"/>
      <c r="P16" s="378"/>
      <c r="Q16" s="7"/>
      <c r="R16" s="378"/>
      <c r="S16" s="7"/>
      <c r="T16" s="378"/>
      <c r="U16" s="7"/>
      <c r="V16" s="378"/>
      <c r="W16" s="7"/>
      <c r="X16" s="378"/>
      <c r="Y16" s="7"/>
      <c r="Z16" s="378"/>
      <c r="AA16" s="7"/>
      <c r="AB16" s="379"/>
    </row>
    <row r="17" spans="1:28" x14ac:dyDescent="0.25">
      <c r="A17" s="6"/>
      <c r="B17" s="378"/>
      <c r="C17" s="7"/>
      <c r="D17" s="378"/>
      <c r="E17" s="7"/>
      <c r="F17" s="378"/>
      <c r="G17" s="7"/>
      <c r="H17" s="378"/>
      <c r="I17" s="7"/>
      <c r="J17" s="378"/>
      <c r="K17" s="7"/>
      <c r="L17" s="378"/>
      <c r="M17" s="7"/>
      <c r="N17" s="378"/>
      <c r="O17" s="7"/>
      <c r="P17" s="378"/>
      <c r="Q17" s="7"/>
      <c r="R17" s="378"/>
      <c r="S17" s="7"/>
      <c r="T17" s="378"/>
      <c r="U17" s="7"/>
      <c r="V17" s="378"/>
      <c r="W17" s="7"/>
      <c r="X17" s="378"/>
      <c r="Y17" s="7"/>
      <c r="Z17" s="378"/>
      <c r="AA17" s="7"/>
      <c r="AB17" s="379"/>
    </row>
    <row r="18" spans="1:28" x14ac:dyDescent="0.25">
      <c r="A18" s="6"/>
      <c r="B18" s="378"/>
      <c r="C18" s="7"/>
      <c r="D18" s="378"/>
      <c r="E18" s="7"/>
      <c r="F18" s="378"/>
      <c r="G18" s="7"/>
      <c r="H18" s="378"/>
      <c r="I18" s="7"/>
      <c r="J18" s="378"/>
      <c r="K18" s="7"/>
      <c r="L18" s="378"/>
      <c r="M18" s="7"/>
      <c r="N18" s="378"/>
      <c r="O18" s="7"/>
      <c r="P18" s="378"/>
      <c r="Q18" s="7"/>
      <c r="R18" s="378"/>
      <c r="S18" s="7"/>
      <c r="T18" s="378"/>
      <c r="U18" s="7"/>
      <c r="V18" s="378"/>
      <c r="W18" s="7"/>
      <c r="X18" s="378"/>
      <c r="Y18" s="7"/>
      <c r="Z18" s="378"/>
      <c r="AA18" s="7"/>
      <c r="AB18" s="379"/>
    </row>
    <row r="19" spans="1:28" x14ac:dyDescent="0.25">
      <c r="A19" s="6"/>
      <c r="B19" s="378"/>
      <c r="C19" s="7"/>
      <c r="D19" s="378"/>
      <c r="E19" s="7"/>
      <c r="F19" s="378"/>
      <c r="G19" s="7"/>
      <c r="H19" s="378"/>
      <c r="I19" s="7"/>
      <c r="J19" s="378"/>
      <c r="K19" s="7"/>
      <c r="L19" s="378"/>
      <c r="M19" s="7"/>
      <c r="N19" s="378"/>
      <c r="O19" s="7"/>
      <c r="P19" s="378"/>
      <c r="Q19" s="7"/>
      <c r="R19" s="378"/>
      <c r="S19" s="7"/>
      <c r="T19" s="378"/>
      <c r="U19" s="7"/>
      <c r="V19" s="378"/>
      <c r="W19" s="7"/>
      <c r="X19" s="378"/>
      <c r="Y19" s="7"/>
      <c r="Z19" s="378"/>
      <c r="AA19" s="7"/>
      <c r="AB19" s="379"/>
    </row>
    <row r="20" spans="1:28" x14ac:dyDescent="0.25">
      <c r="A20" s="6"/>
      <c r="B20" s="378"/>
      <c r="C20" s="7"/>
      <c r="D20" s="378"/>
      <c r="E20" s="7"/>
      <c r="F20" s="378"/>
      <c r="G20" s="7"/>
      <c r="H20" s="378"/>
      <c r="I20" s="7"/>
      <c r="J20" s="378"/>
      <c r="K20" s="7"/>
      <c r="L20" s="378"/>
      <c r="M20" s="7"/>
      <c r="N20" s="378"/>
      <c r="O20" s="7"/>
      <c r="P20" s="378"/>
      <c r="Q20" s="7"/>
      <c r="R20" s="378"/>
      <c r="S20" s="7"/>
      <c r="T20" s="378"/>
      <c r="U20" s="7"/>
      <c r="V20" s="378"/>
      <c r="W20" s="7"/>
      <c r="X20" s="378"/>
      <c r="Y20" s="7"/>
      <c r="Z20" s="378"/>
      <c r="AA20" s="7"/>
      <c r="AB20" s="379"/>
    </row>
    <row r="21" spans="1:28" ht="15.75" customHeight="1" x14ac:dyDescent="0.25">
      <c r="A21" s="6"/>
      <c r="B21" s="378"/>
      <c r="C21" s="7"/>
      <c r="D21" s="378"/>
      <c r="E21" s="7"/>
      <c r="F21" s="378"/>
      <c r="G21" s="7"/>
      <c r="H21" s="378"/>
      <c r="I21" s="7"/>
      <c r="J21" s="378"/>
      <c r="K21" s="7"/>
      <c r="L21" s="378"/>
      <c r="M21" s="7"/>
      <c r="N21" s="378"/>
      <c r="O21" s="7"/>
      <c r="P21" s="378"/>
      <c r="Q21" s="7"/>
      <c r="R21" s="378"/>
      <c r="S21" s="7"/>
      <c r="T21" s="378"/>
      <c r="U21" s="7"/>
      <c r="V21" s="378"/>
      <c r="W21" s="7"/>
      <c r="X21" s="378"/>
      <c r="Y21" s="7"/>
      <c r="Z21" s="378"/>
      <c r="AA21" s="7"/>
      <c r="AB21" s="379"/>
    </row>
    <row r="22" spans="1:28" ht="15.75" customHeight="1" x14ac:dyDescent="0.25">
      <c r="A22" s="6"/>
      <c r="B22" s="378"/>
      <c r="C22" s="7"/>
      <c r="D22" s="378"/>
      <c r="E22" s="7"/>
      <c r="F22" s="378"/>
      <c r="G22" s="7"/>
      <c r="H22" s="378"/>
      <c r="I22" s="7"/>
      <c r="J22" s="378"/>
      <c r="K22" s="7"/>
      <c r="L22" s="378"/>
      <c r="M22" s="7"/>
      <c r="N22" s="378"/>
      <c r="O22" s="7"/>
      <c r="P22" s="378"/>
      <c r="Q22" s="7"/>
      <c r="R22" s="378"/>
      <c r="S22" s="7"/>
      <c r="T22" s="378"/>
      <c r="U22" s="7"/>
      <c r="V22" s="378"/>
      <c r="W22" s="7"/>
      <c r="X22" s="378"/>
      <c r="Y22" s="7"/>
      <c r="Z22" s="378"/>
      <c r="AA22" s="7"/>
      <c r="AB22" s="379"/>
    </row>
    <row r="23" spans="1:28" ht="15.75" customHeight="1" x14ac:dyDescent="0.25">
      <c r="A23" s="6"/>
      <c r="B23" s="378"/>
      <c r="C23" s="7"/>
      <c r="D23" s="378"/>
      <c r="E23" s="7"/>
      <c r="F23" s="378"/>
      <c r="G23" s="7"/>
      <c r="H23" s="378"/>
      <c r="I23" s="7"/>
      <c r="J23" s="378"/>
      <c r="K23" s="7"/>
      <c r="L23" s="378"/>
      <c r="M23" s="7"/>
      <c r="N23" s="378"/>
      <c r="O23" s="7"/>
      <c r="P23" s="378"/>
      <c r="Q23" s="7"/>
      <c r="R23" s="378"/>
      <c r="S23" s="7"/>
      <c r="T23" s="378"/>
      <c r="U23" s="7"/>
      <c r="V23" s="378"/>
      <c r="W23" s="7"/>
      <c r="X23" s="378"/>
      <c r="Y23" s="7"/>
      <c r="Z23" s="378"/>
      <c r="AA23" s="7"/>
      <c r="AB23" s="379"/>
    </row>
    <row r="24" spans="1:28" ht="15.75" customHeight="1" x14ac:dyDescent="0.25">
      <c r="A24" s="6"/>
      <c r="B24" s="378"/>
      <c r="C24" s="7"/>
      <c r="D24" s="378"/>
      <c r="E24" s="7"/>
      <c r="F24" s="378"/>
      <c r="G24" s="7"/>
      <c r="H24" s="378"/>
      <c r="I24" s="7"/>
      <c r="J24" s="378"/>
      <c r="K24" s="7"/>
      <c r="L24" s="378"/>
      <c r="M24" s="7"/>
      <c r="N24" s="378"/>
      <c r="O24" s="7"/>
      <c r="P24" s="378"/>
      <c r="Q24" s="7"/>
      <c r="R24" s="378"/>
      <c r="S24" s="7"/>
      <c r="T24" s="378"/>
      <c r="U24" s="7"/>
      <c r="V24" s="378"/>
      <c r="W24" s="7"/>
      <c r="X24" s="378"/>
      <c r="Y24" s="7"/>
      <c r="Z24" s="378"/>
      <c r="AA24" s="7"/>
      <c r="AB24" s="379"/>
    </row>
    <row r="25" spans="1:28" ht="15.75" customHeight="1" x14ac:dyDescent="0.25">
      <c r="A25" s="6"/>
      <c r="B25" s="378"/>
      <c r="C25" s="7"/>
      <c r="D25" s="378"/>
      <c r="E25" s="7"/>
      <c r="F25" s="378"/>
      <c r="G25" s="7"/>
      <c r="H25" s="378"/>
      <c r="I25" s="7"/>
      <c r="J25" s="378"/>
      <c r="K25" s="7"/>
      <c r="L25" s="378"/>
      <c r="M25" s="7"/>
      <c r="N25" s="378"/>
      <c r="O25" s="7"/>
      <c r="P25" s="378"/>
      <c r="Q25" s="7"/>
      <c r="R25" s="378"/>
      <c r="S25" s="7"/>
      <c r="T25" s="378"/>
      <c r="U25" s="7"/>
      <c r="V25" s="378"/>
      <c r="W25" s="7"/>
      <c r="X25" s="378"/>
      <c r="Y25" s="7"/>
      <c r="Z25" s="378"/>
      <c r="AA25" s="7"/>
      <c r="AB25" s="379"/>
    </row>
    <row r="26" spans="1:28" ht="15.75" customHeight="1" x14ac:dyDescent="0.25">
      <c r="A26" s="6"/>
      <c r="B26" s="378"/>
      <c r="C26" s="7"/>
      <c r="D26" s="378"/>
      <c r="E26" s="7"/>
      <c r="F26" s="378"/>
      <c r="G26" s="7"/>
      <c r="H26" s="378"/>
      <c r="I26" s="7"/>
      <c r="J26" s="378"/>
      <c r="K26" s="7"/>
      <c r="L26" s="378"/>
      <c r="M26" s="7"/>
      <c r="N26" s="378"/>
      <c r="O26" s="7"/>
      <c r="P26" s="378"/>
      <c r="Q26" s="7"/>
      <c r="R26" s="378"/>
      <c r="S26" s="7"/>
      <c r="T26" s="378"/>
      <c r="U26" s="7"/>
      <c r="V26" s="378"/>
      <c r="W26" s="7"/>
      <c r="X26" s="378"/>
      <c r="Y26" s="7"/>
      <c r="Z26" s="378"/>
      <c r="AA26" s="7"/>
      <c r="AB26" s="379"/>
    </row>
    <row r="27" spans="1:28" ht="15.75" customHeight="1" x14ac:dyDescent="0.25">
      <c r="A27" s="6"/>
      <c r="B27" s="378"/>
      <c r="C27" s="7"/>
      <c r="D27" s="378"/>
      <c r="E27" s="7"/>
      <c r="F27" s="378"/>
      <c r="G27" s="7"/>
      <c r="H27" s="378"/>
      <c r="I27" s="7"/>
      <c r="J27" s="378"/>
      <c r="K27" s="7"/>
      <c r="L27" s="378"/>
      <c r="M27" s="7"/>
      <c r="N27" s="378"/>
      <c r="O27" s="7"/>
      <c r="P27" s="378"/>
      <c r="Q27" s="7"/>
      <c r="R27" s="378"/>
      <c r="S27" s="7"/>
      <c r="T27" s="378"/>
      <c r="U27" s="7"/>
      <c r="V27" s="378"/>
      <c r="W27" s="7"/>
      <c r="X27" s="378"/>
      <c r="Y27" s="7"/>
      <c r="Z27" s="378"/>
      <c r="AA27" s="7"/>
      <c r="AB27" s="379"/>
    </row>
    <row r="28" spans="1:28" ht="15.75" customHeight="1" x14ac:dyDescent="0.25">
      <c r="A28" s="6"/>
      <c r="B28" s="378"/>
      <c r="C28" s="7"/>
      <c r="D28" s="378"/>
      <c r="E28" s="7"/>
      <c r="F28" s="378"/>
      <c r="G28" s="7"/>
      <c r="H28" s="378"/>
      <c r="I28" s="7"/>
      <c r="J28" s="378"/>
      <c r="K28" s="7"/>
      <c r="L28" s="378"/>
      <c r="M28" s="7"/>
      <c r="N28" s="378"/>
      <c r="O28" s="7"/>
      <c r="P28" s="378"/>
      <c r="Q28" s="7"/>
      <c r="R28" s="378"/>
      <c r="S28" s="7"/>
      <c r="T28" s="378"/>
      <c r="U28" s="7"/>
      <c r="V28" s="378"/>
      <c r="W28" s="7"/>
      <c r="X28" s="378"/>
      <c r="Y28" s="7"/>
      <c r="Z28" s="378"/>
      <c r="AA28" s="7"/>
      <c r="AB28" s="379"/>
    </row>
    <row r="29" spans="1:28" ht="15.75" customHeight="1" x14ac:dyDescent="0.25">
      <c r="A29" s="6"/>
      <c r="B29" s="378"/>
      <c r="C29" s="7"/>
      <c r="D29" s="378"/>
      <c r="E29" s="7"/>
      <c r="F29" s="378"/>
      <c r="G29" s="7"/>
      <c r="H29" s="378"/>
      <c r="I29" s="7"/>
      <c r="J29" s="378"/>
      <c r="K29" s="7"/>
      <c r="L29" s="378"/>
      <c r="M29" s="7"/>
      <c r="N29" s="378"/>
      <c r="O29" s="7"/>
      <c r="P29" s="378"/>
      <c r="Q29" s="7"/>
      <c r="R29" s="378"/>
      <c r="S29" s="7"/>
      <c r="T29" s="378"/>
      <c r="U29" s="7"/>
      <c r="V29" s="378"/>
      <c r="W29" s="7"/>
      <c r="X29" s="378"/>
      <c r="Y29" s="7"/>
      <c r="Z29" s="378"/>
      <c r="AA29" s="7"/>
      <c r="AB29" s="379"/>
    </row>
    <row r="30" spans="1:28" ht="15.75" customHeight="1" x14ac:dyDescent="0.25">
      <c r="A30" s="6"/>
      <c r="B30" s="378"/>
      <c r="C30" s="7"/>
      <c r="D30" s="378"/>
      <c r="E30" s="7"/>
      <c r="F30" s="378"/>
      <c r="G30" s="7"/>
      <c r="H30" s="378"/>
      <c r="I30" s="7"/>
      <c r="J30" s="378"/>
      <c r="K30" s="7"/>
      <c r="L30" s="378"/>
      <c r="M30" s="7"/>
      <c r="N30" s="378"/>
      <c r="O30" s="7"/>
      <c r="P30" s="378"/>
      <c r="Q30" s="7"/>
      <c r="R30" s="378"/>
      <c r="S30" s="7"/>
      <c r="T30" s="378"/>
      <c r="U30" s="7"/>
      <c r="V30" s="378"/>
      <c r="W30" s="7"/>
      <c r="X30" s="378"/>
      <c r="Y30" s="7"/>
      <c r="Z30" s="378"/>
      <c r="AA30" s="7"/>
      <c r="AB30" s="379"/>
    </row>
    <row r="31" spans="1:28" ht="15.75" customHeight="1" x14ac:dyDescent="0.25">
      <c r="A31" s="6"/>
      <c r="B31" s="378"/>
      <c r="C31" s="7"/>
      <c r="D31" s="378"/>
      <c r="E31" s="7"/>
      <c r="F31" s="378"/>
      <c r="G31" s="7"/>
      <c r="H31" s="378"/>
      <c r="I31" s="7"/>
      <c r="J31" s="378"/>
      <c r="K31" s="7"/>
      <c r="L31" s="378"/>
      <c r="M31" s="7"/>
      <c r="N31" s="378"/>
      <c r="O31" s="7"/>
      <c r="P31" s="378"/>
      <c r="Q31" s="7"/>
      <c r="R31" s="378"/>
      <c r="S31" s="7"/>
      <c r="T31" s="378"/>
      <c r="U31" s="7"/>
      <c r="V31" s="378"/>
      <c r="W31" s="7"/>
      <c r="X31" s="378"/>
      <c r="Y31" s="7"/>
      <c r="Z31" s="378"/>
      <c r="AA31" s="7"/>
      <c r="AB31" s="379"/>
    </row>
    <row r="32" spans="1:28" ht="15.75" customHeight="1" x14ac:dyDescent="0.25">
      <c r="A32" s="6"/>
      <c r="B32" s="378"/>
      <c r="C32" s="7"/>
      <c r="D32" s="378"/>
      <c r="E32" s="7"/>
      <c r="F32" s="378"/>
      <c r="G32" s="7"/>
      <c r="H32" s="378"/>
      <c r="I32" s="7"/>
      <c r="J32" s="378"/>
      <c r="K32" s="7"/>
      <c r="L32" s="378"/>
      <c r="M32" s="7"/>
      <c r="N32" s="378"/>
      <c r="O32" s="7"/>
      <c r="P32" s="378"/>
      <c r="Q32" s="7"/>
      <c r="R32" s="378"/>
      <c r="S32" s="7"/>
      <c r="T32" s="378"/>
      <c r="U32" s="7"/>
      <c r="V32" s="378"/>
      <c r="W32" s="7"/>
      <c r="X32" s="378"/>
      <c r="Y32" s="7"/>
      <c r="Z32" s="378"/>
      <c r="AA32" s="7"/>
      <c r="AB32" s="379"/>
    </row>
    <row r="33" spans="1:30" ht="15.75" customHeight="1" x14ac:dyDescent="0.25">
      <c r="A33" s="6"/>
      <c r="B33" s="378"/>
      <c r="C33" s="7"/>
      <c r="D33" s="378"/>
      <c r="E33" s="7"/>
      <c r="F33" s="378"/>
      <c r="G33" s="7"/>
      <c r="H33" s="378"/>
      <c r="I33" s="7"/>
      <c r="J33" s="378"/>
      <c r="K33" s="7"/>
      <c r="L33" s="378"/>
      <c r="M33" s="7"/>
      <c r="N33" s="378"/>
      <c r="O33" s="7"/>
      <c r="P33" s="378"/>
      <c r="Q33" s="7"/>
      <c r="R33" s="378"/>
      <c r="S33" s="7"/>
      <c r="T33" s="378"/>
      <c r="U33" s="7"/>
      <c r="V33" s="378"/>
      <c r="W33" s="7"/>
      <c r="X33" s="378"/>
      <c r="Y33" s="7"/>
      <c r="Z33" s="378"/>
      <c r="AA33" s="7"/>
      <c r="AB33" s="379"/>
    </row>
    <row r="34" spans="1:30" ht="15.75" customHeight="1" x14ac:dyDescent="0.25">
      <c r="A34" s="6"/>
      <c r="B34" s="378"/>
      <c r="C34" s="7"/>
      <c r="D34" s="378"/>
      <c r="E34" s="7"/>
      <c r="F34" s="378"/>
      <c r="G34" s="7"/>
      <c r="H34" s="378"/>
      <c r="I34" s="7"/>
      <c r="J34" s="378"/>
      <c r="K34" s="7"/>
      <c r="L34" s="378"/>
      <c r="M34" s="7"/>
      <c r="N34" s="378"/>
      <c r="O34" s="7"/>
      <c r="P34" s="378"/>
      <c r="Q34" s="7"/>
      <c r="R34" s="378"/>
      <c r="S34" s="7"/>
      <c r="T34" s="378"/>
      <c r="U34" s="7"/>
      <c r="V34" s="378"/>
      <c r="W34" s="7"/>
      <c r="X34" s="378"/>
      <c r="Y34" s="7"/>
      <c r="Z34" s="378"/>
      <c r="AA34" s="7"/>
      <c r="AB34" s="379"/>
    </row>
    <row r="35" spans="1:30" ht="15.75" customHeight="1" x14ac:dyDescent="0.25">
      <c r="A35" s="6"/>
      <c r="B35" s="378"/>
      <c r="C35" s="7"/>
      <c r="D35" s="378"/>
      <c r="E35" s="7"/>
      <c r="F35" s="378"/>
      <c r="G35" s="7"/>
      <c r="H35" s="378"/>
      <c r="I35" s="7"/>
      <c r="J35" s="378"/>
      <c r="K35" s="7"/>
      <c r="L35" s="378"/>
      <c r="M35" s="7"/>
      <c r="N35" s="378"/>
      <c r="O35" s="7"/>
      <c r="P35" s="378"/>
      <c r="Q35" s="7"/>
      <c r="R35" s="378"/>
      <c r="S35" s="7"/>
      <c r="T35" s="378"/>
      <c r="U35" s="7"/>
      <c r="V35" s="378"/>
      <c r="W35" s="7"/>
      <c r="X35" s="378"/>
      <c r="Y35" s="7"/>
      <c r="Z35" s="378"/>
      <c r="AA35" s="7"/>
      <c r="AB35" s="379"/>
    </row>
    <row r="36" spans="1:30" ht="15.75" customHeight="1" x14ac:dyDescent="0.25">
      <c r="A36" s="4"/>
      <c r="B36" s="378"/>
      <c r="C36" s="5"/>
      <c r="D36" s="378"/>
      <c r="E36" s="5"/>
      <c r="F36" s="378"/>
      <c r="G36" s="5"/>
      <c r="H36" s="378"/>
      <c r="I36" s="5"/>
      <c r="J36" s="378"/>
      <c r="K36" s="5"/>
      <c r="L36" s="378"/>
      <c r="M36" s="5"/>
      <c r="N36" s="378"/>
      <c r="O36" s="5"/>
      <c r="P36" s="378"/>
      <c r="Q36" s="5"/>
      <c r="R36" s="378"/>
      <c r="S36" s="5"/>
      <c r="T36" s="378"/>
      <c r="U36" s="5"/>
      <c r="V36" s="378"/>
      <c r="W36" s="5"/>
      <c r="X36" s="378"/>
      <c r="Y36" s="5"/>
      <c r="Z36" s="378"/>
      <c r="AA36" s="5"/>
      <c r="AB36" s="379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1">
        <f>SUM(A38:AC38)</f>
        <v>8105.7</v>
      </c>
      <c r="B40" s="372"/>
      <c r="C40" s="372"/>
      <c r="D40" s="373"/>
    </row>
    <row r="41" spans="1:30" ht="15.75" customHeight="1" x14ac:dyDescent="0.25">
      <c r="A41" s="374"/>
      <c r="B41" s="375"/>
      <c r="C41" s="375"/>
      <c r="D41" s="376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87" t="s">
        <v>86</v>
      </c>
      <c r="B1" s="388"/>
      <c r="C1" s="388"/>
      <c r="D1" s="388"/>
      <c r="E1" s="388"/>
      <c r="F1" s="388"/>
      <c r="G1" s="388"/>
      <c r="H1" s="388"/>
      <c r="I1" s="388"/>
      <c r="J1" s="388"/>
      <c r="K1" s="389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399" t="s">
        <v>128</v>
      </c>
      <c r="B2" s="400"/>
      <c r="C2" s="401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05" t="s">
        <v>7</v>
      </c>
      <c r="C3" s="406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07" t="s">
        <v>7</v>
      </c>
      <c r="C4" s="408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07" t="s">
        <v>7</v>
      </c>
      <c r="C5" s="408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12" t="s">
        <v>7</v>
      </c>
      <c r="C6" s="413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396" t="s">
        <v>4</v>
      </c>
      <c r="B7" s="397"/>
      <c r="C7" s="397"/>
      <c r="D7" s="398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16" t="s">
        <v>55</v>
      </c>
      <c r="B8" s="417"/>
      <c r="C8" s="418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8.6150000000000002</v>
      </c>
      <c r="F12" s="329">
        <f>'STOK DETAY'!N6</f>
        <v>0</v>
      </c>
      <c r="G12" s="330">
        <f>'STOK DETAY'!O6</f>
        <v>8.6150000000000002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98.29</v>
      </c>
      <c r="F13" s="333"/>
      <c r="G13" s="330"/>
      <c r="H13" s="330">
        <f>'STOK DETAY'!S6</f>
        <v>98.29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16.89</v>
      </c>
      <c r="F15" s="329">
        <f>'STOK DETAY'!X6</f>
        <v>0</v>
      </c>
      <c r="G15" s="330">
        <f>'STOK DETAY'!Y6</f>
        <v>0</v>
      </c>
      <c r="H15" s="330">
        <f>'STOK DETAY'!Z6</f>
        <v>16.89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25.8</v>
      </c>
      <c r="F16" s="329">
        <f>'STOK DETAY'!AA6</f>
        <v>0</v>
      </c>
      <c r="G16" s="330">
        <f>'STOK DETAY'!AB6</f>
        <v>0</v>
      </c>
      <c r="H16" s="330">
        <f>'STOK DETAY'!AC6</f>
        <v>25.8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49.41</v>
      </c>
      <c r="F19" s="329">
        <f>'STOK DETAY'!AL6</f>
        <v>0</v>
      </c>
      <c r="G19" s="330">
        <f>'STOK DETAY'!AM6</f>
        <v>0</v>
      </c>
      <c r="H19" s="330">
        <f>'STOK DETAY'!AN6</f>
        <v>49.41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7.83</v>
      </c>
      <c r="F20" s="329">
        <f>'STOK DETAY'!AP6</f>
        <v>0</v>
      </c>
      <c r="G20" s="330">
        <f>'STOK DETAY'!AQ6</f>
        <v>0</v>
      </c>
      <c r="H20" s="330">
        <f>'STOK DETAY'!AR6</f>
        <v>7.83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24.24</v>
      </c>
      <c r="F21" s="329">
        <f>'STOK DETAY'!AU6</f>
        <v>0</v>
      </c>
      <c r="G21" s="330">
        <f>'STOK DETAY'!AV6</f>
        <v>0</v>
      </c>
      <c r="H21" s="330">
        <f>'STOK DETAY'!AW6</f>
        <v>24.24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25.94</v>
      </c>
      <c r="F22" s="329">
        <f>'STOK DETAY'!BA6</f>
        <v>0</v>
      </c>
      <c r="G22" s="330">
        <f>'STOK DETAY'!BB6</f>
        <v>0</v>
      </c>
      <c r="H22" s="330">
        <f>'STOK DETAY'!BC6</f>
        <v>25.94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17.21</v>
      </c>
      <c r="F23" s="329">
        <f>'STOK DETAY'!BG6</f>
        <v>0</v>
      </c>
      <c r="G23" s="330">
        <f>'STOK DETAY'!BH6</f>
        <v>0</v>
      </c>
      <c r="H23" s="330">
        <f>'STOK DETAY'!BI6</f>
        <v>17.21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25.8</v>
      </c>
      <c r="F24" s="329">
        <f>'STOK DETAY'!BM6</f>
        <v>0</v>
      </c>
      <c r="G24" s="330">
        <f>'STOK DETAY'!BN6</f>
        <v>0</v>
      </c>
      <c r="H24" s="330">
        <f>'STOK DETAY'!BO6</f>
        <v>25.8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25.635000000000002</v>
      </c>
      <c r="F25" s="329">
        <f>'STOK DETAY'!BS6</f>
        <v>0</v>
      </c>
      <c r="G25" s="330">
        <f>'STOK DETAY'!BT6</f>
        <v>0</v>
      </c>
      <c r="H25" s="330">
        <f>'STOK DETAY'!BU6</f>
        <v>25.635000000000002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50.27</v>
      </c>
      <c r="F26" s="329">
        <f>'STOK DETAY'!BY6</f>
        <v>0</v>
      </c>
      <c r="G26" s="330">
        <f>'STOK DETAY'!BZ6</f>
        <v>0</v>
      </c>
      <c r="H26" s="330">
        <f>'STOK DETAY'!CA6</f>
        <v>33.69</v>
      </c>
      <c r="I26" s="330">
        <f>'STOK DETAY'!CB6</f>
        <v>0</v>
      </c>
      <c r="J26" s="330">
        <f>'STOK DETAY'!CC6</f>
        <v>0</v>
      </c>
      <c r="K26" s="331">
        <f>'STOK DETAY'!CD6</f>
        <v>16.579999999999998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8.7100000000000009</v>
      </c>
      <c r="F27" s="329">
        <f>'STOK DETAY'!CE6</f>
        <v>0</v>
      </c>
      <c r="G27" s="330">
        <f>'STOK DETAY'!CF6</f>
        <v>0</v>
      </c>
      <c r="H27" s="330">
        <f>'STOK DETAY'!CG6</f>
        <v>8.7100000000000009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16.93</v>
      </c>
      <c r="F28" s="329">
        <f>'STOK DETAY'!CK6</f>
        <v>0</v>
      </c>
      <c r="G28" s="330">
        <f>'STOK DETAY'!CL6</f>
        <v>0</v>
      </c>
      <c r="H28" s="330">
        <f>'STOK DETAY'!CM6</f>
        <v>16.93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86.37</v>
      </c>
      <c r="F29" s="329">
        <f>'STOK DETAY'!CQ6</f>
        <v>0</v>
      </c>
      <c r="G29" s="330">
        <f>'STOK DETAY'!CR6</f>
        <v>0</v>
      </c>
      <c r="H29" s="330">
        <f>'STOK DETAY'!CS6</f>
        <v>86.37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8.7949999999999999</v>
      </c>
      <c r="F30" s="329">
        <f>'STOK DETAY'!CW6</f>
        <v>0</v>
      </c>
      <c r="G30" s="330">
        <f>'STOK DETAY'!CX6</f>
        <v>0</v>
      </c>
      <c r="H30" s="330">
        <f>'STOK DETAY'!CY6</f>
        <v>8.7949999999999999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51.814999999999998</v>
      </c>
      <c r="F31" s="329">
        <f>'STOK DETAY'!DC6</f>
        <v>0</v>
      </c>
      <c r="G31" s="330">
        <f>'STOK DETAY'!DD6</f>
        <v>0</v>
      </c>
      <c r="H31" s="330">
        <f>'STOK DETAY'!DE6</f>
        <v>51.814999999999998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24.55</v>
      </c>
      <c r="F32" s="329">
        <f>'STOK DETAY'!DI6</f>
        <v>0</v>
      </c>
      <c r="G32" s="330">
        <f>'STOK DETAY'!DJ6</f>
        <v>0</v>
      </c>
      <c r="H32" s="330">
        <f>'STOK DETAY'!DK6</f>
        <v>0</v>
      </c>
      <c r="I32" s="330">
        <f>'STOK DETAY'!DL6</f>
        <v>0</v>
      </c>
      <c r="J32" s="330">
        <f>'STOK DETAY'!DM6</f>
        <v>24.55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42.075000000000003</v>
      </c>
      <c r="F35" s="329">
        <f>'STOK DETAY'!DY6</f>
        <v>0</v>
      </c>
      <c r="G35" s="330">
        <f>'STOK DETAY'!DZ6</f>
        <v>0</v>
      </c>
      <c r="H35" s="330">
        <f>'STOK DETAY'!EA6</f>
        <v>42.075000000000003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671.93499999999995</v>
      </c>
      <c r="F36" s="329">
        <f>'STOK DETAY'!EE6</f>
        <v>0</v>
      </c>
      <c r="G36" s="330">
        <f>'STOK DETAY'!EF6</f>
        <v>0</v>
      </c>
      <c r="H36" s="330">
        <f>'STOK DETAY'!EG6</f>
        <v>661.745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396" t="s">
        <v>4</v>
      </c>
      <c r="B57" s="397"/>
      <c r="C57" s="397"/>
      <c r="D57" s="398"/>
      <c r="E57" s="316">
        <f>SUM(F57:K57)</f>
        <v>1961.2750000000001</v>
      </c>
      <c r="F57" s="317">
        <f t="shared" ref="F57:K57" si="3">SUM(F9:F56)</f>
        <v>9.1999999999999993</v>
      </c>
      <c r="G57" s="318">
        <f t="shared" si="3"/>
        <v>8.6150000000000002</v>
      </c>
      <c r="H57" s="318">
        <f t="shared" si="3"/>
        <v>1565.54</v>
      </c>
      <c r="I57" s="318">
        <f t="shared" si="3"/>
        <v>1.75</v>
      </c>
      <c r="J57" s="318">
        <f t="shared" si="3"/>
        <v>359.59</v>
      </c>
      <c r="K57" s="319">
        <f t="shared" si="3"/>
        <v>16.579999999999998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399" t="s">
        <v>30</v>
      </c>
      <c r="B58" s="400"/>
      <c r="C58" s="401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/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93" t="s">
        <v>4</v>
      </c>
      <c r="B89" s="394"/>
      <c r="C89" s="394"/>
      <c r="D89" s="395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399" t="s">
        <v>10</v>
      </c>
      <c r="B90" s="400"/>
      <c r="C90" s="402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385"/>
      <c r="C91" s="386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383"/>
      <c r="C92" s="384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383"/>
      <c r="C93" s="384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383"/>
      <c r="C94" s="384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383"/>
      <c r="C95" s="384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383"/>
      <c r="C96" s="384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383"/>
      <c r="C97" s="384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383"/>
      <c r="C98" s="384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383"/>
      <c r="C99" s="384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383"/>
      <c r="C100" s="384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383"/>
      <c r="C101" s="384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14"/>
      <c r="C102" s="415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03"/>
      <c r="C103" s="404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09" t="s">
        <v>4</v>
      </c>
      <c r="B104" s="410"/>
      <c r="C104" s="410"/>
      <c r="D104" s="411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90" t="s">
        <v>1</v>
      </c>
      <c r="B105" s="391"/>
      <c r="C105" s="391"/>
      <c r="D105" s="392"/>
      <c r="E105" s="351">
        <f>SUM(F105:K105)</f>
        <v>3389.2930000000001</v>
      </c>
      <c r="F105" s="352">
        <f t="shared" ref="F105:K105" si="8">F7+F57+F89+F104</f>
        <v>366.9</v>
      </c>
      <c r="G105" s="353">
        <f t="shared" si="8"/>
        <v>257.32499999999999</v>
      </c>
      <c r="H105" s="353">
        <f t="shared" si="8"/>
        <v>1916.6279999999999</v>
      </c>
      <c r="I105" s="353">
        <f t="shared" si="8"/>
        <v>1.75</v>
      </c>
      <c r="J105" s="353">
        <f t="shared" si="8"/>
        <v>359.59</v>
      </c>
      <c r="K105" s="354">
        <f t="shared" si="8"/>
        <v>487.1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4"/>
  <sheetViews>
    <sheetView showGridLines="0" zoomScaleNormal="100" workbookViewId="0">
      <pane ySplit="6" topLeftCell="A6145" activePane="bottomLeft" state="frozen"/>
      <selection activeCell="C37" sqref="C37"/>
      <selection pane="bottomLeft" activeCell="A6168" sqref="A6168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428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1" customWidth="1"/>
    <col min="81" max="81" width="12.7109375" style="126" customWidth="1"/>
    <col min="82" max="82" width="12.7109375" style="182" customWidth="1"/>
    <col min="83" max="83" width="12.7109375" style="42" customWidth="1"/>
    <col min="84" max="84" width="12.7109375" style="69" customWidth="1"/>
    <col min="85" max="85" width="12.7109375" style="74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1" customWidth="1"/>
    <col min="117" max="117" width="12.7109375" style="150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1" t="s">
        <v>86</v>
      </c>
      <c r="B1" s="421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423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70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70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70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70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70" t="s">
        <v>113</v>
      </c>
      <c r="CB1" s="117" t="s">
        <v>5</v>
      </c>
      <c r="CC1" s="122" t="s">
        <v>6</v>
      </c>
      <c r="CD1" s="181" t="s">
        <v>115</v>
      </c>
      <c r="CE1" s="39" t="s">
        <v>2</v>
      </c>
      <c r="CF1" s="65" t="s">
        <v>3</v>
      </c>
      <c r="CG1" s="70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70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70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70" t="s">
        <v>113</v>
      </c>
      <c r="DL1" s="117" t="s">
        <v>5</v>
      </c>
      <c r="DM1" s="146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1"/>
      <c r="B2" s="421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423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70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70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70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70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70" t="s">
        <v>7</v>
      </c>
      <c r="CB2" s="117" t="s">
        <v>7</v>
      </c>
      <c r="CC2" s="122" t="s">
        <v>7</v>
      </c>
      <c r="CD2" s="181" t="s">
        <v>7</v>
      </c>
      <c r="CE2" s="39" t="s">
        <v>7</v>
      </c>
      <c r="CF2" s="65" t="s">
        <v>7</v>
      </c>
      <c r="CG2" s="70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70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70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70" t="s">
        <v>7</v>
      </c>
      <c r="DL2" s="117" t="s">
        <v>7</v>
      </c>
      <c r="DM2" s="146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1"/>
      <c r="B3" s="421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423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70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70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70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70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70" t="s">
        <v>55</v>
      </c>
      <c r="CB3" s="117" t="s">
        <v>55</v>
      </c>
      <c r="CC3" s="122" t="s">
        <v>55</v>
      </c>
      <c r="CD3" s="181" t="s">
        <v>55</v>
      </c>
      <c r="CE3" s="39" t="s">
        <v>55</v>
      </c>
      <c r="CF3" s="65" t="s">
        <v>55</v>
      </c>
      <c r="CG3" s="70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70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70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70" t="s">
        <v>55</v>
      </c>
      <c r="DL3" s="117" t="s">
        <v>55</v>
      </c>
      <c r="DM3" s="146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1"/>
      <c r="B4" s="421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424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71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71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71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71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71">
        <v>0.85</v>
      </c>
      <c r="CB4" s="118">
        <v>0.85</v>
      </c>
      <c r="CC4" s="123">
        <v>0.85</v>
      </c>
      <c r="CD4" s="151">
        <v>0.85</v>
      </c>
      <c r="CE4" s="40">
        <v>0.9</v>
      </c>
      <c r="CF4" s="66">
        <v>0.9</v>
      </c>
      <c r="CG4" s="71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71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71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71">
        <v>1.1499999999999999</v>
      </c>
      <c r="DL4" s="118">
        <v>1.1499999999999999</v>
      </c>
      <c r="DM4" s="147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1"/>
      <c r="B5" s="421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425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72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72"/>
      <c r="BD5" s="119"/>
      <c r="BE5" s="124"/>
      <c r="BF5" s="113"/>
      <c r="BG5" s="41"/>
      <c r="BH5" s="67"/>
      <c r="BI5" s="72"/>
      <c r="BJ5" s="119"/>
      <c r="BK5" s="124"/>
      <c r="BL5" s="113"/>
      <c r="BM5" s="87"/>
      <c r="BN5" s="67"/>
      <c r="BO5" s="72"/>
      <c r="BP5" s="119"/>
      <c r="BQ5" s="124"/>
      <c r="BR5" s="113"/>
      <c r="BS5" s="41"/>
      <c r="BT5" s="67"/>
      <c r="BU5" s="72"/>
      <c r="BV5" s="119"/>
      <c r="BW5" s="124"/>
      <c r="BX5" s="113"/>
      <c r="BY5" s="41"/>
      <c r="BZ5" s="67"/>
      <c r="CA5" s="72"/>
      <c r="CB5" s="119"/>
      <c r="CC5" s="124"/>
      <c r="CD5" s="152"/>
      <c r="CE5" s="41"/>
      <c r="CF5" s="67"/>
      <c r="CG5" s="72"/>
      <c r="CH5" s="119"/>
      <c r="CI5" s="124"/>
      <c r="CJ5" s="113"/>
      <c r="CK5" s="41"/>
      <c r="CL5" s="67"/>
      <c r="CM5" s="72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72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72"/>
      <c r="DL5" s="119"/>
      <c r="DM5" s="148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3389.2930000000001</v>
      </c>
      <c r="D6" s="214">
        <f>SUM(D8:D1048576)</f>
        <v>0</v>
      </c>
      <c r="E6" s="214">
        <f>SUM(E8:E1048576)</f>
        <v>0</v>
      </c>
      <c r="F6" s="214">
        <f>SUM(F8:F1048576)</f>
        <v>0</v>
      </c>
      <c r="G6" s="214">
        <f>SUM(G8:G1048576)</f>
        <v>0</v>
      </c>
      <c r="H6" s="215">
        <f>SUM(H8:H1048576)</f>
        <v>92.75</v>
      </c>
      <c r="I6" s="215">
        <f>SUM(I8:I1048576)</f>
        <v>38.11</v>
      </c>
      <c r="J6" s="234">
        <f>SUM(J8:J1048576)</f>
        <v>0</v>
      </c>
      <c r="K6" s="216">
        <f>SUM(K8:K1048576)</f>
        <v>0</v>
      </c>
      <c r="L6" s="217">
        <f>SUM(L8:L1048576)</f>
        <v>0</v>
      </c>
      <c r="M6" s="218">
        <f>SUM(M8:M1048576)</f>
        <v>0</v>
      </c>
      <c r="N6" s="216">
        <f>SUM(N8:N1048576)</f>
        <v>0</v>
      </c>
      <c r="O6" s="426">
        <f>SUM(O8:O1048576)</f>
        <v>8.6150000000000002</v>
      </c>
      <c r="P6" s="228">
        <f>SUM(P8:P1048576)</f>
        <v>0</v>
      </c>
      <c r="Q6" s="221">
        <f>SUM(Q8:Q1048576)</f>
        <v>0</v>
      </c>
      <c r="R6" s="214">
        <f>SUM(R8:R1048576)</f>
        <v>0</v>
      </c>
      <c r="S6" s="220">
        <f>SUM(S8:S1048576)</f>
        <v>98.29</v>
      </c>
      <c r="T6" s="216">
        <f>SUM(T8:T1048576)</f>
        <v>0</v>
      </c>
      <c r="U6" s="217">
        <f>SUM(U8:U1048576)</f>
        <v>0</v>
      </c>
      <c r="V6" s="220">
        <f>SUM(V8:V1048576)</f>
        <v>54.594999999999999</v>
      </c>
      <c r="W6" s="221">
        <f>SUM(W8:W1048576)</f>
        <v>0</v>
      </c>
      <c r="X6" s="216">
        <f>SUM(X8:X1048576)</f>
        <v>0</v>
      </c>
      <c r="Y6" s="217">
        <f>SUM(Y8:Y1048576)</f>
        <v>0</v>
      </c>
      <c r="Z6" s="219">
        <f>SUM(Z8:Z1048576)</f>
        <v>16.89</v>
      </c>
      <c r="AA6" s="216">
        <f>SUM(AA8:AA1048576)</f>
        <v>0</v>
      </c>
      <c r="AB6" s="217">
        <f>SUM(AB8:AB1048576)</f>
        <v>0</v>
      </c>
      <c r="AC6" s="220">
        <f>SUM(AC8:AC1048576)</f>
        <v>25.8</v>
      </c>
      <c r="AD6" s="214">
        <f>SUM(AD8:AD1048576)</f>
        <v>0</v>
      </c>
      <c r="AE6" s="216">
        <f>SUM(AE8:AE1048576)</f>
        <v>0</v>
      </c>
      <c r="AF6" s="217">
        <f>SUM(AF8:AF1048576)</f>
        <v>0</v>
      </c>
      <c r="AG6" s="228">
        <f>SUM(AG8:AG1048576)</f>
        <v>0</v>
      </c>
      <c r="AH6" s="222">
        <f>SUM(AH8:AH1048576)</f>
        <v>0</v>
      </c>
      <c r="AI6" s="223">
        <f>SUM(AI8:AI1048576)</f>
        <v>0</v>
      </c>
      <c r="AJ6" s="221">
        <f>SUM(AJ8:AJ1048576)</f>
        <v>0</v>
      </c>
      <c r="AK6" s="244">
        <f>SUM(AK8:AK1048576)</f>
        <v>24.27</v>
      </c>
      <c r="AL6" s="216">
        <f>SUM(AL8:AL1048576)</f>
        <v>0</v>
      </c>
      <c r="AM6" s="217">
        <f>SUM(AM8:AM1048576)</f>
        <v>0</v>
      </c>
      <c r="AN6" s="220">
        <f>SUM(AN8:AN1048576)</f>
        <v>49.41</v>
      </c>
      <c r="AO6" s="224">
        <f>SUM(AO8:AO1048576)</f>
        <v>0</v>
      </c>
      <c r="AP6" s="216">
        <f>SUM(AP8:AP1048576)</f>
        <v>0</v>
      </c>
      <c r="AQ6" s="217">
        <f>SUM(AQ8:AQ1048576)</f>
        <v>0</v>
      </c>
      <c r="AR6" s="220">
        <f>SUM(AR8:AR1048576)</f>
        <v>7.83</v>
      </c>
      <c r="AS6" s="222">
        <f>SUM(AS8:AS1048576)</f>
        <v>0</v>
      </c>
      <c r="AT6" s="224">
        <f>SUM(AT8:AT1048576)</f>
        <v>0</v>
      </c>
      <c r="AU6" s="216">
        <f>SUM(AU8:AU1048576)</f>
        <v>0</v>
      </c>
      <c r="AV6" s="217">
        <f>SUM(AV8:AV1048576)</f>
        <v>0</v>
      </c>
      <c r="AW6" s="220">
        <f>SUM(AW8:AW1048576)</f>
        <v>24.24</v>
      </c>
      <c r="AX6" s="222">
        <f>SUM(AX8:AX1048576)</f>
        <v>0</v>
      </c>
      <c r="AY6" s="223">
        <f>SUM(AY8:AY1048576)</f>
        <v>0</v>
      </c>
      <c r="AZ6" s="214">
        <f>SUM(AZ8:AZ1048576)</f>
        <v>0</v>
      </c>
      <c r="BA6" s="216">
        <f>SUM(BA8:BA1048576)</f>
        <v>0</v>
      </c>
      <c r="BB6" s="217">
        <f>SUM(BB8:BB1048576)</f>
        <v>0</v>
      </c>
      <c r="BC6" s="220">
        <f>SUM(BC8:BC1048576)</f>
        <v>25.94</v>
      </c>
      <c r="BD6" s="222">
        <f>SUM(BD8:BD1048576)</f>
        <v>0</v>
      </c>
      <c r="BE6" s="223">
        <f>SUM(BE8:BE1048576)</f>
        <v>0</v>
      </c>
      <c r="BF6" s="214">
        <f>SUM(BF8:BF1048576)</f>
        <v>0</v>
      </c>
      <c r="BG6" s="216">
        <f>SUM(BG8:BG1048576)</f>
        <v>0</v>
      </c>
      <c r="BH6" s="217">
        <f>SUM(BH8:BH1048576)</f>
        <v>0</v>
      </c>
      <c r="BI6" s="220">
        <f>SUM(BI8:BI1048576)</f>
        <v>17.21</v>
      </c>
      <c r="BJ6" s="222">
        <f>SUM(BJ8:BJ1048576)</f>
        <v>0</v>
      </c>
      <c r="BK6" s="223">
        <f>SUM(BK8:BK1048576)</f>
        <v>0</v>
      </c>
      <c r="BL6" s="214">
        <f>SUM(BL8:BL1048576)</f>
        <v>0</v>
      </c>
      <c r="BM6" s="225">
        <f>SUM(BM8:BM1048576)</f>
        <v>0</v>
      </c>
      <c r="BN6" s="217">
        <f>SUM(BN8:BN1048576)</f>
        <v>0</v>
      </c>
      <c r="BO6" s="220">
        <f>SUM(BO8:BO1048576)</f>
        <v>25.8</v>
      </c>
      <c r="BP6" s="222">
        <f>SUM(BP8:BP1048576)</f>
        <v>0</v>
      </c>
      <c r="BQ6" s="223">
        <f>SUM(BQ8:BQ1048576)</f>
        <v>0</v>
      </c>
      <c r="BR6" s="214">
        <f>SUM(BR8:BR1048576)</f>
        <v>0</v>
      </c>
      <c r="BS6" s="216">
        <f>SUM(BS8:BS1048576)</f>
        <v>0</v>
      </c>
      <c r="BT6" s="217">
        <f>SUM(BT8:BT1048576)</f>
        <v>0</v>
      </c>
      <c r="BU6" s="220">
        <f>SUM(BU8:BU1048576)</f>
        <v>25.635000000000002</v>
      </c>
      <c r="BV6" s="222">
        <f>SUM(BV8:BV1048576)</f>
        <v>0</v>
      </c>
      <c r="BW6" s="223">
        <f>SUM(BW8:BW1048576)</f>
        <v>0</v>
      </c>
      <c r="BX6" s="214">
        <f>SUM(BX8:BX1048576)</f>
        <v>0</v>
      </c>
      <c r="BY6" s="216">
        <f>SUM(BY8:BY1048576)</f>
        <v>0</v>
      </c>
      <c r="BZ6" s="217">
        <f>SUM(BZ8:BZ1048576)</f>
        <v>0</v>
      </c>
      <c r="CA6" s="220">
        <f>SUM(CA8:CA1048576)</f>
        <v>33.69</v>
      </c>
      <c r="CB6" s="222">
        <f>SUM(CB8:CB1048576)</f>
        <v>0</v>
      </c>
      <c r="CC6" s="223">
        <f>SUM(CC8:CC1048576)</f>
        <v>0</v>
      </c>
      <c r="CD6" s="361">
        <f>SUM(CD8:CD1048576)</f>
        <v>16.579999999999998</v>
      </c>
      <c r="CE6" s="216">
        <f>SUM(CE8:CE1048576)</f>
        <v>0</v>
      </c>
      <c r="CF6" s="217">
        <f>SUM(CF8:CF1048576)</f>
        <v>0</v>
      </c>
      <c r="CG6" s="220">
        <f>SUM(CG8:CG1048576)</f>
        <v>8.7100000000000009</v>
      </c>
      <c r="CH6" s="222">
        <f>SUM(CH8:CH1048576)</f>
        <v>0</v>
      </c>
      <c r="CI6" s="223">
        <f>SUM(CI8:CI1048576)</f>
        <v>0</v>
      </c>
      <c r="CJ6" s="214">
        <f>SUM(CJ8:CJ1048576)</f>
        <v>0</v>
      </c>
      <c r="CK6" s="216">
        <f>SUM(CK8:CK1048576)</f>
        <v>0</v>
      </c>
      <c r="CL6" s="217">
        <f>SUM(CL8:CL1048576)</f>
        <v>0</v>
      </c>
      <c r="CM6" s="220">
        <f>SUM(CM8:CM1048576)</f>
        <v>16.93</v>
      </c>
      <c r="CN6" s="222">
        <f>SUM(CN8:CN1048576)</f>
        <v>0</v>
      </c>
      <c r="CO6" s="223">
        <f>SUM(CO8:CO1048576)</f>
        <v>0</v>
      </c>
      <c r="CP6" s="214">
        <f>SUM(CP8:CP1048576)</f>
        <v>0</v>
      </c>
      <c r="CQ6" s="216">
        <f>SUM(CQ8:CQ1048576)</f>
        <v>0</v>
      </c>
      <c r="CR6" s="217">
        <f>SUM(CR8:CR1048576)</f>
        <v>0</v>
      </c>
      <c r="CS6" s="220">
        <f>SUM(CS8:CS1048576)</f>
        <v>86.37</v>
      </c>
      <c r="CT6" s="222">
        <f>SUM(CT8:CT1048576)</f>
        <v>0</v>
      </c>
      <c r="CU6" s="223">
        <f>SUM(CU8:CU1048576)</f>
        <v>0</v>
      </c>
      <c r="CV6" s="214">
        <f>SUM(CV8:CV1048576)</f>
        <v>0</v>
      </c>
      <c r="CW6" s="216">
        <f>SUM(CW8:CW1048576)</f>
        <v>0</v>
      </c>
      <c r="CX6" s="217">
        <f>SUM(CX8:CX1048576)</f>
        <v>0</v>
      </c>
      <c r="CY6" s="220">
        <f>SUM(CY8:CY1048576)</f>
        <v>8.7949999999999999</v>
      </c>
      <c r="CZ6" s="222">
        <f>SUM(CZ8:CZ1048576)</f>
        <v>0</v>
      </c>
      <c r="DA6" s="223">
        <f>SUM(DA8:DA1048576)</f>
        <v>0</v>
      </c>
      <c r="DB6" s="214">
        <f>SUM(DB8:DB1048576)</f>
        <v>0</v>
      </c>
      <c r="DC6" s="216">
        <f>SUM(DC8:DC1048576)</f>
        <v>0</v>
      </c>
      <c r="DD6" s="217">
        <f>SUM(DD8:DD1048576)</f>
        <v>0</v>
      </c>
      <c r="DE6" s="220">
        <f>SUM(DE8:DE1048576)</f>
        <v>51.814999999999998</v>
      </c>
      <c r="DF6" s="222">
        <f>SUM(DF8:DF1048576)</f>
        <v>0</v>
      </c>
      <c r="DG6" s="223">
        <f>SUM(DG8:DG1048576)</f>
        <v>0</v>
      </c>
      <c r="DH6" s="214">
        <f>SUM(DH8:DH1048576)</f>
        <v>0</v>
      </c>
      <c r="DI6" s="216">
        <f>SUM(DI8:DI1048576)</f>
        <v>0</v>
      </c>
      <c r="DJ6" s="217">
        <f>SUM(DJ8:DJ1048576)</f>
        <v>0</v>
      </c>
      <c r="DK6" s="220">
        <f>SUM(DK8:DK1048576)</f>
        <v>0</v>
      </c>
      <c r="DL6" s="222">
        <f>SUM(DL8:DL1048576)</f>
        <v>0</v>
      </c>
      <c r="DM6" s="227">
        <f>SUM(DM8:DM1048576)</f>
        <v>24.55</v>
      </c>
      <c r="DN6" s="216">
        <f>SUM(DN8:DN1048576)</f>
        <v>0</v>
      </c>
      <c r="DO6" s="217">
        <f>SUM(DO8:DO1048576)</f>
        <v>0</v>
      </c>
      <c r="DP6" s="220">
        <f>SUM(DP8:DP1048576)</f>
        <v>8.8049999999999997</v>
      </c>
      <c r="DQ6" s="222">
        <f>SUM(DQ8:DQ1048576)</f>
        <v>0</v>
      </c>
      <c r="DR6" s="224">
        <f>SUM(DR8:DR1048576)</f>
        <v>0</v>
      </c>
      <c r="DS6" s="216">
        <f>SUM(DS8:DS1048576)</f>
        <v>0</v>
      </c>
      <c r="DT6" s="217">
        <f>SUM(DT8:DT1048576)</f>
        <v>0</v>
      </c>
      <c r="DU6" s="228">
        <f>SUM(DU8:DU1048576)</f>
        <v>0</v>
      </c>
      <c r="DV6" s="222">
        <f>SUM(DV8:DV1048576)</f>
        <v>0</v>
      </c>
      <c r="DW6" s="223">
        <f>SUM(DW8:DW1048576)</f>
        <v>0</v>
      </c>
      <c r="DX6" s="221">
        <f>SUM(DX8:DX1048576)</f>
        <v>0</v>
      </c>
      <c r="DY6" s="216">
        <f>SUM(DY8:DY1048576)</f>
        <v>0</v>
      </c>
      <c r="DZ6" s="217">
        <f>SUM(DZ8:DZ1048576)</f>
        <v>0</v>
      </c>
      <c r="EA6" s="220">
        <f>SUM(EA8:EA1048576)</f>
        <v>42.075000000000003</v>
      </c>
      <c r="EB6" s="222">
        <f>SUM(EB8:EB1048576)</f>
        <v>0</v>
      </c>
      <c r="EC6" s="223">
        <f>SUM(EC8:EC1048576)</f>
        <v>0</v>
      </c>
      <c r="ED6" s="214">
        <f>SUM(ED8:ED1048576)</f>
        <v>0</v>
      </c>
      <c r="EE6" s="216">
        <f>SUM(EE8:EE1048576)</f>
        <v>0</v>
      </c>
      <c r="EF6" s="217">
        <f>SUM(EF8:EF1048576)</f>
        <v>0</v>
      </c>
      <c r="EG6" s="220">
        <f>SUM(EG8:EG1048576)</f>
        <v>661.745</v>
      </c>
      <c r="EH6" s="229">
        <f>SUM(EH8:EH1048576)</f>
        <v>1.75</v>
      </c>
      <c r="EI6" s="227">
        <f>SUM(EI8:EI1048576)</f>
        <v>8.44</v>
      </c>
      <c r="EJ6" s="216">
        <f>SUM(EJ8:EJ1048576)</f>
        <v>0</v>
      </c>
      <c r="EK6" s="217">
        <f>SUM(EK8:EK1048576)</f>
        <v>0</v>
      </c>
      <c r="EL6" s="228">
        <f>SUM(EL8:EL1048576)</f>
        <v>0</v>
      </c>
      <c r="EM6" s="226">
        <f>SUM(EM8:EM1048576)</f>
        <v>68.8</v>
      </c>
      <c r="EN6" s="216">
        <f>SUM(EN8:EN1048576)</f>
        <v>0</v>
      </c>
      <c r="EO6" s="217">
        <f>SUM(EO8:EO1048576)</f>
        <v>0</v>
      </c>
      <c r="EP6" s="220">
        <f>SUM(EP8:EP1048576)</f>
        <v>16.170000000000002</v>
      </c>
      <c r="EQ6" s="224">
        <f>SUM(EQ8:EQ1048576)</f>
        <v>0</v>
      </c>
      <c r="ER6" s="216">
        <f>SUM(ER8:ER1048576)</f>
        <v>0</v>
      </c>
      <c r="ES6" s="217">
        <f>SUM(ES8:ES1048576)</f>
        <v>0</v>
      </c>
      <c r="ET6" s="228">
        <f>SUM(ET8:ET1048576)</f>
        <v>0</v>
      </c>
      <c r="EU6" s="223">
        <f>SUM(EU8:EU1048576)</f>
        <v>0</v>
      </c>
      <c r="EV6" s="231">
        <f>SUM(EV8:EV1048576)</f>
        <v>27.65</v>
      </c>
      <c r="EW6" s="225">
        <f>SUM(EW8:EW1048576)</f>
        <v>0</v>
      </c>
      <c r="EX6" s="249">
        <f>SUM(EX8:EX1048576)</f>
        <v>0</v>
      </c>
      <c r="EY6" s="225">
        <f>SUM(EY8:EY1048576)</f>
        <v>0</v>
      </c>
      <c r="EZ6" s="218">
        <f>SUM(EZ8:EZ1048576)</f>
        <v>0</v>
      </c>
      <c r="FA6" s="216">
        <f>SUM(FA8:FA1048576)</f>
        <v>0</v>
      </c>
      <c r="FB6" s="217">
        <f>SUM(FB8:FB1048576)</f>
        <v>0</v>
      </c>
      <c r="FC6" s="228">
        <f>SUM(FC8:FC1048576)</f>
        <v>0</v>
      </c>
      <c r="FD6" s="223">
        <f>SUM(FD8:FD1048576)</f>
        <v>0</v>
      </c>
      <c r="FE6" s="231">
        <f>SUM(FE8:FE1048576)</f>
        <v>28</v>
      </c>
      <c r="FF6" s="225">
        <f>SUM(FF8:FF1048576)</f>
        <v>0</v>
      </c>
      <c r="FG6" s="220">
        <f>SUM(FG8:FG1048576)</f>
        <v>103.66500000000001</v>
      </c>
      <c r="FH6" s="224">
        <f>SUM(FH8:FH1048576)</f>
        <v>0</v>
      </c>
      <c r="FI6" s="216">
        <f>SUM(FI8:FI1048576)</f>
        <v>0</v>
      </c>
      <c r="FJ6" s="217">
        <f>SUM(FJ8:FJ1048576)</f>
        <v>0</v>
      </c>
      <c r="FK6" s="228">
        <f>SUM(FK8:FK1048576)</f>
        <v>0</v>
      </c>
      <c r="FL6" s="224">
        <f>SUM(FL8:FL1048576)</f>
        <v>0</v>
      </c>
      <c r="FM6" s="216">
        <f>SUM(FM8:FM1048576)</f>
        <v>0</v>
      </c>
      <c r="FN6" s="227">
        <f>SUM(FN8:FN1048576)</f>
        <v>45.85</v>
      </c>
      <c r="FO6" s="224">
        <f>SUM(FO8:FO1048576)</f>
        <v>0</v>
      </c>
      <c r="FP6" s="224">
        <f>SUM(FP8:FP1048576)</f>
        <v>0</v>
      </c>
      <c r="FQ6" s="216">
        <f>SUM(FQ8:FQ1048576)</f>
        <v>0</v>
      </c>
      <c r="FR6" s="217">
        <f>SUM(FR8:FR1048576)</f>
        <v>0</v>
      </c>
      <c r="FS6" s="228">
        <f>SUM(FS8:FS1048576)</f>
        <v>0</v>
      </c>
      <c r="FT6" s="214">
        <f>SUM(FT8:FT1048576)</f>
        <v>0</v>
      </c>
      <c r="FU6" s="225">
        <f>SUM(FU8:FU1048576)</f>
        <v>0</v>
      </c>
      <c r="FV6" s="228">
        <f>SUM(FV8:FV1048576)</f>
        <v>0</v>
      </c>
      <c r="FW6" s="227">
        <f>SUM(FW8:FW1048576)</f>
        <v>45.4</v>
      </c>
      <c r="FX6" s="230">
        <f>SUM(FX8:FX1048576)</f>
        <v>9.1999999999999993</v>
      </c>
      <c r="FY6" s="223">
        <f>SUM(FY8:FY1048576)</f>
        <v>0</v>
      </c>
      <c r="FZ6" s="214">
        <f>SUM(FZ8:FZ1048576)</f>
        <v>0</v>
      </c>
      <c r="GA6" s="225">
        <f>SUM(GA8:GA1048576)</f>
        <v>0</v>
      </c>
      <c r="GB6" s="228">
        <f>SUM(GB8:GB1048576)</f>
        <v>0</v>
      </c>
      <c r="GC6" s="226">
        <f>SUM(GC8:GC1048576)</f>
        <v>89.45</v>
      </c>
      <c r="GD6" s="214">
        <f>SUM(GD8:GD1048576)</f>
        <v>0</v>
      </c>
      <c r="GE6" s="225">
        <f>SUM(GE8:GE1048576)</f>
        <v>0</v>
      </c>
      <c r="GF6" s="227">
        <f>SUM(GF8:GF1048576)</f>
        <v>21.45</v>
      </c>
      <c r="GG6" s="224">
        <f>SUM(GG8:GG1048576)</f>
        <v>0</v>
      </c>
      <c r="GH6" s="228">
        <f>SUM(GH8:GH1048576)</f>
        <v>0</v>
      </c>
      <c r="GI6" s="356">
        <f>SUM(GI8:GI1048576)</f>
        <v>0</v>
      </c>
      <c r="GJ6" s="232">
        <f>SUM(GJ8:GJ1048576)</f>
        <v>0</v>
      </c>
      <c r="GK6" s="219">
        <f>SUM(GK8:GK1048576)</f>
        <v>76.703000000000003</v>
      </c>
      <c r="GL6" s="216">
        <f>SUM(GL8:GL1048576)</f>
        <v>0</v>
      </c>
      <c r="GM6" s="218">
        <f>SUM(GM8:GM1048576)</f>
        <v>0</v>
      </c>
      <c r="GN6" s="218">
        <f>SUM(GN8:GN1048576)</f>
        <v>0</v>
      </c>
      <c r="GO6" s="234">
        <f>SUM(GO8:GO1048576)</f>
        <v>0</v>
      </c>
      <c r="GP6" s="216">
        <f>SUM(GP8:GP1048576)</f>
        <v>0</v>
      </c>
      <c r="GQ6" s="218">
        <f>SUM(GQ8:GQ1048576)</f>
        <v>0</v>
      </c>
      <c r="GR6" s="233">
        <f>SUM(GR8:GR1048576)</f>
        <v>0</v>
      </c>
      <c r="GS6" s="234">
        <f>SUM(GS8:GS1048576)</f>
        <v>0</v>
      </c>
      <c r="GT6" s="234">
        <f>SUM(GT8:GT1048576)</f>
        <v>0</v>
      </c>
      <c r="GU6" s="234">
        <f>SUM(GU8:GU1048576)</f>
        <v>0</v>
      </c>
      <c r="GV6" s="216">
        <f>SUM(GV8:GV1048576)</f>
        <v>0</v>
      </c>
      <c r="GW6" s="218">
        <f>SUM(GW8:GW1048576)</f>
        <v>0</v>
      </c>
      <c r="GX6" s="218">
        <f>SUM(GX8:GX1048576)</f>
        <v>0</v>
      </c>
      <c r="GY6" s="216">
        <f>SUM(GY8:GY1048576)</f>
        <v>0</v>
      </c>
      <c r="GZ6" s="228">
        <f>SUM(GZ8:GZ1048576)</f>
        <v>0</v>
      </c>
      <c r="HA6" s="214">
        <f>SUM(HA8:HA1048576)</f>
        <v>0</v>
      </c>
      <c r="HB6" s="275">
        <f>SUM(HB8:HB1048576)</f>
        <v>0</v>
      </c>
      <c r="HC6" s="216">
        <f>SUM(HC8:HC1048576)</f>
        <v>0</v>
      </c>
      <c r="HD6" s="218">
        <f>SUM(HD8:HD1048576)</f>
        <v>0</v>
      </c>
      <c r="HE6" s="216">
        <f>SUM(HE8:HE1048576)</f>
        <v>0</v>
      </c>
      <c r="HF6" s="219">
        <f>SUM(HF8:HF1048576)</f>
        <v>67.03</v>
      </c>
      <c r="HG6" s="216">
        <f>SUM(HG8:HG1048576)</f>
        <v>0</v>
      </c>
      <c r="HH6" s="228">
        <f>SUM(HH8:HH1048576)</f>
        <v>0</v>
      </c>
      <c r="HI6" s="213">
        <f>SUM(HI8:HI1048576)</f>
        <v>13.32</v>
      </c>
      <c r="HJ6" s="219">
        <f>SUM(HJ8:HJ1048576)</f>
        <v>8.9849999999999994</v>
      </c>
      <c r="HK6" s="233">
        <f>SUM(HK8:HK1048576)</f>
        <v>0</v>
      </c>
      <c r="HL6" s="216">
        <f>SUM(HL8:HL1048576)</f>
        <v>0</v>
      </c>
      <c r="HM6" s="228">
        <f>SUM(HM8:HM1048576)</f>
        <v>0</v>
      </c>
      <c r="HN6" s="214">
        <f>SUM(HN8:HN1048576)</f>
        <v>0</v>
      </c>
      <c r="HO6" s="216">
        <f>SUM(HO8:HO1048576)</f>
        <v>0</v>
      </c>
      <c r="HP6" s="219">
        <f>SUM(HP8:HP1048576)</f>
        <v>51.43</v>
      </c>
      <c r="HQ6" s="216">
        <f>SUM(HQ8:HQ1048576)</f>
        <v>0</v>
      </c>
      <c r="HR6" s="218">
        <f>SUM(HR8:HR1048576)</f>
        <v>0</v>
      </c>
      <c r="HS6" s="235">
        <f>SUM(HS8:HS1048576)</f>
        <v>93.39</v>
      </c>
      <c r="HT6" s="215">
        <f>SUM(HT8:HT1048576)</f>
        <v>31.1</v>
      </c>
      <c r="HU6" s="216">
        <f>SUM(HU8:HU1048576)</f>
        <v>0</v>
      </c>
      <c r="HV6" s="218">
        <f>SUM(HV8:HV1048576)</f>
        <v>0</v>
      </c>
      <c r="HW6" s="216">
        <f>SUM(HW8:HW1048576)</f>
        <v>0</v>
      </c>
      <c r="HX6" s="218">
        <f>SUM(HX8:HX1048576)</f>
        <v>0</v>
      </c>
      <c r="HY6" s="235">
        <f>SUM(HY8:HY1048576)</f>
        <v>8.94</v>
      </c>
      <c r="HZ6" s="216">
        <f>SUM(HZ8:HZ1048576)</f>
        <v>0</v>
      </c>
      <c r="IA6" s="219">
        <f>SUM(IA8:IA1048576)</f>
        <v>83.82</v>
      </c>
      <c r="IB6" s="216">
        <f>SUM(IB8:IB1048576)</f>
        <v>0</v>
      </c>
      <c r="IC6" s="218">
        <f>SUM(IC8:IC1048576)</f>
        <v>0</v>
      </c>
      <c r="ID6" s="216">
        <f>SUM(ID8:ID1048576)</f>
        <v>0</v>
      </c>
      <c r="IE6" s="219">
        <f>SUM(IE8:IE1048576)</f>
        <v>2.42</v>
      </c>
      <c r="IF6" s="233">
        <f>SUM(IF8:IF1048576)</f>
        <v>0</v>
      </c>
      <c r="IG6" s="235">
        <f>SUM(IG8:IG1048576)</f>
        <v>127.11</v>
      </c>
      <c r="IH6" s="230">
        <f>SUM(IH8:IH1048576)</f>
        <v>128.26</v>
      </c>
      <c r="II6" s="285">
        <f>SUM(II8:II1048576)</f>
        <v>29.6</v>
      </c>
      <c r="IJ6" s="284">
        <f>SUM(IJ8:IJ1048576)</f>
        <v>3.28</v>
      </c>
      <c r="IK6" s="263">
        <f>SUM(IK8:IK1048576)</f>
        <v>63.54</v>
      </c>
      <c r="IL6" s="263">
        <f>SUM(IL8:IL1048576)</f>
        <v>10.45</v>
      </c>
      <c r="IM6" s="233">
        <f>SUM(IM8:IM1048576)</f>
        <v>0</v>
      </c>
      <c r="IN6" s="216">
        <f>SUM(IN8:IN1048576)</f>
        <v>0</v>
      </c>
      <c r="IO6" s="213">
        <f>SUM(IO8:IO1048576)</f>
        <v>457.2</v>
      </c>
      <c r="IP6" s="263">
        <f>SUM(IP8:IP1048576)</f>
        <v>2.5</v>
      </c>
      <c r="IQ6" s="263">
        <f>SUM(IQ8:IQ1048576)</f>
        <v>14.7</v>
      </c>
      <c r="IR6" s="263">
        <f>SUM(IR8:IR1048576)</f>
        <v>2.85</v>
      </c>
      <c r="IS6" s="263">
        <f>SUM(IS8:IS1048576)</f>
        <v>6.83</v>
      </c>
      <c r="IT6" s="263">
        <f>SUM(IT8:IT1048576)</f>
        <v>9.2200000000000006</v>
      </c>
      <c r="IU6" s="263">
        <f>SUM(IU8:IU1048576)</f>
        <v>18.5</v>
      </c>
      <c r="IV6" s="263">
        <f>SUM(IV8:IV1048576)</f>
        <v>64.48</v>
      </c>
      <c r="IW6" s="263">
        <f>SUM(IW8:IW1048576)</f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427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73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73"/>
      <c r="BD7" s="120"/>
      <c r="BE7" s="125"/>
      <c r="BF7" s="114"/>
      <c r="BG7" s="60"/>
      <c r="BH7" s="68"/>
      <c r="BI7" s="73"/>
      <c r="BJ7" s="120"/>
      <c r="BK7" s="125"/>
      <c r="BL7" s="114"/>
      <c r="BM7" s="93"/>
      <c r="BN7" s="68"/>
      <c r="BO7" s="73"/>
      <c r="BP7" s="120"/>
      <c r="BQ7" s="125"/>
      <c r="BR7" s="114"/>
      <c r="BS7" s="60"/>
      <c r="BT7" s="68"/>
      <c r="BU7" s="73"/>
      <c r="BV7" s="120"/>
      <c r="BW7" s="125"/>
      <c r="BX7" s="114"/>
      <c r="BY7" s="60"/>
      <c r="BZ7" s="68"/>
      <c r="CA7" s="73"/>
      <c r="CB7" s="120"/>
      <c r="CC7" s="125"/>
      <c r="CD7" s="290"/>
      <c r="CE7" s="60"/>
      <c r="CF7" s="68"/>
      <c r="CG7" s="73"/>
      <c r="CH7" s="120"/>
      <c r="CI7" s="125"/>
      <c r="CJ7" s="114"/>
      <c r="CK7" s="60"/>
      <c r="CL7" s="68"/>
      <c r="CM7" s="73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73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73"/>
      <c r="DL7" s="120"/>
      <c r="DM7" s="14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2"/>
      <c r="IN7" s="363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0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425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72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72"/>
      <c r="BD8" s="119"/>
      <c r="BE8" s="124"/>
      <c r="BF8" s="113">
        <v>22.81</v>
      </c>
      <c r="BG8" s="41">
        <v>8.43</v>
      </c>
      <c r="BH8" s="67"/>
      <c r="BI8" s="72"/>
      <c r="BJ8" s="119"/>
      <c r="BK8" s="124"/>
      <c r="BL8" s="113">
        <v>42.34</v>
      </c>
      <c r="BM8" s="87">
        <v>76.819999999999993</v>
      </c>
      <c r="BN8" s="67">
        <v>34.104999999999997</v>
      </c>
      <c r="BO8" s="72"/>
      <c r="BP8" s="119"/>
      <c r="BQ8" s="124"/>
      <c r="BR8" s="113">
        <v>49.48</v>
      </c>
      <c r="BS8" s="41">
        <v>375.55</v>
      </c>
      <c r="BT8" s="67">
        <v>8.51</v>
      </c>
      <c r="BU8" s="72"/>
      <c r="BV8" s="119"/>
      <c r="BW8" s="124"/>
      <c r="BX8" s="113">
        <v>0</v>
      </c>
      <c r="BY8" s="41">
        <v>662.91</v>
      </c>
      <c r="BZ8" s="67">
        <v>0</v>
      </c>
      <c r="CA8" s="72"/>
      <c r="CB8" s="119"/>
      <c r="CC8" s="124">
        <f>16.27-8.73</f>
        <v>7.54</v>
      </c>
      <c r="CD8" s="152"/>
      <c r="CE8" s="41">
        <v>365.38</v>
      </c>
      <c r="CF8" s="67">
        <v>0</v>
      </c>
      <c r="CG8" s="72"/>
      <c r="CH8" s="119"/>
      <c r="CI8" s="124"/>
      <c r="CJ8" s="113">
        <v>0</v>
      </c>
      <c r="CK8" s="41">
        <v>325.45999999999998</v>
      </c>
      <c r="CL8" s="67">
        <v>0</v>
      </c>
      <c r="CM8" s="72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72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72"/>
      <c r="DL8" s="119"/>
      <c r="DM8" s="148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0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425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72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72"/>
      <c r="BD9" s="119"/>
      <c r="BE9" s="124"/>
      <c r="BF9" s="113"/>
      <c r="BG9" s="41"/>
      <c r="BH9" s="67"/>
      <c r="BI9" s="72"/>
      <c r="BJ9" s="119"/>
      <c r="BK9" s="124"/>
      <c r="BL9" s="113"/>
      <c r="BM9" s="87"/>
      <c r="BN9" s="67"/>
      <c r="BO9" s="72"/>
      <c r="BP9" s="119"/>
      <c r="BQ9" s="124"/>
      <c r="BR9" s="113"/>
      <c r="BS9" s="41"/>
      <c r="BT9" s="67"/>
      <c r="BU9" s="72"/>
      <c r="BV9" s="119"/>
      <c r="BW9" s="124"/>
      <c r="BX9" s="113"/>
      <c r="BY9" s="41"/>
      <c r="BZ9" s="67"/>
      <c r="CA9" s="72"/>
      <c r="CB9" s="119"/>
      <c r="CC9" s="124"/>
      <c r="CD9" s="152"/>
      <c r="CE9" s="41"/>
      <c r="CF9" s="67"/>
      <c r="CG9" s="72"/>
      <c r="CH9" s="119"/>
      <c r="CI9" s="124"/>
      <c r="CJ9" s="113"/>
      <c r="CK9" s="41"/>
      <c r="CL9" s="67"/>
      <c r="CM9" s="72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72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72"/>
      <c r="DL9" s="119"/>
      <c r="DM9" s="148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0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425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72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72"/>
      <c r="BD10" s="119"/>
      <c r="BE10" s="124"/>
      <c r="BF10" s="113"/>
      <c r="BG10" s="41"/>
      <c r="BH10" s="67"/>
      <c r="BI10" s="72"/>
      <c r="BJ10" s="119"/>
      <c r="BK10" s="124"/>
      <c r="BL10" s="113"/>
      <c r="BM10" s="87"/>
      <c r="BN10" s="67"/>
      <c r="BO10" s="72"/>
      <c r="BP10" s="119"/>
      <c r="BQ10" s="124"/>
      <c r="BR10" s="113"/>
      <c r="BS10" s="41"/>
      <c r="BT10" s="67"/>
      <c r="BU10" s="72"/>
      <c r="BV10" s="119"/>
      <c r="BW10" s="124"/>
      <c r="BX10" s="113"/>
      <c r="BY10" s="41"/>
      <c r="BZ10" s="67"/>
      <c r="CA10" s="72"/>
      <c r="CB10" s="119"/>
      <c r="CC10" s="124"/>
      <c r="CD10" s="152"/>
      <c r="CE10" s="41"/>
      <c r="CF10" s="67"/>
      <c r="CG10" s="72"/>
      <c r="CH10" s="119"/>
      <c r="CI10" s="124"/>
      <c r="CJ10" s="113"/>
      <c r="CK10" s="41"/>
      <c r="CL10" s="67"/>
      <c r="CM10" s="72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72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72"/>
      <c r="DL10" s="119"/>
      <c r="DM10" s="148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0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425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72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72"/>
      <c r="BD11" s="119"/>
      <c r="BE11" s="124"/>
      <c r="BF11" s="113"/>
      <c r="BG11" s="41"/>
      <c r="BH11" s="67"/>
      <c r="BI11" s="72"/>
      <c r="BJ11" s="119"/>
      <c r="BK11" s="124"/>
      <c r="BL11" s="113"/>
      <c r="BM11" s="87"/>
      <c r="BN11" s="67"/>
      <c r="BO11" s="72"/>
      <c r="BP11" s="119"/>
      <c r="BQ11" s="124"/>
      <c r="BR11" s="113"/>
      <c r="BS11" s="41"/>
      <c r="BT11" s="67"/>
      <c r="BU11" s="72"/>
      <c r="BV11" s="119"/>
      <c r="BW11" s="124"/>
      <c r="BX11" s="113"/>
      <c r="BY11" s="41"/>
      <c r="BZ11" s="67"/>
      <c r="CA11" s="72"/>
      <c r="CB11" s="119"/>
      <c r="CC11" s="124"/>
      <c r="CD11" s="152"/>
      <c r="CE11" s="41"/>
      <c r="CF11" s="67"/>
      <c r="CG11" s="72"/>
      <c r="CH11" s="119"/>
      <c r="CI11" s="124"/>
      <c r="CJ11" s="113"/>
      <c r="CK11" s="41"/>
      <c r="CL11" s="67"/>
      <c r="CM11" s="72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72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72"/>
      <c r="DL11" s="119"/>
      <c r="DM11" s="148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0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425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72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72"/>
      <c r="BD12" s="119"/>
      <c r="BE12" s="124"/>
      <c r="BF12" s="113"/>
      <c r="BG12" s="41"/>
      <c r="BH12" s="67"/>
      <c r="BI12" s="72"/>
      <c r="BJ12" s="119"/>
      <c r="BK12" s="124"/>
      <c r="BL12" s="113"/>
      <c r="BM12" s="87"/>
      <c r="BN12" s="67"/>
      <c r="BO12" s="72"/>
      <c r="BP12" s="119"/>
      <c r="BQ12" s="124"/>
      <c r="BR12" s="113"/>
      <c r="BS12" s="41"/>
      <c r="BT12" s="67"/>
      <c r="BU12" s="72"/>
      <c r="BV12" s="119"/>
      <c r="BW12" s="124"/>
      <c r="BX12" s="113"/>
      <c r="BY12" s="41"/>
      <c r="BZ12" s="67"/>
      <c r="CA12" s="72"/>
      <c r="CB12" s="119"/>
      <c r="CC12" s="124"/>
      <c r="CD12" s="152"/>
      <c r="CE12" s="41"/>
      <c r="CF12" s="67"/>
      <c r="CG12" s="72"/>
      <c r="CH12" s="119"/>
      <c r="CI12" s="124"/>
      <c r="CJ12" s="113"/>
      <c r="CK12" s="41"/>
      <c r="CL12" s="67"/>
      <c r="CM12" s="72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72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72"/>
      <c r="DL12" s="119"/>
      <c r="DM12" s="148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0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425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72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72"/>
      <c r="BD13" s="119"/>
      <c r="BE13" s="124"/>
      <c r="BF13" s="113"/>
      <c r="BG13" s="41"/>
      <c r="BH13" s="67"/>
      <c r="BI13" s="72"/>
      <c r="BJ13" s="119"/>
      <c r="BK13" s="124"/>
      <c r="BL13" s="113"/>
      <c r="BM13" s="87"/>
      <c r="BN13" s="67"/>
      <c r="BO13" s="72"/>
      <c r="BP13" s="119"/>
      <c r="BQ13" s="124"/>
      <c r="BR13" s="113"/>
      <c r="BS13" s="41"/>
      <c r="BT13" s="67"/>
      <c r="BU13" s="72"/>
      <c r="BV13" s="119"/>
      <c r="BW13" s="124"/>
      <c r="BX13" s="113"/>
      <c r="BY13" s="41"/>
      <c r="BZ13" s="67"/>
      <c r="CA13" s="72"/>
      <c r="CB13" s="119"/>
      <c r="CC13" s="124"/>
      <c r="CD13" s="152"/>
      <c r="CE13" s="41"/>
      <c r="CF13" s="67"/>
      <c r="CG13" s="72"/>
      <c r="CH13" s="119"/>
      <c r="CI13" s="124"/>
      <c r="CJ13" s="113"/>
      <c r="CK13" s="41"/>
      <c r="CL13" s="67"/>
      <c r="CM13" s="72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72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72"/>
      <c r="DL13" s="119"/>
      <c r="DM13" s="148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0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425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72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72"/>
      <c r="BD14" s="119"/>
      <c r="BE14" s="124"/>
      <c r="BF14" s="113"/>
      <c r="BG14" s="41">
        <v>-8.43</v>
      </c>
      <c r="BH14" s="67"/>
      <c r="BI14" s="72"/>
      <c r="BJ14" s="119"/>
      <c r="BK14" s="124"/>
      <c r="BL14" s="113"/>
      <c r="BM14" s="87">
        <v>-8.77</v>
      </c>
      <c r="BN14" s="67"/>
      <c r="BO14" s="72"/>
      <c r="BP14" s="119"/>
      <c r="BQ14" s="124"/>
      <c r="BR14" s="113"/>
      <c r="BS14" s="41"/>
      <c r="BT14" s="67">
        <v>-8.27</v>
      </c>
      <c r="BU14" s="72"/>
      <c r="BV14" s="119"/>
      <c r="BW14" s="124"/>
      <c r="BX14" s="113"/>
      <c r="BY14" s="41"/>
      <c r="BZ14" s="67"/>
      <c r="CA14" s="72"/>
      <c r="CB14" s="119"/>
      <c r="CC14" s="124"/>
      <c r="CD14" s="152"/>
      <c r="CE14" s="41"/>
      <c r="CF14" s="67"/>
      <c r="CG14" s="72"/>
      <c r="CH14" s="119"/>
      <c r="CI14" s="124"/>
      <c r="CJ14" s="113"/>
      <c r="CK14" s="41"/>
      <c r="CL14" s="67"/>
      <c r="CM14" s="72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72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72"/>
      <c r="DL14" s="119"/>
      <c r="DM14" s="148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0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425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72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72"/>
      <c r="BD15" s="119"/>
      <c r="BE15" s="124"/>
      <c r="BF15" s="113"/>
      <c r="BG15" s="41"/>
      <c r="BH15" s="67">
        <v>1010.05</v>
      </c>
      <c r="BI15" s="72"/>
      <c r="BJ15" s="119"/>
      <c r="BK15" s="124"/>
      <c r="BL15" s="113"/>
      <c r="BM15" s="87"/>
      <c r="BN15" s="67">
        <v>1004.44</v>
      </c>
      <c r="BO15" s="72"/>
      <c r="BP15" s="119"/>
      <c r="BQ15" s="124"/>
      <c r="BR15" s="113"/>
      <c r="BS15" s="41"/>
      <c r="BT15" s="67">
        <v>499.99</v>
      </c>
      <c r="BU15" s="72"/>
      <c r="BV15" s="119"/>
      <c r="BW15" s="124"/>
      <c r="BX15" s="113"/>
      <c r="BY15" s="41"/>
      <c r="BZ15" s="67">
        <v>503.08</v>
      </c>
      <c r="CA15" s="72"/>
      <c r="CB15" s="119"/>
      <c r="CC15" s="124"/>
      <c r="CD15" s="152"/>
      <c r="CE15" s="41"/>
      <c r="CF15" s="67">
        <v>509.55</v>
      </c>
      <c r="CG15" s="72"/>
      <c r="CH15" s="119"/>
      <c r="CI15" s="124"/>
      <c r="CJ15" s="113"/>
      <c r="CK15" s="41"/>
      <c r="CL15" s="67">
        <v>504.61</v>
      </c>
      <c r="CM15" s="72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72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72"/>
      <c r="DL15" s="119"/>
      <c r="DM15" s="148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0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425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72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72"/>
      <c r="BD16" s="119"/>
      <c r="BE16" s="124"/>
      <c r="BF16" s="113"/>
      <c r="BG16" s="41"/>
      <c r="BH16" s="67">
        <v>-102.30500000000001</v>
      </c>
      <c r="BI16" s="72"/>
      <c r="BJ16" s="119"/>
      <c r="BK16" s="124"/>
      <c r="BL16" s="113"/>
      <c r="BM16" s="87">
        <v>-58.45</v>
      </c>
      <c r="BN16" s="67">
        <v>-34</v>
      </c>
      <c r="BO16" s="72"/>
      <c r="BP16" s="119"/>
      <c r="BQ16" s="124"/>
      <c r="BR16" s="113"/>
      <c r="BS16" s="41"/>
      <c r="BT16" s="67"/>
      <c r="BU16" s="72"/>
      <c r="BV16" s="119"/>
      <c r="BW16" s="124"/>
      <c r="BX16" s="113"/>
      <c r="BY16" s="41"/>
      <c r="BZ16" s="67"/>
      <c r="CA16" s="72"/>
      <c r="CB16" s="119"/>
      <c r="CC16" s="124"/>
      <c r="CD16" s="152"/>
      <c r="CE16" s="41"/>
      <c r="CF16" s="67"/>
      <c r="CG16" s="72"/>
      <c r="CH16" s="119"/>
      <c r="CI16" s="124"/>
      <c r="CJ16" s="113"/>
      <c r="CK16" s="41"/>
      <c r="CL16" s="67"/>
      <c r="CM16" s="72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72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72"/>
      <c r="DL16" s="119"/>
      <c r="DM16" s="148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0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425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72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72"/>
      <c r="BD17" s="119"/>
      <c r="BE17" s="124"/>
      <c r="BF17" s="113"/>
      <c r="BG17" s="41"/>
      <c r="BH17" s="67"/>
      <c r="BI17" s="72"/>
      <c r="BJ17" s="119"/>
      <c r="BK17" s="124"/>
      <c r="BL17" s="113"/>
      <c r="BM17" s="87"/>
      <c r="BN17" s="67"/>
      <c r="BO17" s="72"/>
      <c r="BP17" s="119"/>
      <c r="BQ17" s="124"/>
      <c r="BR17" s="113"/>
      <c r="BS17" s="41"/>
      <c r="BT17" s="67"/>
      <c r="BU17" s="72"/>
      <c r="BV17" s="119"/>
      <c r="BW17" s="124"/>
      <c r="BX17" s="113"/>
      <c r="BY17" s="41"/>
      <c r="BZ17" s="67"/>
      <c r="CA17" s="72"/>
      <c r="CB17" s="119"/>
      <c r="CC17" s="124"/>
      <c r="CD17" s="152"/>
      <c r="CE17" s="41"/>
      <c r="CF17" s="67"/>
      <c r="CG17" s="72"/>
      <c r="CH17" s="119"/>
      <c r="CI17" s="124"/>
      <c r="CJ17" s="113"/>
      <c r="CK17" s="41"/>
      <c r="CL17" s="67"/>
      <c r="CM17" s="72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72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72"/>
      <c r="DL17" s="119"/>
      <c r="DM17" s="148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0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425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72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72"/>
      <c r="BD18" s="119"/>
      <c r="BE18" s="124"/>
      <c r="BF18" s="113"/>
      <c r="BG18" s="41"/>
      <c r="BH18" s="67"/>
      <c r="BI18" s="72"/>
      <c r="BJ18" s="119"/>
      <c r="BK18" s="124"/>
      <c r="BL18" s="113"/>
      <c r="BM18" s="87"/>
      <c r="BN18" s="67"/>
      <c r="BO18" s="72"/>
      <c r="BP18" s="119"/>
      <c r="BQ18" s="124"/>
      <c r="BR18" s="113">
        <v>-8.1999999999999993</v>
      </c>
      <c r="BS18" s="41"/>
      <c r="BT18" s="67"/>
      <c r="BU18" s="72"/>
      <c r="BV18" s="119"/>
      <c r="BW18" s="124"/>
      <c r="BX18" s="113"/>
      <c r="BY18" s="41"/>
      <c r="BZ18" s="67"/>
      <c r="CA18" s="72"/>
      <c r="CB18" s="119"/>
      <c r="CC18" s="124"/>
      <c r="CD18" s="152"/>
      <c r="CE18" s="41"/>
      <c r="CF18" s="67"/>
      <c r="CG18" s="72"/>
      <c r="CH18" s="119"/>
      <c r="CI18" s="124"/>
      <c r="CJ18" s="113"/>
      <c r="CK18" s="41"/>
      <c r="CL18" s="67"/>
      <c r="CM18" s="72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72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72"/>
      <c r="DL18" s="119"/>
      <c r="DM18" s="148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0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425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72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72"/>
      <c r="BD19" s="119"/>
      <c r="BE19" s="124"/>
      <c r="BF19" s="113"/>
      <c r="BG19" s="41"/>
      <c r="BH19" s="67">
        <v>-8.5950000000000006</v>
      </c>
      <c r="BI19" s="72"/>
      <c r="BJ19" s="119"/>
      <c r="BK19" s="124"/>
      <c r="BL19" s="113"/>
      <c r="BM19" s="87"/>
      <c r="BN19" s="67"/>
      <c r="BO19" s="72"/>
      <c r="BP19" s="119"/>
      <c r="BQ19" s="124"/>
      <c r="BR19" s="113"/>
      <c r="BS19" s="41"/>
      <c r="BT19" s="67">
        <v>-8.3450000000000006</v>
      </c>
      <c r="BU19" s="72"/>
      <c r="BV19" s="119"/>
      <c r="BW19" s="124"/>
      <c r="BX19" s="113"/>
      <c r="BY19" s="41"/>
      <c r="BZ19" s="67"/>
      <c r="CA19" s="72"/>
      <c r="CB19" s="119"/>
      <c r="CC19" s="124"/>
      <c r="CD19" s="152"/>
      <c r="CE19" s="41"/>
      <c r="CF19" s="67"/>
      <c r="CG19" s="72"/>
      <c r="CH19" s="119"/>
      <c r="CI19" s="124"/>
      <c r="CJ19" s="113"/>
      <c r="CK19" s="41"/>
      <c r="CL19" s="67"/>
      <c r="CM19" s="72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72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72"/>
      <c r="DL19" s="119"/>
      <c r="DM19" s="148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0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425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72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72"/>
      <c r="BD20" s="119"/>
      <c r="BE20" s="124"/>
      <c r="BF20" s="113"/>
      <c r="BG20" s="41"/>
      <c r="BH20" s="67"/>
      <c r="BI20" s="72"/>
      <c r="BJ20" s="119"/>
      <c r="BK20" s="124"/>
      <c r="BL20" s="113"/>
      <c r="BM20" s="87"/>
      <c r="BN20" s="67"/>
      <c r="BO20" s="72"/>
      <c r="BP20" s="119"/>
      <c r="BQ20" s="124"/>
      <c r="BR20" s="113"/>
      <c r="BS20" s="41"/>
      <c r="BT20" s="67"/>
      <c r="BU20" s="72"/>
      <c r="BV20" s="119"/>
      <c r="BW20" s="124"/>
      <c r="BX20" s="113"/>
      <c r="BY20" s="41"/>
      <c r="BZ20" s="67"/>
      <c r="CA20" s="72"/>
      <c r="CB20" s="119"/>
      <c r="CC20" s="124"/>
      <c r="CD20" s="152"/>
      <c r="CE20" s="41"/>
      <c r="CF20" s="67"/>
      <c r="CG20" s="72"/>
      <c r="CH20" s="119"/>
      <c r="CI20" s="124"/>
      <c r="CJ20" s="113"/>
      <c r="CK20" s="41"/>
      <c r="CL20" s="67"/>
      <c r="CM20" s="72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72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72"/>
      <c r="DL20" s="119"/>
      <c r="DM20" s="148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0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425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72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72"/>
      <c r="BD21" s="119"/>
      <c r="BE21" s="124"/>
      <c r="BF21" s="113"/>
      <c r="BG21" s="41"/>
      <c r="BH21" s="67"/>
      <c r="BI21" s="72"/>
      <c r="BJ21" s="119"/>
      <c r="BK21" s="124"/>
      <c r="BL21" s="113"/>
      <c r="BM21" s="87"/>
      <c r="BN21" s="67"/>
      <c r="BO21" s="72"/>
      <c r="BP21" s="119"/>
      <c r="BQ21" s="124"/>
      <c r="BR21" s="113"/>
      <c r="BS21" s="41"/>
      <c r="BT21" s="67"/>
      <c r="BU21" s="72"/>
      <c r="BV21" s="119"/>
      <c r="BW21" s="124"/>
      <c r="BX21" s="113"/>
      <c r="BY21" s="41"/>
      <c r="BZ21" s="67"/>
      <c r="CA21" s="72"/>
      <c r="CB21" s="119"/>
      <c r="CC21" s="124"/>
      <c r="CD21" s="152"/>
      <c r="CE21" s="41"/>
      <c r="CF21" s="67"/>
      <c r="CG21" s="72"/>
      <c r="CH21" s="119"/>
      <c r="CI21" s="124"/>
      <c r="CJ21" s="113"/>
      <c r="CK21" s="41"/>
      <c r="CL21" s="67"/>
      <c r="CM21" s="72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72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72"/>
      <c r="DL21" s="119"/>
      <c r="DM21" s="148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0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425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72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72"/>
      <c r="BD22" s="119"/>
      <c r="BE22" s="124"/>
      <c r="BF22" s="113"/>
      <c r="BG22" s="41"/>
      <c r="BH22" s="67"/>
      <c r="BI22" s="72"/>
      <c r="BJ22" s="119"/>
      <c r="BK22" s="124"/>
      <c r="BL22" s="113"/>
      <c r="BM22" s="87"/>
      <c r="BN22" s="67"/>
      <c r="BO22" s="72"/>
      <c r="BP22" s="119"/>
      <c r="BQ22" s="124"/>
      <c r="BR22" s="113"/>
      <c r="BS22" s="41"/>
      <c r="BT22" s="67"/>
      <c r="BU22" s="72"/>
      <c r="BV22" s="119"/>
      <c r="BW22" s="124"/>
      <c r="BX22" s="113"/>
      <c r="BY22" s="41"/>
      <c r="BZ22" s="67">
        <v>-63.67</v>
      </c>
      <c r="CA22" s="72"/>
      <c r="CB22" s="119"/>
      <c r="CC22" s="124"/>
      <c r="CD22" s="152"/>
      <c r="CE22" s="41"/>
      <c r="CF22" s="67"/>
      <c r="CG22" s="72"/>
      <c r="CH22" s="119"/>
      <c r="CI22" s="124"/>
      <c r="CJ22" s="113"/>
      <c r="CK22" s="41"/>
      <c r="CL22" s="67"/>
      <c r="CM22" s="72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72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72"/>
      <c r="DL22" s="119"/>
      <c r="DM22" s="148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0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425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72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72"/>
      <c r="BD23" s="119"/>
      <c r="BE23" s="124"/>
      <c r="BF23" s="113"/>
      <c r="BG23" s="41"/>
      <c r="BH23" s="67">
        <v>-8.5850000000000009</v>
      </c>
      <c r="BI23" s="72"/>
      <c r="BJ23" s="119"/>
      <c r="BK23" s="124"/>
      <c r="BL23" s="113"/>
      <c r="BM23" s="87">
        <v>-8.7799999999999994</v>
      </c>
      <c r="BN23" s="67"/>
      <c r="BO23" s="72"/>
      <c r="BP23" s="119"/>
      <c r="BQ23" s="124"/>
      <c r="BR23" s="113"/>
      <c r="BS23" s="41"/>
      <c r="BT23" s="67">
        <v>-16.594999999999999</v>
      </c>
      <c r="BU23" s="72"/>
      <c r="BV23" s="119"/>
      <c r="BW23" s="124"/>
      <c r="BX23" s="113"/>
      <c r="BY23" s="41">
        <v>-8.59</v>
      </c>
      <c r="BZ23" s="67"/>
      <c r="CA23" s="72"/>
      <c r="CB23" s="119"/>
      <c r="CC23" s="124"/>
      <c r="CD23" s="152"/>
      <c r="CE23" s="41">
        <v>-8.75</v>
      </c>
      <c r="CF23" s="67"/>
      <c r="CG23" s="72"/>
      <c r="CH23" s="119"/>
      <c r="CI23" s="124"/>
      <c r="CJ23" s="113"/>
      <c r="CK23" s="41"/>
      <c r="CL23" s="67"/>
      <c r="CM23" s="72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72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72"/>
      <c r="DL23" s="119"/>
      <c r="DM23" s="148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0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425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72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72"/>
      <c r="BD24" s="119"/>
      <c r="BE24" s="124"/>
      <c r="BF24" s="113"/>
      <c r="BG24" s="41"/>
      <c r="BH24" s="67"/>
      <c r="BI24" s="72"/>
      <c r="BJ24" s="119"/>
      <c r="BK24" s="124"/>
      <c r="BL24" s="113"/>
      <c r="BM24" s="87"/>
      <c r="BN24" s="67">
        <v>-66.86</v>
      </c>
      <c r="BO24" s="72"/>
      <c r="BP24" s="119"/>
      <c r="BQ24" s="124"/>
      <c r="BR24" s="113"/>
      <c r="BS24" s="41"/>
      <c r="BT24" s="67">
        <v>-66.784999999999997</v>
      </c>
      <c r="BU24" s="72"/>
      <c r="BV24" s="119"/>
      <c r="BW24" s="124"/>
      <c r="BX24" s="113"/>
      <c r="BY24" s="41">
        <v>-69.13</v>
      </c>
      <c r="BZ24" s="67"/>
      <c r="CA24" s="72"/>
      <c r="CB24" s="119"/>
      <c r="CC24" s="124"/>
      <c r="CD24" s="152"/>
      <c r="CE24" s="41"/>
      <c r="CF24" s="67">
        <v>-34.005000000000003</v>
      </c>
      <c r="CG24" s="72"/>
      <c r="CH24" s="119"/>
      <c r="CI24" s="124"/>
      <c r="CJ24" s="113"/>
      <c r="CK24" s="41"/>
      <c r="CL24" s="67">
        <v>-33.479999999999997</v>
      </c>
      <c r="CM24" s="72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72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72"/>
      <c r="DL24" s="119"/>
      <c r="DM24" s="148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0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425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72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72"/>
      <c r="BD25" s="119"/>
      <c r="BE25" s="124"/>
      <c r="BF25" s="113"/>
      <c r="BG25" s="41"/>
      <c r="BH25" s="67">
        <v>-33.604999999999997</v>
      </c>
      <c r="BI25" s="72"/>
      <c r="BJ25" s="119"/>
      <c r="BK25" s="124"/>
      <c r="BL25" s="113"/>
      <c r="BM25" s="87"/>
      <c r="BN25" s="67">
        <v>-33.479999999999997</v>
      </c>
      <c r="BO25" s="72"/>
      <c r="BP25" s="119"/>
      <c r="BQ25" s="124"/>
      <c r="BR25" s="113"/>
      <c r="BS25" s="41">
        <v>-34.9</v>
      </c>
      <c r="BT25" s="67"/>
      <c r="BU25" s="72"/>
      <c r="BV25" s="119"/>
      <c r="BW25" s="124"/>
      <c r="BX25" s="113"/>
      <c r="BY25" s="41"/>
      <c r="BZ25" s="67">
        <v>-33.924999999999997</v>
      </c>
      <c r="CA25" s="72"/>
      <c r="CB25" s="119"/>
      <c r="CC25" s="124"/>
      <c r="CD25" s="152"/>
      <c r="CE25" s="41"/>
      <c r="CF25" s="67"/>
      <c r="CG25" s="72"/>
      <c r="CH25" s="119"/>
      <c r="CI25" s="124"/>
      <c r="CJ25" s="113"/>
      <c r="CK25" s="41"/>
      <c r="CL25" s="67">
        <v>-33.965000000000003</v>
      </c>
      <c r="CM25" s="72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72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72"/>
      <c r="DL25" s="119"/>
      <c r="DM25" s="148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0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425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72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72"/>
      <c r="BD26" s="119"/>
      <c r="BE26" s="124"/>
      <c r="BF26" s="113"/>
      <c r="BG26" s="41"/>
      <c r="BH26" s="67">
        <v>-33.47</v>
      </c>
      <c r="BI26" s="72"/>
      <c r="BJ26" s="119"/>
      <c r="BK26" s="124"/>
      <c r="BL26" s="113"/>
      <c r="BM26" s="87"/>
      <c r="BN26" s="67">
        <v>-33.54</v>
      </c>
      <c r="BO26" s="72"/>
      <c r="BP26" s="119"/>
      <c r="BQ26" s="124"/>
      <c r="BR26" s="113"/>
      <c r="BS26" s="41"/>
      <c r="BT26" s="67"/>
      <c r="BU26" s="72"/>
      <c r="BV26" s="119"/>
      <c r="BW26" s="124"/>
      <c r="BX26" s="113"/>
      <c r="BY26" s="41">
        <v>-35.54</v>
      </c>
      <c r="BZ26" s="67"/>
      <c r="CA26" s="72"/>
      <c r="CB26" s="119"/>
      <c r="CC26" s="124"/>
      <c r="CD26" s="152"/>
      <c r="CE26" s="41"/>
      <c r="CF26" s="67"/>
      <c r="CG26" s="72"/>
      <c r="CH26" s="119"/>
      <c r="CI26" s="124"/>
      <c r="CJ26" s="113"/>
      <c r="CK26" s="41"/>
      <c r="CL26" s="67"/>
      <c r="CM26" s="72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72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72"/>
      <c r="DL26" s="119"/>
      <c r="DM26" s="148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0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425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72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72"/>
      <c r="BD27" s="119"/>
      <c r="BE27" s="124"/>
      <c r="BF27" s="113"/>
      <c r="BG27" s="41"/>
      <c r="BH27" s="67">
        <v>-17.184999999999999</v>
      </c>
      <c r="BI27" s="72"/>
      <c r="BJ27" s="119"/>
      <c r="BK27" s="124"/>
      <c r="BL27" s="113"/>
      <c r="BM27" s="87"/>
      <c r="BN27" s="67"/>
      <c r="BO27" s="72"/>
      <c r="BP27" s="119"/>
      <c r="BQ27" s="124"/>
      <c r="BR27" s="113"/>
      <c r="BS27" s="41">
        <v>-8.34</v>
      </c>
      <c r="BT27" s="67"/>
      <c r="BU27" s="72"/>
      <c r="BV27" s="119"/>
      <c r="BW27" s="124"/>
      <c r="BX27" s="113"/>
      <c r="BY27" s="41"/>
      <c r="BZ27" s="67">
        <v>-8.48</v>
      </c>
      <c r="CA27" s="72"/>
      <c r="CB27" s="119"/>
      <c r="CC27" s="124"/>
      <c r="CD27" s="152"/>
      <c r="CE27" s="41"/>
      <c r="CF27" s="67"/>
      <c r="CG27" s="72"/>
      <c r="CH27" s="119"/>
      <c r="CI27" s="124"/>
      <c r="CJ27" s="113"/>
      <c r="CK27" s="41"/>
      <c r="CL27" s="67"/>
      <c r="CM27" s="72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72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72"/>
      <c r="DL27" s="119"/>
      <c r="DM27" s="148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0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425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72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72"/>
      <c r="BD28" s="119"/>
      <c r="BE28" s="124"/>
      <c r="BF28" s="113"/>
      <c r="BG28" s="41"/>
      <c r="BH28" s="67"/>
      <c r="BI28" s="72"/>
      <c r="BJ28" s="119"/>
      <c r="BK28" s="124"/>
      <c r="BL28" s="113"/>
      <c r="BM28" s="87"/>
      <c r="BN28" s="67"/>
      <c r="BO28" s="72"/>
      <c r="BP28" s="119"/>
      <c r="BQ28" s="124"/>
      <c r="BR28" s="113"/>
      <c r="BS28" s="41">
        <v>-70.02</v>
      </c>
      <c r="BT28" s="67"/>
      <c r="BU28" s="72"/>
      <c r="BV28" s="119"/>
      <c r="BW28" s="124"/>
      <c r="BX28" s="113"/>
      <c r="BY28" s="41">
        <v>-68.47</v>
      </c>
      <c r="BZ28" s="67"/>
      <c r="CA28" s="72"/>
      <c r="CB28" s="119"/>
      <c r="CC28" s="124"/>
      <c r="CD28" s="152"/>
      <c r="CE28" s="41">
        <v>-69.599999999999994</v>
      </c>
      <c r="CF28" s="67"/>
      <c r="CG28" s="72"/>
      <c r="CH28" s="119"/>
      <c r="CI28" s="124"/>
      <c r="CJ28" s="113"/>
      <c r="CK28" s="41">
        <v>-64.760000000000005</v>
      </c>
      <c r="CL28" s="67"/>
      <c r="CM28" s="72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72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72"/>
      <c r="DL28" s="119"/>
      <c r="DM28" s="148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0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425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72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72"/>
      <c r="BD29" s="119"/>
      <c r="BE29" s="124"/>
      <c r="BF29" s="113"/>
      <c r="BG29" s="41"/>
      <c r="BH29" s="67">
        <v>-99.47</v>
      </c>
      <c r="BI29" s="72"/>
      <c r="BJ29" s="119"/>
      <c r="BK29" s="124"/>
      <c r="BL29" s="113"/>
      <c r="BM29" s="87"/>
      <c r="BN29" s="67">
        <v>-234.44</v>
      </c>
      <c r="BO29" s="72"/>
      <c r="BP29" s="119"/>
      <c r="BQ29" s="124"/>
      <c r="BR29" s="113"/>
      <c r="BS29" s="41"/>
      <c r="BT29" s="67">
        <v>-100.005</v>
      </c>
      <c r="BU29" s="72"/>
      <c r="BV29" s="119"/>
      <c r="BW29" s="124"/>
      <c r="BX29" s="113"/>
      <c r="BY29" s="41"/>
      <c r="BZ29" s="67">
        <v>-101.495</v>
      </c>
      <c r="CA29" s="72"/>
      <c r="CB29" s="119"/>
      <c r="CC29" s="124"/>
      <c r="CD29" s="152"/>
      <c r="CE29" s="41"/>
      <c r="CF29" s="67">
        <v>-102.185</v>
      </c>
      <c r="CG29" s="72"/>
      <c r="CH29" s="119"/>
      <c r="CI29" s="124"/>
      <c r="CJ29" s="113"/>
      <c r="CK29" s="41"/>
      <c r="CL29" s="67">
        <v>-33.634999999999998</v>
      </c>
      <c r="CM29" s="72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72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72"/>
      <c r="DL29" s="119"/>
      <c r="DM29" s="148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0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425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72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72"/>
      <c r="BD30" s="119"/>
      <c r="BE30" s="124"/>
      <c r="BF30" s="113"/>
      <c r="BG30" s="41"/>
      <c r="BH30" s="67"/>
      <c r="BI30" s="72"/>
      <c r="BJ30" s="119"/>
      <c r="BK30" s="124"/>
      <c r="BL30" s="113"/>
      <c r="BM30" s="87"/>
      <c r="BN30" s="67"/>
      <c r="BO30" s="72"/>
      <c r="BP30" s="119"/>
      <c r="BQ30" s="124"/>
      <c r="BR30" s="113"/>
      <c r="BS30" s="41"/>
      <c r="BT30" s="67"/>
      <c r="BU30" s="72"/>
      <c r="BV30" s="119"/>
      <c r="BW30" s="124"/>
      <c r="BX30" s="113"/>
      <c r="BY30" s="41"/>
      <c r="BZ30" s="67"/>
      <c r="CA30" s="72"/>
      <c r="CB30" s="119"/>
      <c r="CC30" s="124"/>
      <c r="CD30" s="152"/>
      <c r="CE30" s="41"/>
      <c r="CF30" s="67"/>
      <c r="CG30" s="72"/>
      <c r="CH30" s="119"/>
      <c r="CI30" s="124"/>
      <c r="CJ30" s="113"/>
      <c r="CK30" s="41"/>
      <c r="CL30" s="67"/>
      <c r="CM30" s="72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72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72"/>
      <c r="DL30" s="119"/>
      <c r="DM30" s="148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0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425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72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72"/>
      <c r="BD31" s="119"/>
      <c r="BE31" s="124"/>
      <c r="BF31" s="113"/>
      <c r="BG31" s="41"/>
      <c r="BH31" s="67"/>
      <c r="BI31" s="72"/>
      <c r="BJ31" s="119"/>
      <c r="BK31" s="124"/>
      <c r="BL31" s="113">
        <v>-8.31</v>
      </c>
      <c r="BM31" s="87"/>
      <c r="BN31" s="67"/>
      <c r="BO31" s="72"/>
      <c r="BP31" s="119"/>
      <c r="BQ31" s="124"/>
      <c r="BR31" s="113"/>
      <c r="BS31" s="41"/>
      <c r="BT31" s="67"/>
      <c r="BU31" s="72"/>
      <c r="BV31" s="119"/>
      <c r="BW31" s="124"/>
      <c r="BX31" s="113"/>
      <c r="BY31" s="41"/>
      <c r="BZ31" s="67"/>
      <c r="CA31" s="72"/>
      <c r="CB31" s="119"/>
      <c r="CC31" s="124"/>
      <c r="CD31" s="152"/>
      <c r="CE31" s="41"/>
      <c r="CF31" s="67"/>
      <c r="CG31" s="72"/>
      <c r="CH31" s="119"/>
      <c r="CI31" s="124"/>
      <c r="CJ31" s="113"/>
      <c r="CK31" s="41"/>
      <c r="CL31" s="67"/>
      <c r="CM31" s="72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72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72"/>
      <c r="DL31" s="119"/>
      <c r="DM31" s="148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0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425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72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72"/>
      <c r="BD32" s="119"/>
      <c r="BE32" s="124"/>
      <c r="BF32" s="113"/>
      <c r="BG32" s="41"/>
      <c r="BH32" s="67"/>
      <c r="BI32" s="72"/>
      <c r="BJ32" s="119"/>
      <c r="BK32" s="124"/>
      <c r="BL32" s="113"/>
      <c r="BM32" s="87">
        <v>-8.7899999999999991</v>
      </c>
      <c r="BN32" s="67"/>
      <c r="BO32" s="72"/>
      <c r="BP32" s="119"/>
      <c r="BQ32" s="124"/>
      <c r="BR32" s="113"/>
      <c r="BS32" s="41"/>
      <c r="BT32" s="67">
        <v>-8.75</v>
      </c>
      <c r="BU32" s="72"/>
      <c r="BV32" s="119"/>
      <c r="BW32" s="124"/>
      <c r="BX32" s="113"/>
      <c r="BY32" s="41"/>
      <c r="BZ32" s="67"/>
      <c r="CA32" s="72"/>
      <c r="CB32" s="119"/>
      <c r="CC32" s="124"/>
      <c r="CD32" s="152"/>
      <c r="CE32" s="41"/>
      <c r="CF32" s="67"/>
      <c r="CG32" s="72"/>
      <c r="CH32" s="119"/>
      <c r="CI32" s="124"/>
      <c r="CJ32" s="113"/>
      <c r="CK32" s="41"/>
      <c r="CL32" s="67"/>
      <c r="CM32" s="72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72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72"/>
      <c r="DL32" s="119"/>
      <c r="DM32" s="148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0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425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72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72"/>
      <c r="BD33" s="119"/>
      <c r="BE33" s="124"/>
      <c r="BF33" s="113"/>
      <c r="BG33" s="41"/>
      <c r="BH33" s="67">
        <v>504.59500000000003</v>
      </c>
      <c r="BI33" s="72"/>
      <c r="BJ33" s="119"/>
      <c r="BK33" s="124"/>
      <c r="BL33" s="113"/>
      <c r="BM33" s="87"/>
      <c r="BN33" s="67">
        <v>499.01</v>
      </c>
      <c r="BO33" s="72"/>
      <c r="BP33" s="119"/>
      <c r="BQ33" s="124"/>
      <c r="BR33" s="113"/>
      <c r="BS33" s="41"/>
      <c r="BT33" s="67">
        <v>506.17</v>
      </c>
      <c r="BU33" s="72"/>
      <c r="BV33" s="119"/>
      <c r="BW33" s="124"/>
      <c r="BX33" s="113"/>
      <c r="BY33" s="41"/>
      <c r="BZ33" s="67"/>
      <c r="CA33" s="72"/>
      <c r="CB33" s="119"/>
      <c r="CC33" s="124"/>
      <c r="CD33" s="152"/>
      <c r="CE33" s="41"/>
      <c r="CF33" s="67">
        <v>506.935</v>
      </c>
      <c r="CG33" s="72"/>
      <c r="CH33" s="119"/>
      <c r="CI33" s="124"/>
      <c r="CJ33" s="113"/>
      <c r="CK33" s="41"/>
      <c r="CL33" s="67">
        <v>505.91500000000002</v>
      </c>
      <c r="CM33" s="72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72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72"/>
      <c r="DL33" s="119"/>
      <c r="DM33" s="148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0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425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72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72"/>
      <c r="BD34" s="119"/>
      <c r="BE34" s="124"/>
      <c r="BF34" s="113"/>
      <c r="BG34" s="41"/>
      <c r="BH34" s="67">
        <v>-32.704999999999998</v>
      </c>
      <c r="BI34" s="72"/>
      <c r="BJ34" s="119"/>
      <c r="BK34" s="124"/>
      <c r="BL34" s="113"/>
      <c r="BM34" s="87"/>
      <c r="BN34" s="67">
        <v>-33.340000000000003</v>
      </c>
      <c r="BO34" s="72"/>
      <c r="BP34" s="119"/>
      <c r="BQ34" s="124"/>
      <c r="BR34" s="113"/>
      <c r="BS34" s="41"/>
      <c r="BT34" s="67">
        <v>-33.375</v>
      </c>
      <c r="BU34" s="72"/>
      <c r="BV34" s="119"/>
      <c r="BW34" s="124"/>
      <c r="BX34" s="113"/>
      <c r="BY34" s="41"/>
      <c r="BZ34" s="67">
        <v>-33.744999999999997</v>
      </c>
      <c r="CA34" s="72"/>
      <c r="CB34" s="119"/>
      <c r="CC34" s="124"/>
      <c r="CD34" s="152"/>
      <c r="CE34" s="41"/>
      <c r="CF34" s="67"/>
      <c r="CG34" s="72"/>
      <c r="CH34" s="119"/>
      <c r="CI34" s="124"/>
      <c r="CJ34" s="113"/>
      <c r="CK34" s="41"/>
      <c r="CL34" s="67"/>
      <c r="CM34" s="72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72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72"/>
      <c r="DL34" s="119"/>
      <c r="DM34" s="148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0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425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72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72"/>
      <c r="BD35" s="119"/>
      <c r="BE35" s="124"/>
      <c r="BF35" s="113"/>
      <c r="BG35" s="41"/>
      <c r="BH35" s="67">
        <v>-33.695</v>
      </c>
      <c r="BI35" s="72"/>
      <c r="BJ35" s="119"/>
      <c r="BK35" s="124"/>
      <c r="BL35" s="113"/>
      <c r="BM35" s="87"/>
      <c r="BN35" s="67"/>
      <c r="BO35" s="72"/>
      <c r="BP35" s="119"/>
      <c r="BQ35" s="124"/>
      <c r="BR35" s="113"/>
      <c r="BS35" s="41"/>
      <c r="BT35" s="67">
        <v>-33.284999999999997</v>
      </c>
      <c r="BU35" s="72"/>
      <c r="BV35" s="119"/>
      <c r="BW35" s="124"/>
      <c r="BX35" s="113"/>
      <c r="BY35" s="41"/>
      <c r="BZ35" s="67">
        <v>-33.74</v>
      </c>
      <c r="CA35" s="72"/>
      <c r="CB35" s="119"/>
      <c r="CC35" s="124"/>
      <c r="CD35" s="152"/>
      <c r="CE35" s="41"/>
      <c r="CF35" s="67">
        <v>-33.869999999999997</v>
      </c>
      <c r="CG35" s="72"/>
      <c r="CH35" s="119"/>
      <c r="CI35" s="124"/>
      <c r="CJ35" s="113"/>
      <c r="CK35" s="41"/>
      <c r="CL35" s="67"/>
      <c r="CM35" s="72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72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72"/>
      <c r="DL35" s="119"/>
      <c r="DM35" s="148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0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425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72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72"/>
      <c r="BD36" s="119"/>
      <c r="BE36" s="124"/>
      <c r="BF36" s="113"/>
      <c r="BG36" s="41"/>
      <c r="BH36" s="67">
        <v>-32.840000000000003</v>
      </c>
      <c r="BI36" s="72"/>
      <c r="BJ36" s="119"/>
      <c r="BK36" s="124"/>
      <c r="BL36" s="113"/>
      <c r="BM36" s="87"/>
      <c r="BN36" s="67"/>
      <c r="BO36" s="72"/>
      <c r="BP36" s="119"/>
      <c r="BQ36" s="124"/>
      <c r="BR36" s="113"/>
      <c r="BS36" s="41">
        <v>-34.57</v>
      </c>
      <c r="BT36" s="67"/>
      <c r="BU36" s="72"/>
      <c r="BV36" s="119"/>
      <c r="BW36" s="124"/>
      <c r="BX36" s="113"/>
      <c r="BY36" s="41">
        <v>-34.49</v>
      </c>
      <c r="BZ36" s="67"/>
      <c r="CA36" s="72"/>
      <c r="CB36" s="119"/>
      <c r="CC36" s="124"/>
      <c r="CD36" s="152"/>
      <c r="CE36" s="41"/>
      <c r="CF36" s="67"/>
      <c r="CG36" s="72"/>
      <c r="CH36" s="119"/>
      <c r="CI36" s="124"/>
      <c r="CJ36" s="113"/>
      <c r="CK36" s="41">
        <v>-14.58</v>
      </c>
      <c r="CL36" s="67"/>
      <c r="CM36" s="72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72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72"/>
      <c r="DL36" s="119"/>
      <c r="DM36" s="148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0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425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72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72"/>
      <c r="BD37" s="119"/>
      <c r="BE37" s="124"/>
      <c r="BF37" s="113"/>
      <c r="BG37" s="41"/>
      <c r="BH37" s="67"/>
      <c r="BI37" s="72"/>
      <c r="BJ37" s="119"/>
      <c r="BK37" s="124"/>
      <c r="BL37" s="113"/>
      <c r="BM37" s="87"/>
      <c r="BN37" s="67">
        <v>-33.25</v>
      </c>
      <c r="BO37" s="72"/>
      <c r="BP37" s="119"/>
      <c r="BQ37" s="124"/>
      <c r="BR37" s="113"/>
      <c r="BS37" s="41"/>
      <c r="BT37" s="67"/>
      <c r="BU37" s="72"/>
      <c r="BV37" s="119"/>
      <c r="BW37" s="124"/>
      <c r="BX37" s="113"/>
      <c r="BY37" s="41"/>
      <c r="BZ37" s="67"/>
      <c r="CA37" s="72"/>
      <c r="CB37" s="119"/>
      <c r="CC37" s="124"/>
      <c r="CD37" s="152"/>
      <c r="CE37" s="41"/>
      <c r="CF37" s="67"/>
      <c r="CG37" s="72"/>
      <c r="CH37" s="119"/>
      <c r="CI37" s="124"/>
      <c r="CJ37" s="113"/>
      <c r="CK37" s="41"/>
      <c r="CL37" s="67"/>
      <c r="CM37" s="72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72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72"/>
      <c r="DL37" s="119"/>
      <c r="DM37" s="148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0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425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72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72"/>
      <c r="BD38" s="119"/>
      <c r="BE38" s="124"/>
      <c r="BF38" s="113"/>
      <c r="BG38" s="41"/>
      <c r="BH38" s="67"/>
      <c r="BI38" s="72"/>
      <c r="BJ38" s="119"/>
      <c r="BK38" s="124"/>
      <c r="BL38" s="113"/>
      <c r="BM38" s="87"/>
      <c r="BN38" s="67"/>
      <c r="BO38" s="72"/>
      <c r="BP38" s="119"/>
      <c r="BQ38" s="124"/>
      <c r="BR38" s="113"/>
      <c r="BS38" s="41"/>
      <c r="BT38" s="67"/>
      <c r="BU38" s="72"/>
      <c r="BV38" s="119"/>
      <c r="BW38" s="124"/>
      <c r="BX38" s="113"/>
      <c r="BY38" s="41"/>
      <c r="BZ38" s="67"/>
      <c r="CA38" s="72"/>
      <c r="CB38" s="119"/>
      <c r="CC38" s="124"/>
      <c r="CD38" s="152"/>
      <c r="CE38" s="41"/>
      <c r="CF38" s="67"/>
      <c r="CG38" s="72"/>
      <c r="CH38" s="119"/>
      <c r="CI38" s="124"/>
      <c r="CJ38" s="113"/>
      <c r="CK38" s="41"/>
      <c r="CL38" s="67"/>
      <c r="CM38" s="72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72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72"/>
      <c r="DL38" s="119"/>
      <c r="DM38" s="148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0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425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72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72"/>
      <c r="BD39" s="119"/>
      <c r="BE39" s="124"/>
      <c r="BF39" s="113"/>
      <c r="BG39" s="41"/>
      <c r="BH39" s="67">
        <v>-33.68</v>
      </c>
      <c r="BI39" s="72"/>
      <c r="BJ39" s="119"/>
      <c r="BK39" s="124"/>
      <c r="BL39" s="113"/>
      <c r="BM39" s="87"/>
      <c r="BN39" s="67">
        <v>-33.31</v>
      </c>
      <c r="BO39" s="72"/>
      <c r="BP39" s="119"/>
      <c r="BQ39" s="124"/>
      <c r="BR39" s="113"/>
      <c r="BS39" s="41"/>
      <c r="BT39" s="67"/>
      <c r="BU39" s="72"/>
      <c r="BV39" s="119"/>
      <c r="BW39" s="124"/>
      <c r="BX39" s="113"/>
      <c r="BY39" s="41"/>
      <c r="BZ39" s="67"/>
      <c r="CA39" s="72"/>
      <c r="CB39" s="119"/>
      <c r="CC39" s="124"/>
      <c r="CD39" s="152"/>
      <c r="CE39" s="41"/>
      <c r="CF39" s="67"/>
      <c r="CG39" s="72"/>
      <c r="CH39" s="119"/>
      <c r="CI39" s="124"/>
      <c r="CJ39" s="113"/>
      <c r="CK39" s="41"/>
      <c r="CL39" s="67"/>
      <c r="CM39" s="72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72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72"/>
      <c r="DL39" s="119"/>
      <c r="DM39" s="148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0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425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72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72"/>
      <c r="BD40" s="119"/>
      <c r="BE40" s="124"/>
      <c r="BF40" s="113"/>
      <c r="BG40" s="41"/>
      <c r="BH40" s="67"/>
      <c r="BI40" s="72"/>
      <c r="BJ40" s="119"/>
      <c r="BK40" s="124"/>
      <c r="BL40" s="113"/>
      <c r="BM40" s="87"/>
      <c r="BN40" s="67"/>
      <c r="BO40" s="72"/>
      <c r="BP40" s="119"/>
      <c r="BQ40" s="124"/>
      <c r="BR40" s="113"/>
      <c r="BS40" s="41"/>
      <c r="BT40" s="67"/>
      <c r="BU40" s="72"/>
      <c r="BV40" s="119"/>
      <c r="BW40" s="124"/>
      <c r="BX40" s="113"/>
      <c r="BY40" s="41"/>
      <c r="BZ40" s="67"/>
      <c r="CA40" s="72"/>
      <c r="CB40" s="119"/>
      <c r="CC40" s="124"/>
      <c r="CD40" s="152"/>
      <c r="CE40" s="41"/>
      <c r="CF40" s="67"/>
      <c r="CG40" s="72"/>
      <c r="CH40" s="119"/>
      <c r="CI40" s="124"/>
      <c r="CJ40" s="113"/>
      <c r="CK40" s="41"/>
      <c r="CL40" s="67"/>
      <c r="CM40" s="72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72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72"/>
      <c r="DL40" s="119"/>
      <c r="DM40" s="148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0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425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72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72"/>
      <c r="BD41" s="119"/>
      <c r="BE41" s="124"/>
      <c r="BF41" s="113"/>
      <c r="BG41" s="41"/>
      <c r="BH41" s="67">
        <v>-33.585000000000001</v>
      </c>
      <c r="BI41" s="72"/>
      <c r="BJ41" s="119"/>
      <c r="BK41" s="124"/>
      <c r="BL41" s="113"/>
      <c r="BM41" s="87"/>
      <c r="BN41" s="67"/>
      <c r="BO41" s="72"/>
      <c r="BP41" s="119"/>
      <c r="BQ41" s="124"/>
      <c r="BR41" s="113"/>
      <c r="BS41" s="41"/>
      <c r="BT41" s="67">
        <v>-33.454999999999998</v>
      </c>
      <c r="BU41" s="72"/>
      <c r="BV41" s="119"/>
      <c r="BW41" s="124"/>
      <c r="BX41" s="113"/>
      <c r="BY41" s="41"/>
      <c r="BZ41" s="67"/>
      <c r="CA41" s="72"/>
      <c r="CB41" s="119"/>
      <c r="CC41" s="124"/>
      <c r="CD41" s="152"/>
      <c r="CE41" s="41"/>
      <c r="CF41" s="67"/>
      <c r="CG41" s="72"/>
      <c r="CH41" s="119"/>
      <c r="CI41" s="124"/>
      <c r="CJ41" s="113"/>
      <c r="CK41" s="41"/>
      <c r="CL41" s="67"/>
      <c r="CM41" s="72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72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72"/>
      <c r="DL41" s="119"/>
      <c r="DM41" s="148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0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425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72"/>
      <c r="BD42" s="119"/>
      <c r="BE42" s="124"/>
      <c r="BF42" s="113"/>
      <c r="BG42" s="41"/>
      <c r="BH42" s="67"/>
      <c r="BI42" s="72"/>
      <c r="BJ42" s="119"/>
      <c r="BK42" s="124"/>
      <c r="BL42" s="113"/>
      <c r="BM42" s="87"/>
      <c r="BN42" s="67">
        <v>-33.28</v>
      </c>
      <c r="BO42" s="72"/>
      <c r="BP42" s="119"/>
      <c r="BQ42" s="124"/>
      <c r="BR42" s="113"/>
      <c r="BS42" s="41">
        <v>-70.09</v>
      </c>
      <c r="BT42" s="67"/>
      <c r="BU42" s="72"/>
      <c r="BV42" s="119"/>
      <c r="BW42" s="124"/>
      <c r="BX42" s="113"/>
      <c r="BY42" s="41"/>
      <c r="BZ42" s="67">
        <v>-67.36</v>
      </c>
      <c r="CA42" s="72"/>
      <c r="CB42" s="119"/>
      <c r="CC42" s="124"/>
      <c r="CD42" s="152"/>
      <c r="CE42" s="41"/>
      <c r="CF42" s="67">
        <v>-101.49</v>
      </c>
      <c r="CG42" s="72"/>
      <c r="CH42" s="119"/>
      <c r="CI42" s="124"/>
      <c r="CJ42" s="113"/>
      <c r="CK42" s="41"/>
      <c r="CL42" s="67">
        <v>-33.56</v>
      </c>
      <c r="CM42" s="72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72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72"/>
      <c r="DL42" s="119"/>
      <c r="DM42" s="148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0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425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72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72"/>
      <c r="BD43" s="119"/>
      <c r="BE43" s="124"/>
      <c r="BF43" s="113"/>
      <c r="BG43" s="41"/>
      <c r="BH43" s="67"/>
      <c r="BI43" s="72"/>
      <c r="BJ43" s="119"/>
      <c r="BK43" s="124"/>
      <c r="BL43" s="113"/>
      <c r="BM43" s="87"/>
      <c r="BN43" s="67"/>
      <c r="BO43" s="72"/>
      <c r="BP43" s="119"/>
      <c r="BQ43" s="124"/>
      <c r="BR43" s="113"/>
      <c r="BS43" s="41"/>
      <c r="BT43" s="67"/>
      <c r="BU43" s="72"/>
      <c r="BV43" s="119"/>
      <c r="BW43" s="124"/>
      <c r="BX43" s="113"/>
      <c r="BY43" s="41"/>
      <c r="BZ43" s="67"/>
      <c r="CA43" s="72"/>
      <c r="CB43" s="119"/>
      <c r="CC43" s="124"/>
      <c r="CD43" s="152"/>
      <c r="CE43" s="41"/>
      <c r="CF43" s="67"/>
      <c r="CG43" s="72"/>
      <c r="CH43" s="119"/>
      <c r="CI43" s="124"/>
      <c r="CJ43" s="113"/>
      <c r="CK43" s="41"/>
      <c r="CL43" s="67"/>
      <c r="CM43" s="72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72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72"/>
      <c r="DL43" s="119"/>
      <c r="DM43" s="148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4"/>
      <c r="IN43" s="365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0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425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72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72"/>
      <c r="BD44" s="119"/>
      <c r="BE44" s="124"/>
      <c r="BF44" s="113"/>
      <c r="BG44" s="41"/>
      <c r="BH44" s="67"/>
      <c r="BI44" s="72"/>
      <c r="BJ44" s="119"/>
      <c r="BK44" s="124"/>
      <c r="BL44" s="113"/>
      <c r="BM44" s="87"/>
      <c r="BN44" s="67"/>
      <c r="BO44" s="72"/>
      <c r="BP44" s="119"/>
      <c r="BQ44" s="124"/>
      <c r="BR44" s="113"/>
      <c r="BS44" s="41"/>
      <c r="BT44" s="67">
        <v>-100.63</v>
      </c>
      <c r="BU44" s="72"/>
      <c r="BV44" s="119"/>
      <c r="BW44" s="124"/>
      <c r="BX44" s="113"/>
      <c r="BY44" s="41"/>
      <c r="BZ44" s="67"/>
      <c r="CA44" s="72"/>
      <c r="CB44" s="119"/>
      <c r="CC44" s="124"/>
      <c r="CD44" s="152"/>
      <c r="CE44" s="41"/>
      <c r="CF44" s="67"/>
      <c r="CG44" s="72"/>
      <c r="CH44" s="119"/>
      <c r="CI44" s="124"/>
      <c r="CJ44" s="113"/>
      <c r="CK44" s="41"/>
      <c r="CL44" s="67"/>
      <c r="CM44" s="72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72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72"/>
      <c r="DL44" s="119"/>
      <c r="DM44" s="148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4"/>
      <c r="IN44" s="365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0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0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0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0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0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0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0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0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0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0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0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0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0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0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0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0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0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0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0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0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0"/>
        <v>-838.375</v>
      </c>
      <c r="L65" s="69">
        <v>-8.44</v>
      </c>
      <c r="O65" s="428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0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0"/>
        <v>0</v>
      </c>
    </row>
    <row r="68" spans="1:241" x14ac:dyDescent="0.25">
      <c r="A68" s="127">
        <v>44342</v>
      </c>
      <c r="B68" s="23" t="s">
        <v>18</v>
      </c>
      <c r="C68" s="21">
        <f t="shared" si="0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0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0"/>
        <v>0</v>
      </c>
    </row>
    <row r="71" spans="1:241" x14ac:dyDescent="0.25">
      <c r="A71" s="127">
        <v>44343</v>
      </c>
      <c r="B71" s="29" t="s">
        <v>45</v>
      </c>
      <c r="C71" s="21">
        <f t="shared" si="0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1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1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1"/>
        <v>-49.85</v>
      </c>
      <c r="DM74" s="150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1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1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1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1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1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1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1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1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1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1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1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1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1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1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1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1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1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1"/>
        <v>0</v>
      </c>
    </row>
    <row r="93" spans="1:241" x14ac:dyDescent="0.25">
      <c r="A93" s="127">
        <v>44347</v>
      </c>
      <c r="B93" s="23" t="s">
        <v>14</v>
      </c>
      <c r="C93" s="21">
        <f t="shared" si="1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1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1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1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1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1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1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1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1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1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1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1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1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1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1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1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1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1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1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1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1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1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1"/>
        <v>-1223.2750000000001</v>
      </c>
      <c r="O115" s="428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1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1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1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1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1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1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1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1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1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1"/>
        <v>-1863.65</v>
      </c>
      <c r="O125" s="428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1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1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1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1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1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1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1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1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1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1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2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2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2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2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2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2"/>
        <v>0</v>
      </c>
    </row>
    <row r="142" spans="1:234" x14ac:dyDescent="0.25">
      <c r="A142" s="127">
        <v>44363</v>
      </c>
      <c r="B142" s="23" t="s">
        <v>57</v>
      </c>
      <c r="C142" s="21">
        <f t="shared" si="2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2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2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2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2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2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2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2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2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2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2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2"/>
        <v>0</v>
      </c>
    </row>
    <row r="154" spans="1:241" x14ac:dyDescent="0.25">
      <c r="A154" s="127">
        <v>44364</v>
      </c>
      <c r="B154" s="23" t="s">
        <v>2</v>
      </c>
      <c r="C154" s="21">
        <f t="shared" si="2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2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2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2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2"/>
        <v>0</v>
      </c>
    </row>
    <row r="159" spans="1:241" x14ac:dyDescent="0.25">
      <c r="A159" s="127">
        <v>44368</v>
      </c>
      <c r="B159" s="23" t="s">
        <v>12</v>
      </c>
      <c r="C159" s="21">
        <f t="shared" si="2"/>
        <v>0</v>
      </c>
    </row>
    <row r="160" spans="1:241" x14ac:dyDescent="0.25">
      <c r="A160" s="127">
        <v>44369</v>
      </c>
      <c r="B160" s="23" t="s">
        <v>65</v>
      </c>
      <c r="C160" s="21">
        <f t="shared" si="2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2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2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2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2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2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2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2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2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2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2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2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2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2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2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2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2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2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2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2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2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2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2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2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2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2"/>
        <v>0</v>
      </c>
    </row>
    <row r="186" spans="1:238" x14ac:dyDescent="0.25">
      <c r="A186" s="127">
        <v>44371</v>
      </c>
      <c r="B186" s="23" t="s">
        <v>23</v>
      </c>
      <c r="C186" s="21">
        <f t="shared" si="2"/>
        <v>0</v>
      </c>
    </row>
    <row r="187" spans="1:238" x14ac:dyDescent="0.25">
      <c r="A187" s="127">
        <v>44371</v>
      </c>
      <c r="B187" s="23" t="s">
        <v>38</v>
      </c>
      <c r="C187" s="21">
        <f t="shared" si="2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2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2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2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2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2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2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2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2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2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2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2"/>
        <v>0</v>
      </c>
    </row>
    <row r="199" spans="1:223" x14ac:dyDescent="0.25">
      <c r="A199" s="127">
        <v>44375</v>
      </c>
      <c r="B199" s="23" t="s">
        <v>15</v>
      </c>
      <c r="C199" s="21">
        <f t="shared" si="2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3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3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3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3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3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3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3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3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3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3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3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3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3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3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3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3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3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3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3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3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3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3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3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3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3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3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3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3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3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3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3"/>
        <v>0</v>
      </c>
    </row>
    <row r="231" spans="1:236" x14ac:dyDescent="0.25">
      <c r="A231" s="127">
        <v>44377</v>
      </c>
      <c r="B231" s="23" t="s">
        <v>15</v>
      </c>
      <c r="C231" s="21">
        <f t="shared" si="3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3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3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3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3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3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3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3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3"/>
        <v>0</v>
      </c>
    </row>
    <row r="240" spans="1:236" x14ac:dyDescent="0.25">
      <c r="A240" s="127">
        <v>44385</v>
      </c>
      <c r="B240" s="23" t="s">
        <v>2</v>
      </c>
      <c r="C240" s="21">
        <f t="shared" si="3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3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3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3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3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3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3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3"/>
        <v>0</v>
      </c>
    </row>
    <row r="248" spans="1:241" x14ac:dyDescent="0.25">
      <c r="A248" s="127">
        <v>44389</v>
      </c>
      <c r="B248" s="23" t="s">
        <v>22</v>
      </c>
      <c r="C248" s="21">
        <f t="shared" si="3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3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3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3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3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3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3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3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3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3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3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3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3"/>
        <v>-66.540000000000006</v>
      </c>
      <c r="O260" s="428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3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3"/>
        <v>0</v>
      </c>
    </row>
    <row r="263" spans="1:229" x14ac:dyDescent="0.25">
      <c r="A263" s="127">
        <v>44403</v>
      </c>
      <c r="B263" s="23" t="s">
        <v>45</v>
      </c>
      <c r="C263" s="21">
        <f t="shared" si="3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4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4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4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4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4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4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4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4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4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4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4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4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4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4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4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4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4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4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4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4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4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4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4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4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4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4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4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4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4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4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4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4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4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4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4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4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4"/>
        <v>0</v>
      </c>
    </row>
    <row r="301" spans="1:177" x14ac:dyDescent="0.25">
      <c r="A301" s="127">
        <v>44408</v>
      </c>
      <c r="B301" s="23" t="s">
        <v>44</v>
      </c>
      <c r="C301" s="21">
        <f t="shared" si="4"/>
        <v>0</v>
      </c>
    </row>
    <row r="302" spans="1:177" x14ac:dyDescent="0.25">
      <c r="A302" s="127">
        <v>44408</v>
      </c>
      <c r="B302" s="23" t="s">
        <v>32</v>
      </c>
      <c r="C302" s="21">
        <f t="shared" si="4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4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4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4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4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4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4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4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4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4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4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4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4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4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4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4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4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4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150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4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4"/>
        <v>0</v>
      </c>
    </row>
    <row r="322" spans="1:223" x14ac:dyDescent="0.25">
      <c r="A322" s="127">
        <v>44415</v>
      </c>
      <c r="B322" s="23" t="s">
        <v>59</v>
      </c>
      <c r="C322" s="21">
        <f t="shared" si="4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4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4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4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4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4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5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5"/>
        <v>-99.74</v>
      </c>
      <c r="O329" s="428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5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5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5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5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5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5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5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5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5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5"/>
        <v>0</v>
      </c>
    </row>
    <row r="340" spans="1:229" x14ac:dyDescent="0.25">
      <c r="A340" s="127">
        <v>44420</v>
      </c>
      <c r="B340" s="23" t="s">
        <v>2</v>
      </c>
      <c r="C340" s="21">
        <f t="shared" si="5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5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5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5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5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5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5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5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5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5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5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5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5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5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5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5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5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5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5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5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5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5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5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5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5"/>
        <v>-171.86500000000001</v>
      </c>
      <c r="O364" s="428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5"/>
        <v>-8.5150000000000006</v>
      </c>
      <c r="O365" s="428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5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5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5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5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5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5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5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5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5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5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5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5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5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5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5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5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5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5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5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5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5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5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5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5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5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5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6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6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6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6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6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6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6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6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6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6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6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6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6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6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6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6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6"/>
        <v>0</v>
      </c>
    </row>
    <row r="409" spans="1:223" x14ac:dyDescent="0.25">
      <c r="A409" s="127">
        <v>44435</v>
      </c>
      <c r="B409" s="23" t="s">
        <v>41</v>
      </c>
      <c r="C409" s="21">
        <f t="shared" si="6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6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6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6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6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6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6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6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6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6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6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6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6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6"/>
        <v>0</v>
      </c>
    </row>
    <row r="423" spans="1:158" x14ac:dyDescent="0.25">
      <c r="A423" s="127">
        <v>44439</v>
      </c>
      <c r="B423" s="23" t="s">
        <v>68</v>
      </c>
      <c r="C423" s="21">
        <f t="shared" si="6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6"/>
        <v>0</v>
      </c>
    </row>
    <row r="425" spans="1:158" x14ac:dyDescent="0.25">
      <c r="A425" s="127">
        <v>44439</v>
      </c>
      <c r="B425" s="23" t="s">
        <v>32</v>
      </c>
      <c r="C425" s="21">
        <f t="shared" si="6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6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6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6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6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6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6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6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6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6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6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6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6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6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6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6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6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6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6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6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6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6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6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6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6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6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6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6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6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6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6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7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7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7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7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7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7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7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7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7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7"/>
        <v>0</v>
      </c>
    </row>
    <row r="466" spans="1:225" x14ac:dyDescent="0.25">
      <c r="A466" s="127">
        <v>44448</v>
      </c>
      <c r="B466" s="23" t="s">
        <v>54</v>
      </c>
      <c r="C466" s="21">
        <f t="shared" si="7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7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7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7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7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7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7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7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7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7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7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7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7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7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7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7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7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7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7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7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7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7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7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7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7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7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7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7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7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7"/>
        <v>-42.494999999999997</v>
      </c>
      <c r="O495" s="428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7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7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7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7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7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7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7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7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7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7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7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7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7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7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7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7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7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7"/>
        <v>-266.58</v>
      </c>
      <c r="L513" s="69">
        <v>-8.4250000000000007</v>
      </c>
      <c r="O513" s="428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7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7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7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7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7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7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8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8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8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8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8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150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8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8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8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8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8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8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8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8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8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8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8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8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8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8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8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8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8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8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8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8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8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8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8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8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8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8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8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8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8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8"/>
        <v>-33.1</v>
      </c>
      <c r="DM554" s="150">
        <v>-33.1</v>
      </c>
    </row>
    <row r="555" spans="1:242" x14ac:dyDescent="0.25">
      <c r="A555" s="127">
        <v>44470</v>
      </c>
      <c r="B555" s="23" t="s">
        <v>75</v>
      </c>
      <c r="C555" s="21">
        <f t="shared" si="8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8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8"/>
        <v>0</v>
      </c>
    </row>
    <row r="558" spans="1:242" x14ac:dyDescent="0.25">
      <c r="A558" s="127">
        <v>44470</v>
      </c>
      <c r="B558" s="23" t="s">
        <v>78</v>
      </c>
      <c r="C558" s="21">
        <f t="shared" si="8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8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8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8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8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8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8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8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8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8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8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8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8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8"/>
        <v>0</v>
      </c>
    </row>
    <row r="572" spans="1:220" x14ac:dyDescent="0.25">
      <c r="A572" s="127">
        <v>44474</v>
      </c>
      <c r="B572" s="23" t="s">
        <v>78</v>
      </c>
      <c r="C572" s="21">
        <f t="shared" si="8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8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8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8"/>
        <v>-210.245</v>
      </c>
      <c r="O575" s="428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8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8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8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8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8"/>
        <v>0</v>
      </c>
    </row>
    <row r="581" spans="1:145" x14ac:dyDescent="0.25">
      <c r="A581" s="127">
        <v>44475</v>
      </c>
      <c r="B581" s="23" t="s">
        <v>20</v>
      </c>
      <c r="C581" s="21">
        <f t="shared" si="8"/>
        <v>-34.64</v>
      </c>
      <c r="O581" s="428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8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8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9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9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9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9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9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9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9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9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9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9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9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9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9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9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9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9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9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9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9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9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9"/>
        <v>-295.02</v>
      </c>
      <c r="O604" s="428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9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9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9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9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9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9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9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9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9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9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9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9"/>
        <v>-17.12</v>
      </c>
      <c r="O616" s="428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9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9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9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9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9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9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9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9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9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9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9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9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9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9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9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9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9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9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9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9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9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9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9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9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9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9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9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9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9"/>
        <v>0</v>
      </c>
    </row>
    <row r="646" spans="1:215" x14ac:dyDescent="0.25">
      <c r="A646" s="127">
        <v>44491</v>
      </c>
      <c r="B646" s="23" t="s">
        <v>17</v>
      </c>
      <c r="C646" s="21">
        <f t="shared" si="9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9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0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0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0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0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0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0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0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0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0"/>
        <v>0</v>
      </c>
    </row>
    <row r="657" spans="1:225" x14ac:dyDescent="0.25">
      <c r="A657" s="131">
        <v>44492</v>
      </c>
      <c r="B657" s="23" t="s">
        <v>45</v>
      </c>
      <c r="C657" s="21">
        <f t="shared" si="10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0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0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0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0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0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0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0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0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0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0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0"/>
        <v>-148.97499999999999</v>
      </c>
      <c r="O668" s="428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0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0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0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0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0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0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0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0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0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0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0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0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0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0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0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0"/>
        <v>-78.25</v>
      </c>
      <c r="O684" s="428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0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0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0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0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0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0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0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0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0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0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0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0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0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0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0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0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0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0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0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0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0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0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0"/>
        <v>0</v>
      </c>
    </row>
    <row r="708" spans="1:240" x14ac:dyDescent="0.25">
      <c r="A708" s="127">
        <v>44508</v>
      </c>
      <c r="B708" s="23" t="s">
        <v>15</v>
      </c>
      <c r="C708" s="21">
        <f t="shared" si="10"/>
        <v>-59.76</v>
      </c>
      <c r="O708" s="428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0"/>
        <v>-8.4749999999999996</v>
      </c>
      <c r="O709" s="428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0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0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1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1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1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1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1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1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1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1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1"/>
        <v>-382.35</v>
      </c>
      <c r="K720" s="42">
        <v>-34.6</v>
      </c>
      <c r="O720" s="428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1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1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1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1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1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1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1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1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1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1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1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1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1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1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1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1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1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1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1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1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1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1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1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1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1"/>
        <v>0</v>
      </c>
    </row>
    <row r="746" spans="1:173" x14ac:dyDescent="0.25">
      <c r="A746" s="127">
        <v>44518</v>
      </c>
      <c r="B746" s="23" t="s">
        <v>47</v>
      </c>
      <c r="C746" s="21">
        <f t="shared" si="11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1"/>
        <v>0</v>
      </c>
    </row>
    <row r="748" spans="1:173" x14ac:dyDescent="0.25">
      <c r="A748" s="127">
        <v>44519</v>
      </c>
      <c r="B748" s="23" t="s">
        <v>23</v>
      </c>
      <c r="C748" s="21">
        <f t="shared" si="11"/>
        <v>0</v>
      </c>
    </row>
    <row r="749" spans="1:173" x14ac:dyDescent="0.25">
      <c r="A749" s="127">
        <v>44519</v>
      </c>
      <c r="B749" s="23" t="s">
        <v>64</v>
      </c>
      <c r="C749" s="21">
        <f t="shared" si="11"/>
        <v>0</v>
      </c>
    </row>
    <row r="750" spans="1:173" x14ac:dyDescent="0.25">
      <c r="A750" s="127">
        <v>44519</v>
      </c>
      <c r="B750" s="23" t="s">
        <v>78</v>
      </c>
      <c r="C750" s="21">
        <f t="shared" si="11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1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1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1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1"/>
        <v>0</v>
      </c>
    </row>
    <row r="755" spans="1:198" x14ac:dyDescent="0.25">
      <c r="A755" s="127">
        <v>44522</v>
      </c>
      <c r="B755" s="23" t="s">
        <v>44</v>
      </c>
      <c r="C755" s="21">
        <f t="shared" si="11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1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1"/>
        <v>0</v>
      </c>
    </row>
    <row r="758" spans="1:198" x14ac:dyDescent="0.25">
      <c r="A758" s="127">
        <v>44523</v>
      </c>
      <c r="B758" s="23" t="s">
        <v>32</v>
      </c>
      <c r="C758" s="21">
        <f t="shared" si="11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1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1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1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1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1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1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1"/>
        <v>0</v>
      </c>
    </row>
    <row r="766" spans="1:198" x14ac:dyDescent="0.25">
      <c r="A766" s="127">
        <v>44525</v>
      </c>
      <c r="B766" s="23" t="s">
        <v>45</v>
      </c>
      <c r="C766" s="21">
        <f t="shared" si="11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1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1"/>
        <v>0</v>
      </c>
    </row>
    <row r="769" spans="1:234" x14ac:dyDescent="0.25">
      <c r="A769" s="127">
        <v>44529</v>
      </c>
      <c r="B769" s="23" t="s">
        <v>38</v>
      </c>
      <c r="C769" s="21">
        <f t="shared" si="11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1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1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1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1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1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1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2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2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2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2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2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2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2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2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2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2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2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2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2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2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2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2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2"/>
        <v>0</v>
      </c>
    </row>
    <row r="793" spans="1:242" x14ac:dyDescent="0.25">
      <c r="A793" s="127">
        <v>44532</v>
      </c>
      <c r="B793" s="23" t="s">
        <v>68</v>
      </c>
      <c r="C793" s="21">
        <f t="shared" si="12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2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2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2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2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2"/>
        <v>0</v>
      </c>
    </row>
    <row r="799" spans="1:242" x14ac:dyDescent="0.25">
      <c r="A799" s="127">
        <v>44536</v>
      </c>
      <c r="B799" s="23" t="s">
        <v>20</v>
      </c>
      <c r="C799" s="21">
        <f t="shared" si="12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2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2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2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2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2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2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2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2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2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2"/>
        <v>-33.380000000000003</v>
      </c>
      <c r="AD809" s="115">
        <v>-7.72</v>
      </c>
      <c r="BR809" s="115">
        <v>-8.44</v>
      </c>
      <c r="DM809" s="150">
        <v>-17.22</v>
      </c>
    </row>
    <row r="810" spans="1:238" x14ac:dyDescent="0.25">
      <c r="A810" s="127">
        <v>44538</v>
      </c>
      <c r="B810" s="23" t="s">
        <v>75</v>
      </c>
      <c r="C810" s="21">
        <f t="shared" si="12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2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2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2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2"/>
        <v>-137.995</v>
      </c>
      <c r="O814" s="428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2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2"/>
        <v>0</v>
      </c>
    </row>
    <row r="817" spans="1:225" x14ac:dyDescent="0.25">
      <c r="A817" s="127">
        <v>44539</v>
      </c>
      <c r="B817" s="23" t="s">
        <v>80</v>
      </c>
      <c r="C817" s="21">
        <f t="shared" si="12"/>
        <v>0</v>
      </c>
    </row>
    <row r="818" spans="1:225" x14ac:dyDescent="0.25">
      <c r="A818" s="127">
        <v>44539</v>
      </c>
      <c r="B818" s="23" t="s">
        <v>2</v>
      </c>
      <c r="C818" s="21">
        <f t="shared" si="12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2"/>
        <v>-25.614999999999998</v>
      </c>
      <c r="O819" s="428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2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2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2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2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2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2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2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2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2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2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2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2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2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2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2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2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2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2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2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2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3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3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3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3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3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3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3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3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3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3"/>
        <v>-16.16</v>
      </c>
      <c r="O849" s="428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3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3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3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3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3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3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3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3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3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3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3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3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3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3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3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3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3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3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3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3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3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3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3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3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3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3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3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3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3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3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3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3"/>
        <v>-59.744999999999997</v>
      </c>
      <c r="O881" s="428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3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3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3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3"/>
        <v>0</v>
      </c>
    </row>
    <row r="886" spans="1:249" x14ac:dyDescent="0.25">
      <c r="A886" s="127">
        <v>44557</v>
      </c>
      <c r="B886" s="23" t="s">
        <v>12</v>
      </c>
      <c r="C886" s="21">
        <f t="shared" si="13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3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3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3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3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3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3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3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3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3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19" t="s">
        <v>105</v>
      </c>
      <c r="B896" s="420"/>
      <c r="C896" s="270">
        <f>SUM(D896:JT896)</f>
        <v>56.231000000000002</v>
      </c>
      <c r="D896" s="366">
        <v>-1.37</v>
      </c>
      <c r="E896" s="52">
        <v>0.57999999999999996</v>
      </c>
      <c r="F896" s="366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428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74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2"/>
      <c r="CE896" s="53">
        <v>-24.18</v>
      </c>
      <c r="CF896" s="55">
        <v>-14.414999999999999</v>
      </c>
      <c r="CG896" s="74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6"/>
      <c r="IN896" s="367"/>
      <c r="IO896" s="54"/>
    </row>
    <row r="897" spans="1:213" x14ac:dyDescent="0.25">
      <c r="A897" s="127">
        <v>44564</v>
      </c>
      <c r="B897" s="23" t="s">
        <v>17</v>
      </c>
      <c r="C897" s="21">
        <f t="shared" si="13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3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3"/>
        <v>0</v>
      </c>
    </row>
    <row r="900" spans="1:213" x14ac:dyDescent="0.25">
      <c r="A900" s="127">
        <v>44564</v>
      </c>
      <c r="B900" s="23" t="s">
        <v>37</v>
      </c>
      <c r="C900" s="21">
        <f t="shared" si="13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3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3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3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4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4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4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4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4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4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4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4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4"/>
        <v>-48.954999999999998</v>
      </c>
      <c r="O912" s="428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4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4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4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4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4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4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4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4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4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4"/>
        <v>0</v>
      </c>
    </row>
    <row r="923" spans="1:231" x14ac:dyDescent="0.25">
      <c r="A923" s="127">
        <v>44568</v>
      </c>
      <c r="B923" s="23" t="s">
        <v>23</v>
      </c>
      <c r="C923" s="21">
        <f t="shared" si="14"/>
        <v>0</v>
      </c>
    </row>
    <row r="924" spans="1:231" x14ac:dyDescent="0.25">
      <c r="A924" s="127">
        <v>44568</v>
      </c>
      <c r="B924" s="23" t="s">
        <v>79</v>
      </c>
      <c r="C924" s="21">
        <f t="shared" si="14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4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4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4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4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4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4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4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4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4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4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4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4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4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4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4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4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4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4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4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4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4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4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4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4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4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4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4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4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4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4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4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4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4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4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4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4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4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4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4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4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4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4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4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5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5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5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5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5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5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5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5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5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5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5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5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5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5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5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5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5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5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5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5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5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5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5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5"/>
        <v>-181.07499999999999</v>
      </c>
      <c r="O991" s="428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5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5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5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5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5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5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5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5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5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5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5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5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5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5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5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5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5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5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5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5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5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5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5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5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5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5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5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5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5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5"/>
        <v>-30.065000000000001</v>
      </c>
      <c r="O1021" s="428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5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5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5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5"/>
        <v>0</v>
      </c>
    </row>
    <row r="1026" spans="1:238" x14ac:dyDescent="0.25">
      <c r="A1026" s="131">
        <v>44596</v>
      </c>
      <c r="B1026" s="23" t="s">
        <v>23</v>
      </c>
      <c r="C1026" s="21">
        <f t="shared" si="15"/>
        <v>0</v>
      </c>
    </row>
    <row r="1027" spans="1:238" x14ac:dyDescent="0.25">
      <c r="A1027" s="127">
        <v>44597</v>
      </c>
      <c r="B1027" s="23" t="s">
        <v>78</v>
      </c>
      <c r="C1027" s="21">
        <f t="shared" si="15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5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5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5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5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16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16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16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16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16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16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16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16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16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16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16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16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16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16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16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16"/>
        <v>-210.51499999999999</v>
      </c>
      <c r="O1047" s="428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16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16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16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16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16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16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16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16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16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16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16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16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16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16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16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16"/>
        <v>0</v>
      </c>
    </row>
    <row r="1064" spans="1:231" x14ac:dyDescent="0.25">
      <c r="A1064" s="127">
        <v>44603</v>
      </c>
      <c r="B1064" s="24" t="s">
        <v>15</v>
      </c>
      <c r="C1064" s="21">
        <f t="shared" si="16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16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16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16"/>
        <v>0</v>
      </c>
    </row>
    <row r="1068" spans="1:231" x14ac:dyDescent="0.25">
      <c r="A1068" s="127">
        <v>44606</v>
      </c>
      <c r="B1068" s="24" t="s">
        <v>37</v>
      </c>
      <c r="C1068" s="21">
        <f t="shared" si="16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16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16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16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16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16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16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16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16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16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16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16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16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16"/>
        <v>0</v>
      </c>
    </row>
    <row r="1082" spans="1:223" x14ac:dyDescent="0.25">
      <c r="A1082" s="127">
        <v>44608</v>
      </c>
      <c r="B1082" s="24" t="s">
        <v>32</v>
      </c>
      <c r="C1082" s="21">
        <f t="shared" si="16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16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16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16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16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16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16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16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16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16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16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16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16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16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17">SUM(I1096:JT1096)</f>
        <v>-465.40499999999997</v>
      </c>
      <c r="L1096" s="69">
        <v>-67.959999999999994</v>
      </c>
      <c r="O1096" s="428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17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17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17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17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17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17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17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17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17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17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17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17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17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17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17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17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17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17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17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17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17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17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17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17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17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17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17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17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17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17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17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17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17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17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17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17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17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17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17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17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17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17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17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17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17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17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17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17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17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17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17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17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17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17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17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17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17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17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17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17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17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17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17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18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18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18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18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18"/>
        <v>0</v>
      </c>
    </row>
    <row r="1165" spans="1:231" x14ac:dyDescent="0.25">
      <c r="A1165" s="127">
        <v>44627</v>
      </c>
      <c r="B1165" s="24" t="s">
        <v>59</v>
      </c>
      <c r="C1165" s="21">
        <f t="shared" si="18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18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18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18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18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18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18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18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18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18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18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18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18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18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18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18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18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18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18"/>
        <v>0</v>
      </c>
    </row>
    <row r="1184" spans="1:241" x14ac:dyDescent="0.25">
      <c r="A1184" s="127">
        <v>44635</v>
      </c>
      <c r="B1184" s="18" t="s">
        <v>31</v>
      </c>
      <c r="C1184" s="21">
        <f t="shared" si="18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18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18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18"/>
        <v>3192.05</v>
      </c>
      <c r="O1187" s="428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18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18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18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18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18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18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18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18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18"/>
        <v>-69.23</v>
      </c>
      <c r="O1196" s="428">
        <v>-69.23</v>
      </c>
    </row>
    <row r="1197" spans="1:241" x14ac:dyDescent="0.25">
      <c r="A1197" s="127">
        <v>44636</v>
      </c>
      <c r="B1197" s="24" t="s">
        <v>19</v>
      </c>
      <c r="C1197" s="21">
        <f t="shared" si="18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18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18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18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18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18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18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18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18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18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18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18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18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18"/>
        <v>680.75</v>
      </c>
      <c r="O1210" s="428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18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18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18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18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18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18"/>
        <v>808.36</v>
      </c>
      <c r="O1216" s="428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18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18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18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18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18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18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18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19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19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19"/>
        <v>801.75</v>
      </c>
      <c r="O1226" s="428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19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19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19"/>
        <v>-8.6449999999999996</v>
      </c>
      <c r="O1229" s="428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19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19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19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19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19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19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19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19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19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19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19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19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19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19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19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19"/>
        <v>-543.32500000000005</v>
      </c>
      <c r="L1245" s="69">
        <v>-8.49</v>
      </c>
      <c r="O1245" s="428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19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19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19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19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19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19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19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19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19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19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19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19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19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19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19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19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19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19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19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19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19"/>
        <v>-25.574999999999999</v>
      </c>
      <c r="O1266" s="428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19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19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19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19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19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19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19"/>
        <v>0</v>
      </c>
    </row>
    <row r="1274" spans="1:234" x14ac:dyDescent="0.25">
      <c r="A1274" s="127">
        <v>44651</v>
      </c>
      <c r="B1274" s="24" t="s">
        <v>18</v>
      </c>
      <c r="C1274" s="21">
        <f t="shared" si="19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19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19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19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19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19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19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19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19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19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19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19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19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19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0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0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0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0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0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0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0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0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0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0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0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0"/>
        <v>0</v>
      </c>
    </row>
    <row r="1300" spans="1:241" x14ac:dyDescent="0.25">
      <c r="A1300" s="127">
        <v>44658</v>
      </c>
      <c r="B1300" s="24" t="s">
        <v>15</v>
      </c>
      <c r="C1300" s="21">
        <f t="shared" si="20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0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0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0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0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0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0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0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0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0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0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0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0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0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0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0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0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0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0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27">
        <v>44666</v>
      </c>
      <c r="B1319" s="24" t="s">
        <v>25</v>
      </c>
      <c r="C1319" s="21">
        <f t="shared" si="20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0"/>
        <v>-32.18</v>
      </c>
      <c r="AT1320" s="46">
        <v>-8.9499999999999993</v>
      </c>
      <c r="BC1320" s="74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0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0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0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0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0"/>
        <v>-153.255</v>
      </c>
      <c r="O1325" s="428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0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0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0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0"/>
        <v>-25.19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0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0"/>
        <v>-8.67</v>
      </c>
      <c r="O1331" s="428">
        <v>-8.67</v>
      </c>
    </row>
    <row r="1332" spans="1:204" x14ac:dyDescent="0.25">
      <c r="A1332" s="127">
        <v>44669</v>
      </c>
      <c r="B1332" s="24" t="s">
        <v>2</v>
      </c>
      <c r="C1332" s="21">
        <f t="shared" si="20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0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0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0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0"/>
        <v>-33.909999999999997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0"/>
        <v>-242.47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0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0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0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0"/>
        <v>-102.99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0"/>
        <v>-102.89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0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0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0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0"/>
        <v>-312.11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0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0"/>
        <v>-173.36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0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0"/>
        <v>-51.29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0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1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1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1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1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1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1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1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1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1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1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1"/>
        <v>0</v>
      </c>
    </row>
    <row r="1363" spans="1:241" x14ac:dyDescent="0.25">
      <c r="A1363" s="127">
        <v>44672</v>
      </c>
      <c r="B1363" s="24" t="s">
        <v>14</v>
      </c>
      <c r="C1363" s="21">
        <f t="shared" si="21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1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1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1"/>
        <v>-8.89</v>
      </c>
      <c r="CY1366" s="74">
        <v>-8.89</v>
      </c>
    </row>
    <row r="1367" spans="1:241" x14ac:dyDescent="0.25">
      <c r="A1367" s="127">
        <v>44672</v>
      </c>
      <c r="B1367" s="24" t="s">
        <v>39</v>
      </c>
      <c r="C1367" s="21">
        <f t="shared" si="21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1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1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1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1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1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1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1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1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1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1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1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1"/>
        <v>0</v>
      </c>
    </row>
    <row r="1380" spans="1:101" x14ac:dyDescent="0.25">
      <c r="A1380" s="127">
        <v>44677</v>
      </c>
      <c r="B1380" s="24" t="s">
        <v>15</v>
      </c>
      <c r="C1380" s="21">
        <f t="shared" si="21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1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1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1"/>
        <v>0</v>
      </c>
    </row>
    <row r="1384" spans="1:101" x14ac:dyDescent="0.25">
      <c r="A1384" s="127">
        <v>44677</v>
      </c>
      <c r="B1384" s="24" t="s">
        <v>80</v>
      </c>
      <c r="C1384" s="21">
        <f t="shared" si="21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1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1"/>
        <v>-34.47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1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1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1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1"/>
        <v>1076.98</v>
      </c>
      <c r="BU1390" s="74">
        <v>353.75</v>
      </c>
      <c r="BZ1390" s="69">
        <v>376.75</v>
      </c>
      <c r="CG1390" s="74">
        <v>346.48</v>
      </c>
    </row>
    <row r="1391" spans="1:101" x14ac:dyDescent="0.25">
      <c r="A1391" s="127">
        <v>44680</v>
      </c>
      <c r="B1391" s="24" t="s">
        <v>33</v>
      </c>
      <c r="C1391" s="21">
        <f t="shared" si="21"/>
        <v>-19.7</v>
      </c>
      <c r="O1391" s="428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1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1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1"/>
        <v>-200.08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1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1"/>
        <v>-99.56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1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1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1"/>
        <v>-25.86</v>
      </c>
      <c r="BG1399" s="42">
        <v>-17.309999999999999</v>
      </c>
      <c r="BO1399" s="74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1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1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1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1"/>
        <v>-222.14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74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1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74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1"/>
        <v>-34.9</v>
      </c>
      <c r="BU1405" s="74">
        <v>-34.9</v>
      </c>
    </row>
    <row r="1406" spans="1:229" x14ac:dyDescent="0.25">
      <c r="A1406" s="127">
        <v>44688</v>
      </c>
      <c r="B1406" s="24" t="s">
        <v>15</v>
      </c>
      <c r="C1406" s="21">
        <f t="shared" si="21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1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1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1"/>
        <v>-127.72</v>
      </c>
      <c r="AU1409" s="42">
        <v>-34.619999999999997</v>
      </c>
      <c r="BA1409" s="42">
        <v>-26.18</v>
      </c>
      <c r="CG1409" s="74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1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1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1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1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1"/>
        <v>-81.19</v>
      </c>
      <c r="BJ1414" s="121">
        <v>-7.76</v>
      </c>
      <c r="BU1414" s="74">
        <v>-8.25</v>
      </c>
      <c r="BZ1414" s="69">
        <v>-8.65</v>
      </c>
      <c r="CG1414" s="74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1"/>
        <v>-25.63</v>
      </c>
      <c r="BL1415" s="115">
        <v>-8.73</v>
      </c>
      <c r="BM1415" s="88">
        <v>-8.65</v>
      </c>
      <c r="BU1415" s="74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2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2"/>
        <v>-42.4</v>
      </c>
      <c r="BU1417" s="74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2"/>
        <v>-182.1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2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2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2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2"/>
        <v>0</v>
      </c>
    </row>
    <row r="1423" spans="1:187" x14ac:dyDescent="0.25">
      <c r="A1423" s="127">
        <v>44692</v>
      </c>
      <c r="B1423" s="24" t="s">
        <v>45</v>
      </c>
      <c r="C1423" s="21">
        <f t="shared" si="22"/>
        <v>-23.77</v>
      </c>
      <c r="O1423" s="428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2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2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2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2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2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2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2"/>
        <v>0</v>
      </c>
    </row>
    <row r="1431" spans="1:219" x14ac:dyDescent="0.25">
      <c r="A1431" s="127">
        <v>44694</v>
      </c>
      <c r="B1431" s="24" t="s">
        <v>32</v>
      </c>
      <c r="C1431" s="21">
        <f t="shared" si="22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2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2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2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2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2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2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2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2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2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74">
        <v>-8.8000000000000007</v>
      </c>
      <c r="CS1440" s="74">
        <v>-8.2799999999999994</v>
      </c>
      <c r="CY1440" s="74">
        <v>-8.77</v>
      </c>
    </row>
    <row r="1441" spans="1:240" x14ac:dyDescent="0.25">
      <c r="A1441" s="127">
        <v>44698</v>
      </c>
      <c r="B1441" s="24" t="s">
        <v>27</v>
      </c>
      <c r="C1441" s="21">
        <f t="shared" si="22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2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2"/>
        <v>-41.945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2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2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2"/>
        <v>-63.43</v>
      </c>
      <c r="AU1446" s="42">
        <v>-8.4499999999999993</v>
      </c>
      <c r="BZ1446" s="69">
        <v>-8.5500000000000007</v>
      </c>
      <c r="CE1446" s="42">
        <v>-6.65</v>
      </c>
      <c r="CG1446" s="74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2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2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2"/>
        <v>-8.75</v>
      </c>
      <c r="BU1449" s="74">
        <v>-8.75</v>
      </c>
    </row>
    <row r="1450" spans="1:240" x14ac:dyDescent="0.25">
      <c r="A1450" s="127">
        <v>44699</v>
      </c>
      <c r="B1450" s="24" t="s">
        <v>80</v>
      </c>
      <c r="C1450" s="21">
        <f t="shared" si="22"/>
        <v>-8.75</v>
      </c>
      <c r="BU1450" s="74">
        <v>-8.75</v>
      </c>
    </row>
    <row r="1451" spans="1:240" x14ac:dyDescent="0.25">
      <c r="A1451" s="127">
        <v>44699</v>
      </c>
      <c r="B1451" s="24" t="s">
        <v>15</v>
      </c>
      <c r="C1451" s="21">
        <f t="shared" si="22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2"/>
        <v>-17.309999999999999</v>
      </c>
      <c r="AQ1452" s="69">
        <v>-8.49</v>
      </c>
      <c r="CG1452" s="74">
        <v>-8.82</v>
      </c>
    </row>
    <row r="1453" spans="1:240" x14ac:dyDescent="0.25">
      <c r="A1453" s="127">
        <v>44699</v>
      </c>
      <c r="B1453" s="24" t="s">
        <v>94</v>
      </c>
      <c r="C1453" s="21">
        <f t="shared" si="22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2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2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2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3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428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74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74"/>
      <c r="BD1457" s="140"/>
      <c r="BE1457" s="140"/>
      <c r="BF1457" s="138"/>
      <c r="BG1457" s="185"/>
      <c r="BH1457" s="69"/>
      <c r="BI1457" s="74"/>
      <c r="BJ1457" s="140"/>
      <c r="BK1457" s="140"/>
      <c r="BL1457" s="115"/>
      <c r="BM1457" s="88">
        <v>34</v>
      </c>
      <c r="BN1457" s="69"/>
      <c r="BO1457" s="74"/>
      <c r="BP1457" s="140"/>
      <c r="BQ1457" s="126"/>
      <c r="BR1457" s="115"/>
      <c r="BS1457" s="139"/>
      <c r="BT1457" s="69"/>
      <c r="BU1457" s="74"/>
      <c r="BV1457" s="140"/>
      <c r="BW1457" s="126"/>
      <c r="BX1457" s="115"/>
      <c r="BY1457" s="42"/>
      <c r="BZ1457" s="69"/>
      <c r="CA1457" s="74"/>
      <c r="CB1457" s="140"/>
      <c r="CC1457" s="140"/>
      <c r="CD1457" s="182"/>
      <c r="CE1457" s="42"/>
      <c r="CF1457" s="69"/>
      <c r="CG1457" s="74">
        <v>-11.43</v>
      </c>
      <c r="CH1457" s="140"/>
      <c r="CI1457" s="140"/>
      <c r="CJ1457" s="138"/>
      <c r="CK1457" s="42">
        <v>34.93</v>
      </c>
      <c r="CL1457" s="69"/>
      <c r="CM1457" s="74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74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74"/>
      <c r="DL1457" s="121"/>
      <c r="DM1457" s="150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3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3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3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3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3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3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3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3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3"/>
        <v>-41.95</v>
      </c>
      <c r="BH1466" s="69">
        <v>-8.52</v>
      </c>
      <c r="BM1466" s="88">
        <v>-8.56</v>
      </c>
      <c r="CC1466" s="126">
        <v>-7.92</v>
      </c>
      <c r="CG1466" s="74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3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3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3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3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3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3"/>
        <v>-8.65</v>
      </c>
      <c r="O1472" s="428">
        <v>-8.65</v>
      </c>
    </row>
    <row r="1473" spans="1:239" x14ac:dyDescent="0.25">
      <c r="A1473" s="127">
        <v>44706</v>
      </c>
      <c r="B1473" s="24" t="s">
        <v>15</v>
      </c>
      <c r="C1473" s="21">
        <f t="shared" si="23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3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3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3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27">
        <v>44707</v>
      </c>
      <c r="B1477" s="29" t="s">
        <v>15</v>
      </c>
      <c r="C1477" s="21">
        <f t="shared" si="23"/>
        <v>-41.42</v>
      </c>
      <c r="BO1477" s="74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3"/>
        <v>-8.44</v>
      </c>
      <c r="CG1478" s="74">
        <v>-8.44</v>
      </c>
    </row>
    <row r="1479" spans="1:239" x14ac:dyDescent="0.25">
      <c r="A1479" s="127">
        <v>44707</v>
      </c>
      <c r="B1479" s="29" t="s">
        <v>44</v>
      </c>
      <c r="C1479" s="21">
        <f t="shared" si="23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3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3"/>
        <v>-31.05</v>
      </c>
      <c r="BO1481" s="74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3"/>
        <v>-7.8</v>
      </c>
      <c r="BO1482" s="74">
        <v>-7.8</v>
      </c>
    </row>
    <row r="1483" spans="1:239" x14ac:dyDescent="0.25">
      <c r="A1483" s="127">
        <v>44711</v>
      </c>
      <c r="B1483" s="24" t="s">
        <v>130</v>
      </c>
      <c r="C1483" s="21">
        <f t="shared" si="23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3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3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3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3"/>
        <v>-406.77499999999998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3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3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3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3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3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3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3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3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3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3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3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3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3"/>
        <v>0</v>
      </c>
    </row>
    <row r="1501" spans="1:229" x14ac:dyDescent="0.25">
      <c r="A1501" s="127">
        <v>44712</v>
      </c>
      <c r="B1501" s="24" t="s">
        <v>29</v>
      </c>
      <c r="C1501" s="21">
        <f t="shared" si="23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3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3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3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3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3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3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3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3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3"/>
        <v>-337.94</v>
      </c>
      <c r="O1510" s="428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3"/>
        <v>0</v>
      </c>
    </row>
    <row r="1512" spans="1:240" x14ac:dyDescent="0.25">
      <c r="A1512" s="127">
        <v>44712</v>
      </c>
      <c r="B1512" s="24" t="s">
        <v>80</v>
      </c>
      <c r="C1512" s="21">
        <f t="shared" si="23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3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3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3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3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3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3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3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3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4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4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4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4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4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4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4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4"/>
        <v>-23.12</v>
      </c>
      <c r="O1528" s="428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4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4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4"/>
        <v>0</v>
      </c>
    </row>
    <row r="1532" spans="1:228" x14ac:dyDescent="0.25">
      <c r="A1532" s="127">
        <v>44719</v>
      </c>
      <c r="B1532" s="24" t="s">
        <v>113</v>
      </c>
      <c r="C1532" s="21">
        <f t="shared" si="24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4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4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4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4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4"/>
        <v>0</v>
      </c>
    </row>
    <row r="1538" spans="1:228" x14ac:dyDescent="0.25">
      <c r="A1538" s="127">
        <v>44719</v>
      </c>
      <c r="B1538" s="24" t="s">
        <v>75</v>
      </c>
      <c r="C1538" s="21">
        <f t="shared" si="24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4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4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4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4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4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4"/>
        <v>-227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4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4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4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4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4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4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4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4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4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4"/>
        <v>0</v>
      </c>
    </row>
    <row r="1555" spans="1:186" x14ac:dyDescent="0.25">
      <c r="A1555" s="127">
        <v>44725</v>
      </c>
      <c r="B1555" s="24" t="s">
        <v>80</v>
      </c>
      <c r="C1555" s="21">
        <f t="shared" si="24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4"/>
        <v>-33.729999999999997</v>
      </c>
      <c r="CG1556" s="74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4"/>
        <v>-60.33</v>
      </c>
      <c r="BG1557" s="42">
        <v>-26.2</v>
      </c>
      <c r="CG1557" s="74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4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4"/>
        <v>0</v>
      </c>
    </row>
    <row r="1560" spans="1:186" x14ac:dyDescent="0.25">
      <c r="A1560" s="127">
        <v>44726</v>
      </c>
      <c r="B1560" s="24" t="s">
        <v>84</v>
      </c>
      <c r="C1560" s="21">
        <f t="shared" si="24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4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4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4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4"/>
        <v>0</v>
      </c>
    </row>
    <row r="1565" spans="1:186" x14ac:dyDescent="0.25">
      <c r="A1565" s="127">
        <v>44727</v>
      </c>
      <c r="B1565" s="23" t="s">
        <v>15</v>
      </c>
      <c r="C1565" s="21">
        <f t="shared" si="24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4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4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4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4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4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4"/>
        <v>-8.15</v>
      </c>
      <c r="BO1571" s="74">
        <v>-8.15</v>
      </c>
    </row>
    <row r="1572" spans="1:223" x14ac:dyDescent="0.25">
      <c r="A1572" s="127">
        <v>44729</v>
      </c>
      <c r="B1572" s="24" t="s">
        <v>31</v>
      </c>
      <c r="C1572" s="21">
        <f t="shared" si="24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4"/>
        <v>-132.1</v>
      </c>
      <c r="BC1573" s="74">
        <v>-31.05</v>
      </c>
      <c r="BI1573" s="74">
        <v>-35.85</v>
      </c>
      <c r="CA1573" s="74">
        <v>-31.96</v>
      </c>
      <c r="CG1573" s="74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4"/>
        <v>-17.309999999999999</v>
      </c>
      <c r="BO1574" s="74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4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74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4"/>
        <v>0</v>
      </c>
    </row>
    <row r="1577" spans="1:223" x14ac:dyDescent="0.25">
      <c r="A1577" s="127">
        <v>44729</v>
      </c>
      <c r="B1577" s="24" t="s">
        <v>38</v>
      </c>
      <c r="C1577" s="21">
        <f t="shared" si="24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4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27">
        <v>44730</v>
      </c>
      <c r="B1579" s="24" t="s">
        <v>78</v>
      </c>
      <c r="C1579" s="21">
        <f t="shared" si="24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4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4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4"/>
        <v>-16.95</v>
      </c>
      <c r="AR1582" s="74">
        <v>-16.95</v>
      </c>
    </row>
    <row r="1583" spans="1:223" x14ac:dyDescent="0.25">
      <c r="A1583" s="127">
        <v>44732</v>
      </c>
      <c r="B1583" s="24" t="s">
        <v>44</v>
      </c>
      <c r="C1583" s="21">
        <f t="shared" si="24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4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5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5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5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5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5"/>
        <v>-44.23</v>
      </c>
      <c r="BC1589" s="74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5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5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5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27">
        <v>44733</v>
      </c>
      <c r="B1593" s="24" t="s">
        <v>75</v>
      </c>
      <c r="C1593" s="21">
        <f t="shared" si="25"/>
        <v>-16.350000000000001</v>
      </c>
      <c r="BU1593" s="74">
        <v>-8</v>
      </c>
      <c r="CA1593" s="74">
        <v>-8.35</v>
      </c>
    </row>
    <row r="1594" spans="1:207" x14ac:dyDescent="0.25">
      <c r="A1594" s="127">
        <v>44733</v>
      </c>
      <c r="B1594" s="24" t="s">
        <v>138</v>
      </c>
      <c r="C1594" s="21">
        <f t="shared" si="25"/>
        <v>-25.09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27">
        <v>44733</v>
      </c>
      <c r="B1595" s="24" t="s">
        <v>137</v>
      </c>
      <c r="C1595" s="21">
        <f t="shared" si="25"/>
        <v>-32.18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5"/>
        <v>-22.63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27">
        <v>44733</v>
      </c>
      <c r="B1597" s="24" t="s">
        <v>58</v>
      </c>
      <c r="C1597" s="21">
        <f t="shared" si="25"/>
        <v>0</v>
      </c>
    </row>
    <row r="1598" spans="1:207" x14ac:dyDescent="0.25">
      <c r="A1598" s="127">
        <v>44733</v>
      </c>
      <c r="B1598" s="24" t="s">
        <v>136</v>
      </c>
      <c r="C1598" s="21">
        <f t="shared" si="25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5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5"/>
        <v>-35.119999999999997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5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5"/>
        <v>-76.290000000000006</v>
      </c>
      <c r="O1602" s="428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5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5"/>
        <v>-23.85</v>
      </c>
      <c r="AW1604" s="74">
        <v>-15.2</v>
      </c>
      <c r="BU1604" s="74">
        <v>-8.65</v>
      </c>
    </row>
    <row r="1605" spans="1:238" x14ac:dyDescent="0.25">
      <c r="A1605" s="127">
        <v>44734</v>
      </c>
      <c r="B1605" s="24" t="s">
        <v>40</v>
      </c>
      <c r="C1605" s="21">
        <f t="shared" si="25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5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5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5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5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5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5"/>
        <v>151.65</v>
      </c>
      <c r="DK1611" s="74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5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5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5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5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5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5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5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5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5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5"/>
        <v>-8.5500000000000007</v>
      </c>
      <c r="AR1621" s="74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5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5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5"/>
        <v>-207.65</v>
      </c>
      <c r="BA1624" s="42">
        <v>-33.96</v>
      </c>
      <c r="BS1624" s="42">
        <f>-34.71-34.59-34.67</f>
        <v>-103.97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5"/>
        <v>-77.03</v>
      </c>
      <c r="O1625" s="428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5"/>
        <v>-25.6</v>
      </c>
      <c r="AR1626" s="74">
        <v>-8.5500000000000007</v>
      </c>
      <c r="BI1626" s="74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5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5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5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5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5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5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5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5"/>
        <v>34.6</v>
      </c>
      <c r="CA1634" s="74">
        <f>8.55+8.6</f>
        <v>17.149999999999999</v>
      </c>
      <c r="CY1634" s="74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5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5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5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5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5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5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5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5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5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5"/>
        <v>-14.77</v>
      </c>
      <c r="BM1644" s="88">
        <v>-8.42</v>
      </c>
      <c r="BO1644" s="74">
        <v>-6.35</v>
      </c>
    </row>
    <row r="1645" spans="1:198" x14ac:dyDescent="0.25">
      <c r="A1645" s="127">
        <v>44743</v>
      </c>
      <c r="B1645" s="24" t="s">
        <v>95</v>
      </c>
      <c r="C1645" s="21">
        <f t="shared" si="25"/>
        <v>-383.04500000000002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5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5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5"/>
        <v>-17.350000000000001</v>
      </c>
      <c r="AU1648" s="42">
        <v>-8.75</v>
      </c>
      <c r="CA1648" s="74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26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26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26"/>
        <v>-25.9</v>
      </c>
      <c r="DK1651" s="74">
        <v>-25.9</v>
      </c>
    </row>
    <row r="1652" spans="1:231" x14ac:dyDescent="0.25">
      <c r="A1652" s="133">
        <v>44746</v>
      </c>
      <c r="B1652" s="30" t="s">
        <v>48</v>
      </c>
      <c r="C1652" s="21">
        <f t="shared" si="26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26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26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26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26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26"/>
        <v>0</v>
      </c>
    </row>
    <row r="1658" spans="1:231" x14ac:dyDescent="0.25">
      <c r="A1658" s="127">
        <v>44747</v>
      </c>
      <c r="B1658" s="24" t="s">
        <v>44</v>
      </c>
      <c r="C1658" s="21">
        <f t="shared" si="26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26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26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26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26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26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26"/>
        <v>354.05</v>
      </c>
      <c r="CY1664" s="74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26"/>
        <v>0</v>
      </c>
    </row>
    <row r="1666" spans="1:242" x14ac:dyDescent="0.25">
      <c r="A1666" s="133">
        <v>44760</v>
      </c>
      <c r="B1666" s="64" t="s">
        <v>68</v>
      </c>
      <c r="C1666" s="21">
        <f t="shared" si="26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26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26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26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26"/>
        <v>0</v>
      </c>
    </row>
    <row r="1671" spans="1:242" x14ac:dyDescent="0.25">
      <c r="A1671" s="133">
        <v>44761</v>
      </c>
      <c r="B1671" s="19" t="s">
        <v>15</v>
      </c>
      <c r="C1671" s="21">
        <f t="shared" si="26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26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26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3">
        <v>44761</v>
      </c>
      <c r="B1674" s="64" t="s">
        <v>127</v>
      </c>
      <c r="C1674" s="21">
        <f t="shared" si="26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26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26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26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26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26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26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26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26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26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26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26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26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26"/>
        <v>-49.36</v>
      </c>
      <c r="BA1687" s="42">
        <v>-8.49</v>
      </c>
      <c r="BL1687" s="115">
        <v>-8.9700000000000006</v>
      </c>
      <c r="BO1687" s="74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26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26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26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26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26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26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3">
        <v>44763</v>
      </c>
      <c r="B1694" s="19" t="s">
        <v>145</v>
      </c>
      <c r="C1694" s="21">
        <f t="shared" si="26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26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26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26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26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26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26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26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26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26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26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26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26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26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26"/>
        <v>0</v>
      </c>
    </row>
    <row r="1709" spans="1:122" x14ac:dyDescent="0.25">
      <c r="A1709" s="127">
        <v>44764</v>
      </c>
      <c r="B1709" s="24" t="s">
        <v>59</v>
      </c>
      <c r="C1709" s="21">
        <f t="shared" si="26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26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26"/>
        <v>-16.875</v>
      </c>
      <c r="BO1711" s="74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26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27">SUM(D1713:JT1713)</f>
        <v>-15.1</v>
      </c>
      <c r="CY1713" s="74">
        <v>-15.1</v>
      </c>
    </row>
    <row r="1714" spans="1:229" x14ac:dyDescent="0.25">
      <c r="A1714" s="127">
        <v>44767</v>
      </c>
      <c r="B1714" s="24" t="s">
        <v>123</v>
      </c>
      <c r="C1714" s="21">
        <f t="shared" si="27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27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27">
        <v>44768</v>
      </c>
      <c r="B1716" s="24" t="s">
        <v>79</v>
      </c>
      <c r="C1716" s="21">
        <f t="shared" si="27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27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27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27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27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27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27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27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27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27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27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27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27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27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27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27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27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27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27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27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27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27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27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27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27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27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27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27"/>
        <v>0</v>
      </c>
    </row>
    <row r="1744" spans="1:238" x14ac:dyDescent="0.25">
      <c r="A1744" s="127">
        <v>44775</v>
      </c>
      <c r="B1744" s="24" t="s">
        <v>75</v>
      </c>
      <c r="C1744" s="21">
        <f t="shared" si="27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27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27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27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27"/>
        <v>0</v>
      </c>
    </row>
    <row r="1749" spans="1:240" x14ac:dyDescent="0.25">
      <c r="A1749" s="127">
        <v>44775</v>
      </c>
      <c r="B1749" s="24" t="s">
        <v>72</v>
      </c>
      <c r="C1749" s="21">
        <f t="shared" si="27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27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27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27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27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74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27"/>
        <v>-590.995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74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27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27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27"/>
        <v>-474.065</v>
      </c>
      <c r="AE1757" s="42">
        <v>-33.76</v>
      </c>
      <c r="BH1757" s="69">
        <v>-67.805000000000007</v>
      </c>
      <c r="CA1757" s="74">
        <v>-67</v>
      </c>
      <c r="CG1757" s="74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27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27"/>
        <v>-17.21</v>
      </c>
      <c r="BI1759" s="74">
        <v>-8.6999999999999993</v>
      </c>
      <c r="CG1759" s="74">
        <v>-8.51</v>
      </c>
    </row>
    <row r="1760" spans="1:240" x14ac:dyDescent="0.25">
      <c r="A1760" s="127">
        <v>44776</v>
      </c>
      <c r="B1760" s="24" t="s">
        <v>31</v>
      </c>
      <c r="C1760" s="21">
        <f t="shared" si="27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27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27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27"/>
        <v>-34.85</v>
      </c>
      <c r="BI1763" s="74">
        <v>-34.85</v>
      </c>
    </row>
    <row r="1764" spans="1:238" x14ac:dyDescent="0.25">
      <c r="A1764" s="127">
        <v>44778</v>
      </c>
      <c r="B1764" s="24" t="s">
        <v>113</v>
      </c>
      <c r="C1764" s="21">
        <f t="shared" si="27"/>
        <v>1094.67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27"/>
        <v>-142.37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74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27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27"/>
        <v>-15.81</v>
      </c>
      <c r="BO1767" s="74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27"/>
        <v>-193.095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27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74">
        <v>-48</v>
      </c>
    </row>
    <row r="1770" spans="1:238" x14ac:dyDescent="0.25">
      <c r="A1770" s="127">
        <v>44781</v>
      </c>
      <c r="B1770" s="24" t="s">
        <v>59</v>
      </c>
      <c r="C1770" s="21">
        <f t="shared" si="27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27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27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27"/>
        <v>-304.54000000000002</v>
      </c>
      <c r="BI1773" s="74">
        <v>-103.4</v>
      </c>
      <c r="CG1773" s="74">
        <v>-66.37</v>
      </c>
      <c r="CM1773" s="74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27"/>
        <v>-171.06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74">
        <v>-24.55</v>
      </c>
      <c r="CM1774" s="74">
        <v>-16.8</v>
      </c>
    </row>
    <row r="1775" spans="1:238" x14ac:dyDescent="0.25">
      <c r="A1775" s="127">
        <v>44781</v>
      </c>
      <c r="B1775" s="24" t="s">
        <v>113</v>
      </c>
      <c r="C1775" s="21">
        <f t="shared" si="27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27"/>
        <v>-15.7</v>
      </c>
      <c r="BI1776" s="74">
        <v>-8.6999999999999993</v>
      </c>
      <c r="BO1776" s="74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28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28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28"/>
        <v>-66.355000000000004</v>
      </c>
      <c r="BI1779" s="74">
        <v>-8.6999999999999993</v>
      </c>
      <c r="BO1779" s="74">
        <v>-6.75</v>
      </c>
      <c r="CG1779" s="74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28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28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28"/>
        <v>-8.51</v>
      </c>
      <c r="CG1782" s="74">
        <v>-8.51</v>
      </c>
    </row>
    <row r="1783" spans="1:208" x14ac:dyDescent="0.25">
      <c r="A1783" s="127">
        <v>44784</v>
      </c>
      <c r="B1783" s="24" t="s">
        <v>32</v>
      </c>
      <c r="C1783" s="21">
        <f t="shared" si="28"/>
        <v>-34.68</v>
      </c>
      <c r="BI1783" s="74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28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28"/>
        <v>356.65</v>
      </c>
      <c r="CM1785" s="74">
        <v>175.05</v>
      </c>
      <c r="DK1785" s="74">
        <v>181.6</v>
      </c>
    </row>
    <row r="1786" spans="1:208" x14ac:dyDescent="0.25">
      <c r="A1786" s="127">
        <v>44784</v>
      </c>
      <c r="B1786" s="24" t="s">
        <v>89</v>
      </c>
      <c r="C1786" s="21">
        <f t="shared" si="28"/>
        <v>-356.16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28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28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28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28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28"/>
        <v>0</v>
      </c>
    </row>
    <row r="1792" spans="1:208" x14ac:dyDescent="0.25">
      <c r="A1792" s="127">
        <v>44785</v>
      </c>
      <c r="B1792" s="24" t="s">
        <v>20</v>
      </c>
      <c r="C1792" s="21">
        <f t="shared" si="28"/>
        <v>-8.0500000000000007</v>
      </c>
      <c r="BC1792" s="74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28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27">
        <v>44785</v>
      </c>
      <c r="B1794" s="24" t="s">
        <v>40</v>
      </c>
      <c r="C1794" s="21">
        <f t="shared" si="28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28"/>
        <v>0</v>
      </c>
    </row>
    <row r="1796" spans="1:229" x14ac:dyDescent="0.25">
      <c r="A1796" s="127">
        <v>44785</v>
      </c>
      <c r="B1796" s="24" t="s">
        <v>17</v>
      </c>
      <c r="C1796" s="21">
        <f t="shared" si="28"/>
        <v>-203.8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28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28"/>
        <v>-50.89</v>
      </c>
      <c r="AN1798" s="74">
        <v>-15.4</v>
      </c>
      <c r="AR1798" s="74">
        <v>-35.49</v>
      </c>
    </row>
    <row r="1799" spans="1:229" x14ac:dyDescent="0.25">
      <c r="A1799" s="127">
        <v>44788</v>
      </c>
      <c r="B1799" s="24" t="s">
        <v>32</v>
      </c>
      <c r="C1799" s="21">
        <f t="shared" si="28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74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28"/>
        <v>-832.44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28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27">
        <v>44788</v>
      </c>
      <c r="B1802" s="24" t="s">
        <v>37</v>
      </c>
      <c r="C1802" s="21">
        <f t="shared" si="28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28"/>
        <v>-16.52</v>
      </c>
      <c r="CA1803" s="74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28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28"/>
        <v>-33.655000000000001</v>
      </c>
      <c r="AW1805" s="74">
        <v>-8.2899999999999991</v>
      </c>
      <c r="CA1805" s="74">
        <v>-8.4499999999999993</v>
      </c>
      <c r="CG1805" s="74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28"/>
        <v>-17.04</v>
      </c>
      <c r="BI1806" s="74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28"/>
        <v>-8.0500000000000007</v>
      </c>
      <c r="BC1807" s="74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28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28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28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28"/>
        <v>-16.52</v>
      </c>
      <c r="CA1811" s="74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28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28"/>
        <v>0</v>
      </c>
    </row>
    <row r="1814" spans="1:226" x14ac:dyDescent="0.25">
      <c r="A1814" s="127">
        <v>44790</v>
      </c>
      <c r="B1814" s="24" t="s">
        <v>113</v>
      </c>
      <c r="C1814" s="21">
        <f t="shared" si="28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28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28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28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28"/>
        <v>-67.52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28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28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28"/>
        <v>-205.86</v>
      </c>
      <c r="CY1821" s="74">
        <v>-205.86</v>
      </c>
    </row>
    <row r="1822" spans="1:226" x14ac:dyDescent="0.25">
      <c r="A1822" s="127">
        <v>44790</v>
      </c>
      <c r="B1822" s="24" t="s">
        <v>15</v>
      </c>
      <c r="C1822" s="21">
        <f t="shared" si="28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28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28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28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28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28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28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28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28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28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28"/>
        <v>-16.5</v>
      </c>
      <c r="BI1832" s="74">
        <v>-8.65</v>
      </c>
      <c r="BO1832" s="74">
        <v>-7.85</v>
      </c>
    </row>
    <row r="1833" spans="1:226" x14ac:dyDescent="0.25">
      <c r="A1833" s="127">
        <v>44791</v>
      </c>
      <c r="B1833" s="24" t="s">
        <v>17</v>
      </c>
      <c r="C1833" s="21">
        <f t="shared" si="28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28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27">
        <v>44791</v>
      </c>
      <c r="B1835" s="24" t="s">
        <v>59</v>
      </c>
      <c r="C1835" s="21">
        <f t="shared" si="28"/>
        <v>-13.35</v>
      </c>
      <c r="CM1835" s="74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28"/>
        <v>-135.38999999999999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27">
        <v>44792</v>
      </c>
      <c r="B1837" s="24" t="s">
        <v>18</v>
      </c>
      <c r="C1837" s="21">
        <f t="shared" si="28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28"/>
        <v>-16.350000000000001</v>
      </c>
      <c r="CM1838" s="74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28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28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74">
        <v>-8.15</v>
      </c>
      <c r="CM1840" s="74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29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29"/>
        <v>1743.04</v>
      </c>
      <c r="Z1842" s="79">
        <v>353.61</v>
      </c>
      <c r="AC1842" s="74">
        <v>349.3</v>
      </c>
      <c r="AW1842" s="74">
        <v>350.28</v>
      </c>
      <c r="CG1842" s="74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29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29"/>
        <v>-483.01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74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29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74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29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29"/>
        <v>5</v>
      </c>
      <c r="CY1847" s="74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29"/>
        <v>-124.13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29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29"/>
        <v>-9.52</v>
      </c>
      <c r="Z1850" s="79">
        <v>-1.31</v>
      </c>
      <c r="CG1850" s="74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29"/>
        <v>-16.489999999999998</v>
      </c>
      <c r="CA1851" s="74">
        <v>-8.19</v>
      </c>
      <c r="CG1851" s="74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29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27">
        <v>44796</v>
      </c>
      <c r="B1853" s="24" t="s">
        <v>134</v>
      </c>
      <c r="C1853" s="21">
        <f t="shared" si="29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29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29"/>
        <v>-41.52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29"/>
        <v>-42.77</v>
      </c>
      <c r="BO1856" s="74">
        <v>-9.0500000000000007</v>
      </c>
      <c r="BU1856" s="74">
        <v>-8.65</v>
      </c>
      <c r="CA1856" s="74">
        <v>-8.17</v>
      </c>
      <c r="CG1856" s="74">
        <v>-8.25</v>
      </c>
      <c r="CM1856" s="74">
        <v>-8.65</v>
      </c>
    </row>
    <row r="1857" spans="1:199" x14ac:dyDescent="0.25">
      <c r="A1857" s="127">
        <v>44796</v>
      </c>
      <c r="B1857" s="24" t="s">
        <v>50</v>
      </c>
      <c r="C1857" s="21">
        <f t="shared" si="29"/>
        <v>0</v>
      </c>
    </row>
    <row r="1858" spans="1:199" x14ac:dyDescent="0.25">
      <c r="A1858" s="127">
        <v>44796</v>
      </c>
      <c r="B1858" s="24" t="s">
        <v>95</v>
      </c>
      <c r="C1858" s="21">
        <f t="shared" si="29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27">
        <v>44796</v>
      </c>
      <c r="B1859" s="24" t="s">
        <v>147</v>
      </c>
      <c r="C1859" s="21">
        <f t="shared" si="29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27">
        <v>44796</v>
      </c>
      <c r="B1860" s="24" t="s">
        <v>151</v>
      </c>
      <c r="C1860" s="21">
        <f t="shared" si="29"/>
        <v>-59.93</v>
      </c>
      <c r="DK1860" s="74">
        <v>-59.93</v>
      </c>
    </row>
    <row r="1861" spans="1:199" x14ac:dyDescent="0.25">
      <c r="A1861" s="127">
        <v>44797</v>
      </c>
      <c r="B1861" s="24" t="s">
        <v>44</v>
      </c>
      <c r="C1861" s="21">
        <f t="shared" si="29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29"/>
        <v>-169.45</v>
      </c>
      <c r="CG1862" s="74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29"/>
        <v>-132.32</v>
      </c>
      <c r="O1863" s="428">
        <v>-8.49</v>
      </c>
      <c r="CA1863" s="74">
        <v>-8.11</v>
      </c>
      <c r="CG1863" s="74">
        <v>-32.700000000000003</v>
      </c>
      <c r="CN1863" s="121">
        <v>-16.78</v>
      </c>
      <c r="CY1863" s="74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29"/>
        <v>-25.96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29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29"/>
        <v>-33.78</v>
      </c>
      <c r="AN1866" s="74">
        <v>-8.4</v>
      </c>
      <c r="BI1866" s="74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29"/>
        <v>-25.16</v>
      </c>
      <c r="CC1867" s="126">
        <v>-8.2100000000000009</v>
      </c>
      <c r="CG1867" s="74">
        <v>-8.25</v>
      </c>
      <c r="CM1867" s="74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29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29"/>
        <v>-5.34</v>
      </c>
      <c r="BU1869" s="74">
        <v>-2.1800000000000002</v>
      </c>
      <c r="CA1869" s="74">
        <v>-3.16</v>
      </c>
    </row>
    <row r="1870" spans="1:199" x14ac:dyDescent="0.25">
      <c r="A1870" s="127">
        <v>44797</v>
      </c>
      <c r="B1870" s="24" t="s">
        <v>65</v>
      </c>
      <c r="C1870" s="21">
        <f t="shared" si="29"/>
        <v>0</v>
      </c>
    </row>
    <row r="1871" spans="1:199" x14ac:dyDescent="0.25">
      <c r="A1871" s="127">
        <v>44798</v>
      </c>
      <c r="B1871" s="24" t="s">
        <v>68</v>
      </c>
      <c r="C1871" s="21">
        <f t="shared" si="29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29"/>
        <v>-880.89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74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29"/>
        <v>-31.87</v>
      </c>
      <c r="BD1873" s="121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27">
        <v>44798</v>
      </c>
      <c r="B1874" s="24" t="s">
        <v>113</v>
      </c>
      <c r="C1874" s="21">
        <f t="shared" si="29"/>
        <v>1632.11</v>
      </c>
      <c r="BC1874" s="74">
        <v>64.099999999999994</v>
      </c>
      <c r="CG1874" s="74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29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29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29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29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29"/>
        <v>-7.87</v>
      </c>
      <c r="BI1879" s="74">
        <v>-7.87</v>
      </c>
    </row>
    <row r="1880" spans="1:226" x14ac:dyDescent="0.25">
      <c r="A1880" s="127">
        <v>44799</v>
      </c>
      <c r="B1880" s="24" t="s">
        <v>37</v>
      </c>
      <c r="C1880" s="21">
        <f t="shared" si="29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29"/>
        <v>-1.78</v>
      </c>
      <c r="CG1881" s="74">
        <v>-1.78</v>
      </c>
    </row>
    <row r="1882" spans="1:226" x14ac:dyDescent="0.25">
      <c r="A1882" s="127">
        <v>44799</v>
      </c>
      <c r="B1882" s="24" t="s">
        <v>153</v>
      </c>
      <c r="C1882" s="21">
        <f t="shared" si="29"/>
        <v>0</v>
      </c>
    </row>
    <row r="1883" spans="1:226" x14ac:dyDescent="0.25">
      <c r="A1883" s="127">
        <v>44799</v>
      </c>
      <c r="B1883" s="24" t="s">
        <v>64</v>
      </c>
      <c r="C1883" s="21">
        <f t="shared" si="29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29"/>
        <v>-134.9</v>
      </c>
      <c r="AW1884" s="74">
        <v>-33.47</v>
      </c>
      <c r="BO1884" s="74">
        <v>-33.979999999999997</v>
      </c>
      <c r="CG1884" s="74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29"/>
        <v>-201.65</v>
      </c>
      <c r="BU1885" s="74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29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29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29"/>
        <v>0</v>
      </c>
    </row>
    <row r="1889" spans="1:220" x14ac:dyDescent="0.25">
      <c r="A1889" s="127">
        <v>44802</v>
      </c>
      <c r="B1889" s="24" t="s">
        <v>53</v>
      </c>
      <c r="C1889" s="21">
        <f t="shared" si="29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29"/>
        <v>-33.75</v>
      </c>
      <c r="BO1890" s="74">
        <v>-8.89</v>
      </c>
      <c r="BU1890" s="74">
        <v>-8.0500000000000007</v>
      </c>
      <c r="CC1890" s="126">
        <v>-8.61</v>
      </c>
      <c r="CG1890" s="74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29"/>
        <v>-8.68</v>
      </c>
      <c r="O1891" s="428">
        <v>-8.68</v>
      </c>
    </row>
    <row r="1892" spans="1:220" x14ac:dyDescent="0.25">
      <c r="A1892" s="127">
        <v>44803</v>
      </c>
      <c r="B1892" s="24" t="s">
        <v>127</v>
      </c>
      <c r="C1892" s="21">
        <f t="shared" si="29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29"/>
        <v>0</v>
      </c>
    </row>
    <row r="1894" spans="1:220" x14ac:dyDescent="0.25">
      <c r="A1894" s="127">
        <v>44803</v>
      </c>
      <c r="B1894" s="24" t="s">
        <v>75</v>
      </c>
      <c r="C1894" s="21">
        <f t="shared" si="29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29"/>
        <v>-204.06</v>
      </c>
      <c r="AW1895" s="74">
        <v>-16.68</v>
      </c>
      <c r="BC1895" s="74">
        <v>-8.35</v>
      </c>
      <c r="BI1895" s="74">
        <v>-8.19</v>
      </c>
      <c r="BR1895" s="115">
        <v>-28.32</v>
      </c>
      <c r="BU1895" s="74">
        <v>-17.350000000000001</v>
      </c>
      <c r="CC1895" s="126">
        <v>-25.58</v>
      </c>
      <c r="CG1895" s="74">
        <v>-24.65</v>
      </c>
      <c r="CP1895" s="115">
        <v>-16.59</v>
      </c>
      <c r="CV1895" s="115">
        <v>-16.43</v>
      </c>
      <c r="DE1895" s="74">
        <v>-16.68</v>
      </c>
      <c r="DM1895" s="150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29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29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29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29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29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27">
        <v>44804</v>
      </c>
      <c r="B1901" s="24" t="s">
        <v>154</v>
      </c>
      <c r="C1901" s="21">
        <f t="shared" si="29"/>
        <v>-42.09</v>
      </c>
      <c r="BU1901" s="74">
        <v>-8.6999999999999993</v>
      </c>
      <c r="CC1901" s="126">
        <v>-8.75</v>
      </c>
      <c r="CG1901" s="74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29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29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29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0">SUM(D1905:JT1905)</f>
        <v>2714.9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0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0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0"/>
        <v>-496.82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0"/>
        <v>-192.95</v>
      </c>
      <c r="AW1909" s="74">
        <v>-33.24</v>
      </c>
      <c r="BO1909" s="74">
        <v>-34.299999999999997</v>
      </c>
      <c r="BU1909" s="74">
        <v>-34</v>
      </c>
      <c r="CG1909" s="74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0"/>
        <v>-207.42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0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0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0"/>
        <v>-171.86500000000001</v>
      </c>
      <c r="O1913" s="428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0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74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0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0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0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0"/>
        <v>-10.96</v>
      </c>
      <c r="O1918" s="428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0"/>
        <v>0</v>
      </c>
    </row>
    <row r="1920" spans="1:214" x14ac:dyDescent="0.25">
      <c r="A1920" s="127">
        <v>44807</v>
      </c>
      <c r="B1920" s="24" t="s">
        <v>113</v>
      </c>
      <c r="C1920" s="21">
        <f t="shared" si="30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0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0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0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0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0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0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0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27">
        <v>44810</v>
      </c>
      <c r="B1928" s="24" t="s">
        <v>65</v>
      </c>
      <c r="C1928" s="21">
        <f t="shared" si="30"/>
        <v>0</v>
      </c>
    </row>
    <row r="1929" spans="1:227" x14ac:dyDescent="0.25">
      <c r="A1929" s="127">
        <v>44810</v>
      </c>
      <c r="B1929" s="24" t="s">
        <v>68</v>
      </c>
      <c r="C1929" s="21">
        <f t="shared" si="30"/>
        <v>-67.349999999999994</v>
      </c>
      <c r="AN1929" s="74">
        <v>-32.450000000000003</v>
      </c>
      <c r="CA1929" s="74">
        <v>-34.9</v>
      </c>
    </row>
    <row r="1930" spans="1:227" x14ac:dyDescent="0.25">
      <c r="A1930" s="127">
        <v>44810</v>
      </c>
      <c r="B1930" s="24" t="s">
        <v>59</v>
      </c>
      <c r="C1930" s="21">
        <f t="shared" si="30"/>
        <v>-7.52</v>
      </c>
      <c r="CP1930" s="115">
        <v>-3.64</v>
      </c>
      <c r="CY1930" s="74">
        <v>-3.88</v>
      </c>
    </row>
    <row r="1931" spans="1:227" x14ac:dyDescent="0.25">
      <c r="A1931" s="127">
        <v>44811</v>
      </c>
      <c r="B1931" s="24" t="s">
        <v>111</v>
      </c>
      <c r="C1931" s="21">
        <f t="shared" si="30"/>
        <v>-34.1</v>
      </c>
      <c r="CA1931" s="74">
        <v>-17.45</v>
      </c>
      <c r="CG1931" s="74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0"/>
        <v>-17.72</v>
      </c>
      <c r="CS1932" s="74">
        <v>-9.17</v>
      </c>
      <c r="CY1932" s="74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0"/>
        <v>-479.85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0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0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0"/>
        <v>-41.27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0"/>
        <v>-18.97</v>
      </c>
      <c r="V1937" s="74">
        <v>-8.67</v>
      </c>
      <c r="AC1937" s="74">
        <v>-7.9</v>
      </c>
      <c r="CG1937" s="74">
        <v>-2.4</v>
      </c>
    </row>
    <row r="1938" spans="1:231" x14ac:dyDescent="0.25">
      <c r="A1938" s="127">
        <v>44811</v>
      </c>
      <c r="B1938" s="24" t="s">
        <v>37</v>
      </c>
      <c r="C1938" s="21">
        <f t="shared" si="30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0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74">
        <v>-8.35</v>
      </c>
    </row>
    <row r="1940" spans="1:231" x14ac:dyDescent="0.25">
      <c r="A1940" s="127">
        <v>44811</v>
      </c>
      <c r="B1940" s="24" t="s">
        <v>127</v>
      </c>
      <c r="C1940" s="21">
        <f t="shared" si="30"/>
        <v>-15.38</v>
      </c>
      <c r="BC1940" s="74">
        <v>-7.33</v>
      </c>
      <c r="BU1940" s="74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0"/>
        <v>0</v>
      </c>
    </row>
    <row r="1942" spans="1:231" x14ac:dyDescent="0.25">
      <c r="A1942" s="127">
        <v>44811</v>
      </c>
      <c r="B1942" s="24" t="s">
        <v>137</v>
      </c>
      <c r="C1942" s="21">
        <f t="shared" si="30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27">
        <v>44811</v>
      </c>
      <c r="B1943" s="24" t="s">
        <v>113</v>
      </c>
      <c r="C1943" s="21">
        <f t="shared" si="30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0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0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0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0"/>
        <v>-8.51</v>
      </c>
      <c r="AR1947" s="74">
        <v>-8.51</v>
      </c>
    </row>
    <row r="1948" spans="1:231" x14ac:dyDescent="0.25">
      <c r="A1948" s="127">
        <v>44812</v>
      </c>
      <c r="B1948" s="24" t="s">
        <v>40</v>
      </c>
      <c r="C1948" s="21">
        <f t="shared" si="30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0"/>
        <v>-61.71</v>
      </c>
      <c r="AZ1949" s="115">
        <v>-33.79</v>
      </c>
      <c r="BC1949" s="74">
        <v>-27.92</v>
      </c>
    </row>
    <row r="1950" spans="1:231" x14ac:dyDescent="0.25">
      <c r="A1950" s="127">
        <v>44812</v>
      </c>
      <c r="B1950" s="24" t="s">
        <v>15</v>
      </c>
      <c r="C1950" s="21">
        <f t="shared" si="30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0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0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0"/>
        <v>0</v>
      </c>
    </row>
    <row r="1954" spans="1:240" x14ac:dyDescent="0.25">
      <c r="A1954" s="127">
        <v>44813</v>
      </c>
      <c r="B1954" s="24" t="s">
        <v>123</v>
      </c>
      <c r="C1954" s="21">
        <f t="shared" si="30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0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0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74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0"/>
        <v>1194.4000000000001</v>
      </c>
      <c r="CG1957" s="74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0"/>
        <v>-32.36</v>
      </c>
      <c r="CA1958" s="74">
        <v>-17.100000000000001</v>
      </c>
      <c r="CG1958" s="74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0"/>
        <v>-51.21</v>
      </c>
      <c r="AR1959" s="74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0"/>
        <v>0</v>
      </c>
    </row>
    <row r="1961" spans="1:240" x14ac:dyDescent="0.25">
      <c r="A1961" s="127">
        <v>44816</v>
      </c>
      <c r="B1961" s="24" t="s">
        <v>115</v>
      </c>
      <c r="C1961" s="21">
        <f t="shared" si="30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0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27">
        <v>44817</v>
      </c>
      <c r="B1963" s="24" t="s">
        <v>113</v>
      </c>
      <c r="C1963" s="21">
        <f t="shared" si="30"/>
        <v>2017.99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0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0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0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0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0"/>
        <v>-7.75</v>
      </c>
      <c r="CG1968" s="74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1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1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1"/>
        <v>-17.25</v>
      </c>
      <c r="BI1971" s="74">
        <v>-8.5500000000000007</v>
      </c>
      <c r="CA1971" s="74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1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74">
        <v>-7.57</v>
      </c>
      <c r="CM1972" s="74">
        <v>-8.35</v>
      </c>
    </row>
    <row r="1973" spans="1:208" x14ac:dyDescent="0.25">
      <c r="A1973" s="127">
        <v>44817</v>
      </c>
      <c r="B1973" s="24" t="s">
        <v>95</v>
      </c>
      <c r="C1973" s="21">
        <f t="shared" si="31"/>
        <v>-134.5</v>
      </c>
      <c r="CG1973" s="74">
        <v>-67.14</v>
      </c>
      <c r="CM1973" s="74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1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1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1"/>
        <v>-26.55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1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1"/>
        <v>-781.37</v>
      </c>
      <c r="BI1978" s="74">
        <v>-344.5</v>
      </c>
      <c r="CG1978" s="74">
        <v>-334.58</v>
      </c>
      <c r="DK1978" s="74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1"/>
        <v>-15.49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1"/>
        <v>-750.87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1"/>
        <v>-16.55</v>
      </c>
      <c r="CM1981" s="74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1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1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1"/>
        <v>-48.05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27">
        <v>44818</v>
      </c>
      <c r="B1985" s="24" t="s">
        <v>64</v>
      </c>
      <c r="C1985" s="21">
        <f t="shared" si="31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1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1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1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1"/>
        <v>-210.98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1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1"/>
        <v>0</v>
      </c>
    </row>
    <row r="1992" spans="1:225" x14ac:dyDescent="0.25">
      <c r="A1992" s="127">
        <v>44820</v>
      </c>
      <c r="B1992" s="24" t="s">
        <v>94</v>
      </c>
      <c r="C1992" s="21">
        <f t="shared" si="31"/>
        <v>0</v>
      </c>
    </row>
    <row r="1993" spans="1:225" x14ac:dyDescent="0.25">
      <c r="A1993" s="127">
        <v>44820</v>
      </c>
      <c r="B1993" s="24" t="s">
        <v>84</v>
      </c>
      <c r="C1993" s="21">
        <f t="shared" si="31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1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1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1"/>
        <v>2099.54</v>
      </c>
      <c r="BI1996" s="74">
        <v>348</v>
      </c>
      <c r="BU1996" s="74">
        <v>355.4</v>
      </c>
      <c r="CG1996" s="74">
        <v>589.15</v>
      </c>
      <c r="CY1996" s="74">
        <v>368.95</v>
      </c>
      <c r="DK1996" s="74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1"/>
        <v>-366.01</v>
      </c>
      <c r="BI1997" s="74">
        <v>-165</v>
      </c>
      <c r="BU1997" s="74">
        <v>-65.75</v>
      </c>
      <c r="CG1997" s="74">
        <v>-104.5</v>
      </c>
      <c r="DK1997" s="74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1"/>
        <v>-167.28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27">
        <v>44824</v>
      </c>
      <c r="B1999" s="24" t="s">
        <v>17</v>
      </c>
      <c r="C1999" s="21">
        <f t="shared" si="31"/>
        <v>-166.25</v>
      </c>
      <c r="BI1999" s="74">
        <v>-32.799999999999997</v>
      </c>
      <c r="BU1999" s="74">
        <v>-62.55</v>
      </c>
      <c r="CG1999" s="74">
        <v>-34.5</v>
      </c>
      <c r="CY1999" s="74">
        <v>-36.4</v>
      </c>
    </row>
    <row r="2000" spans="1:225" x14ac:dyDescent="0.25">
      <c r="A2000" s="127">
        <v>44824</v>
      </c>
      <c r="B2000" s="24" t="s">
        <v>78</v>
      </c>
      <c r="C2000" s="21">
        <f t="shared" si="31"/>
        <v>-43.1</v>
      </c>
      <c r="BI2000" s="74">
        <v>-34.35</v>
      </c>
      <c r="CA2000" s="74">
        <v>-8.75</v>
      </c>
    </row>
    <row r="2001" spans="1:238" x14ac:dyDescent="0.25">
      <c r="A2001" s="127">
        <v>44824</v>
      </c>
      <c r="B2001" s="24" t="s">
        <v>44</v>
      </c>
      <c r="C2001" s="21">
        <f t="shared" si="31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1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1"/>
        <v>-15.35</v>
      </c>
      <c r="BU2003" s="74">
        <v>-15.35</v>
      </c>
    </row>
    <row r="2004" spans="1:238" x14ac:dyDescent="0.25">
      <c r="A2004" s="127">
        <v>44824</v>
      </c>
      <c r="B2004" s="24" t="s">
        <v>20</v>
      </c>
      <c r="C2004" s="21">
        <f t="shared" si="31"/>
        <v>-47.93</v>
      </c>
      <c r="BI2004" s="74">
        <v>-8.35</v>
      </c>
      <c r="BO2004" s="74">
        <v>-7.89</v>
      </c>
      <c r="BU2004" s="74">
        <v>-8.15</v>
      </c>
      <c r="CG2004" s="74">
        <v>-8.65</v>
      </c>
      <c r="CM2004" s="74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1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1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27">
        <v>44825</v>
      </c>
      <c r="B2007" s="24" t="s">
        <v>65</v>
      </c>
      <c r="C2007" s="21">
        <f t="shared" si="31"/>
        <v>-24.23</v>
      </c>
      <c r="AR2007" s="74">
        <v>-17</v>
      </c>
      <c r="BC2007" s="74">
        <v>-7.23</v>
      </c>
    </row>
    <row r="2008" spans="1:238" x14ac:dyDescent="0.25">
      <c r="A2008" s="127">
        <v>44825</v>
      </c>
      <c r="B2008" s="24" t="s">
        <v>79</v>
      </c>
      <c r="C2008" s="21">
        <f t="shared" si="31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27">
        <v>44825</v>
      </c>
      <c r="B2009" s="24" t="s">
        <v>25</v>
      </c>
      <c r="C2009" s="21">
        <f t="shared" si="31"/>
        <v>-66.19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74">
        <v>-8.65</v>
      </c>
    </row>
    <row r="2010" spans="1:238" x14ac:dyDescent="0.25">
      <c r="A2010" s="127">
        <v>44825</v>
      </c>
      <c r="B2010" s="24" t="s">
        <v>33</v>
      </c>
      <c r="C2010" s="21">
        <f t="shared" si="31"/>
        <v>-24.89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27">
        <v>44825</v>
      </c>
      <c r="B2011" s="24" t="s">
        <v>138</v>
      </c>
      <c r="C2011" s="21">
        <f t="shared" si="31"/>
        <v>-45.44</v>
      </c>
      <c r="AW2011" s="74">
        <v>-8.4</v>
      </c>
      <c r="BC2011" s="74">
        <v>-5.6</v>
      </c>
      <c r="BD2011" s="121">
        <v>-6.97</v>
      </c>
      <c r="BI2011" s="74">
        <v>-16.8</v>
      </c>
      <c r="BO2011" s="74">
        <v>-7.67</v>
      </c>
    </row>
    <row r="2012" spans="1:238" x14ac:dyDescent="0.25">
      <c r="A2012" s="127">
        <v>44825</v>
      </c>
      <c r="B2012" s="24" t="s">
        <v>139</v>
      </c>
      <c r="C2012" s="21">
        <f t="shared" si="31"/>
        <v>-16.670000000000002</v>
      </c>
      <c r="CG2012" s="74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1"/>
        <v>-36.64</v>
      </c>
      <c r="O2013" s="428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27">
        <v>44825</v>
      </c>
      <c r="B2014" s="24" t="s">
        <v>31</v>
      </c>
      <c r="C2014" s="21">
        <f t="shared" si="31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1"/>
        <v>-7.55</v>
      </c>
      <c r="BI2015" s="74">
        <v>-7.55</v>
      </c>
    </row>
    <row r="2016" spans="1:238" x14ac:dyDescent="0.25">
      <c r="A2016" s="127">
        <v>44825</v>
      </c>
      <c r="B2016" s="24" t="s">
        <v>162</v>
      </c>
      <c r="C2016" s="21">
        <f t="shared" si="31"/>
        <v>-89.54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74">
        <v>-8.65</v>
      </c>
      <c r="CS2016" s="74">
        <v>-7.81</v>
      </c>
      <c r="CY2016" s="74">
        <v>-8.6</v>
      </c>
    </row>
    <row r="2017" spans="1:224" x14ac:dyDescent="0.25">
      <c r="A2017" s="127">
        <v>44825</v>
      </c>
      <c r="B2017" s="24" t="s">
        <v>75</v>
      </c>
      <c r="C2017" s="21">
        <f t="shared" si="31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27">
        <v>44825</v>
      </c>
      <c r="B2018" s="24" t="s">
        <v>25</v>
      </c>
      <c r="C2018" s="21">
        <f t="shared" si="31"/>
        <v>-15.85</v>
      </c>
      <c r="BU2018" s="74">
        <v>-15.85</v>
      </c>
    </row>
    <row r="2019" spans="1:224" x14ac:dyDescent="0.25">
      <c r="A2019" s="127">
        <v>44826</v>
      </c>
      <c r="B2019" s="24" t="s">
        <v>89</v>
      </c>
      <c r="C2019" s="21">
        <f t="shared" si="31"/>
        <v>-744.15</v>
      </c>
      <c r="AW2019" s="74">
        <v>-66.8</v>
      </c>
      <c r="BO2019" s="74">
        <v>-59.68</v>
      </c>
      <c r="CG2019" s="74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1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74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1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1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1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1"/>
        <v>-142.94</v>
      </c>
      <c r="AG2024" s="106">
        <v>-70.7</v>
      </c>
      <c r="BC2024" s="74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1"/>
        <v>-70.38</v>
      </c>
      <c r="BI2025" s="74">
        <v>-70.38</v>
      </c>
    </row>
    <row r="2026" spans="1:224" x14ac:dyDescent="0.25">
      <c r="A2026" s="127">
        <v>44827</v>
      </c>
      <c r="B2026" s="24" t="s">
        <v>20</v>
      </c>
      <c r="C2026" s="21">
        <f t="shared" si="31"/>
        <v>-59.65</v>
      </c>
      <c r="O2026" s="428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74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1"/>
        <v>-8.4</v>
      </c>
      <c r="CM2027" s="74">
        <v>-8.4</v>
      </c>
    </row>
    <row r="2028" spans="1:224" x14ac:dyDescent="0.25">
      <c r="A2028" s="127">
        <v>44827</v>
      </c>
      <c r="B2028" s="24" t="s">
        <v>146</v>
      </c>
      <c r="C2028" s="21">
        <f t="shared" si="31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1"/>
        <v>655.82</v>
      </c>
      <c r="BI2029" s="74">
        <v>30.1</v>
      </c>
      <c r="BO2029" s="74">
        <f>32.8+33.15</f>
        <v>65.95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1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1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1"/>
        <v>-11.35</v>
      </c>
      <c r="CM2032" s="74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2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2"/>
        <v>-796.08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74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2"/>
        <v>-11.18</v>
      </c>
      <c r="CE2035" s="42">
        <f>-(8.79-4.34)</f>
        <v>-4.45</v>
      </c>
      <c r="CY2035" s="74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2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2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2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2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2"/>
        <v>-219.54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74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2"/>
        <v>-58.72</v>
      </c>
      <c r="BC2041" s="74">
        <v>-18.010000000000002</v>
      </c>
      <c r="BU2041" s="74">
        <v>-15.66</v>
      </c>
      <c r="CG2041" s="74">
        <v>-16.7</v>
      </c>
      <c r="CM2041" s="74">
        <v>-8.35</v>
      </c>
    </row>
    <row r="2042" spans="1:224" x14ac:dyDescent="0.25">
      <c r="A2042" s="127">
        <v>44831</v>
      </c>
      <c r="B2042" s="24" t="s">
        <v>127</v>
      </c>
      <c r="C2042" s="21">
        <f t="shared" si="32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2"/>
        <v>-59.27</v>
      </c>
      <c r="Z2043" s="79">
        <v>-8.81</v>
      </c>
      <c r="BU2043" s="74">
        <v>-16.09</v>
      </c>
      <c r="BY2043" s="42">
        <v>-8.3699999999999992</v>
      </c>
      <c r="CG2043" s="74">
        <v>-17.350000000000001</v>
      </c>
      <c r="CM2043" s="74">
        <v>-8.65</v>
      </c>
    </row>
    <row r="2044" spans="1:224" x14ac:dyDescent="0.25">
      <c r="A2044" s="127">
        <v>44831</v>
      </c>
      <c r="B2044" s="24" t="s">
        <v>33</v>
      </c>
      <c r="C2044" s="21">
        <f t="shared" si="32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2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27">
        <v>44831</v>
      </c>
      <c r="B2046" s="24" t="s">
        <v>131</v>
      </c>
      <c r="C2046" s="21">
        <f t="shared" si="32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2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2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2"/>
        <v>-701.65</v>
      </c>
      <c r="BI2049" s="74">
        <v>-70.680000000000007</v>
      </c>
      <c r="CG2049" s="74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2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2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2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2"/>
        <v>-55.45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27">
        <v>44832</v>
      </c>
      <c r="B2054" s="24" t="s">
        <v>15</v>
      </c>
      <c r="C2054" s="21">
        <f t="shared" si="32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2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2"/>
        <v>-16.850000000000001</v>
      </c>
      <c r="CM2056" s="74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2"/>
        <v>-8.8800000000000008</v>
      </c>
      <c r="BC2057" s="74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2"/>
        <v>0</v>
      </c>
    </row>
    <row r="2059" spans="1:221" x14ac:dyDescent="0.25">
      <c r="A2059" s="127">
        <v>44833</v>
      </c>
      <c r="B2059" s="24" t="s">
        <v>139</v>
      </c>
      <c r="C2059" s="21">
        <f t="shared" si="32"/>
        <v>-53.89</v>
      </c>
      <c r="Z2059" s="79">
        <v>-9.0299999999999994</v>
      </c>
      <c r="BC2059" s="74">
        <v>-9.06</v>
      </c>
      <c r="BR2059" s="115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2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2"/>
        <v>-67.17</v>
      </c>
      <c r="BC2061" s="74">
        <f>-9.35-8.89</f>
        <v>-18.239999999999998</v>
      </c>
      <c r="BI2061" s="74">
        <f>-8.9-8.89</f>
        <v>-17.79</v>
      </c>
      <c r="DK2061" s="74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2"/>
        <v>-70.73</v>
      </c>
      <c r="AG2062" s="106">
        <v>-35.409999999999997</v>
      </c>
      <c r="BI2062" s="74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2"/>
        <v>3276.14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74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2"/>
        <v>1088.8499999999999</v>
      </c>
      <c r="BU2064" s="74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2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27">
        <v>44834</v>
      </c>
      <c r="B2066" s="24" t="s">
        <v>152</v>
      </c>
      <c r="C2066" s="21">
        <f t="shared" si="32"/>
        <v>-420.99</v>
      </c>
      <c r="CG2066" s="74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2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74">
        <v>-33.54</v>
      </c>
    </row>
    <row r="2068" spans="1:240" x14ac:dyDescent="0.25">
      <c r="A2068" s="127">
        <v>44834</v>
      </c>
      <c r="B2068" s="24" t="s">
        <v>37</v>
      </c>
      <c r="C2068" s="21">
        <f t="shared" si="32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2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74">
        <v>-34.24</v>
      </c>
      <c r="CM2069" s="74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2"/>
        <v>-267.33999999999997</v>
      </c>
      <c r="BI2070" s="74">
        <v>-64.2</v>
      </c>
      <c r="BO2070" s="74">
        <v>-68.55</v>
      </c>
      <c r="BU2070" s="74">
        <v>-69.349999999999994</v>
      </c>
      <c r="CG2070" s="74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2"/>
        <v>2090.23</v>
      </c>
      <c r="AR2071" s="74">
        <v>385.25</v>
      </c>
      <c r="CA2071" s="74">
        <v>366.84</v>
      </c>
      <c r="CG2071" s="74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2"/>
        <v>-17.14</v>
      </c>
      <c r="CA2072" s="74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2"/>
        <v>-33.47</v>
      </c>
      <c r="AW2073" s="74">
        <v>-8.4</v>
      </c>
      <c r="BC2073" s="74">
        <v>-8.9700000000000006</v>
      </c>
      <c r="BI2073" s="74">
        <v>-7.95</v>
      </c>
      <c r="CG2073" s="74">
        <v>-8.15</v>
      </c>
    </row>
    <row r="2074" spans="1:240" x14ac:dyDescent="0.25">
      <c r="A2074" s="127">
        <v>44838</v>
      </c>
      <c r="B2074" s="24" t="s">
        <v>162</v>
      </c>
      <c r="C2074" s="21">
        <f t="shared" si="32"/>
        <v>-16.760000000000002</v>
      </c>
      <c r="CA2074" s="74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2"/>
        <v>-24.6</v>
      </c>
      <c r="BO2075" s="74">
        <v>-8.4</v>
      </c>
      <c r="CA2075" s="74">
        <v>-16.2</v>
      </c>
    </row>
    <row r="2076" spans="1:240" x14ac:dyDescent="0.25">
      <c r="A2076" s="127">
        <v>44838</v>
      </c>
      <c r="B2076" s="24" t="s">
        <v>94</v>
      </c>
      <c r="C2076" s="21">
        <f t="shared" si="32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2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2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74">
        <v>-8.11</v>
      </c>
    </row>
    <row r="2079" spans="1:240" x14ac:dyDescent="0.25">
      <c r="A2079" s="127">
        <v>44838</v>
      </c>
      <c r="B2079" s="24" t="s">
        <v>31</v>
      </c>
      <c r="C2079" s="21">
        <f t="shared" si="32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2"/>
        <v>-33.380000000000003</v>
      </c>
      <c r="BI2080" s="74">
        <v>-7.9</v>
      </c>
      <c r="BU2080" s="74">
        <v>-8.6999999999999993</v>
      </c>
      <c r="CA2080" s="74">
        <v>-8.73</v>
      </c>
      <c r="CG2080" s="74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2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2"/>
        <v>-17.05</v>
      </c>
      <c r="BC2082" s="74">
        <v>-8.4</v>
      </c>
      <c r="BU2082" s="74">
        <v>-8.65</v>
      </c>
    </row>
    <row r="2083" spans="1:214" x14ac:dyDescent="0.25">
      <c r="A2083" s="127">
        <v>44838</v>
      </c>
      <c r="B2083" s="24" t="s">
        <v>37</v>
      </c>
      <c r="C2083" s="21">
        <f t="shared" si="32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2"/>
        <v>-634.41999999999996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2"/>
        <v>-167.8</v>
      </c>
      <c r="CG2085" s="74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2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2"/>
        <v>0</v>
      </c>
    </row>
    <row r="2088" spans="1:214" x14ac:dyDescent="0.25">
      <c r="A2088" s="127">
        <v>44839</v>
      </c>
      <c r="B2088" s="24" t="s">
        <v>152</v>
      </c>
      <c r="C2088" s="21">
        <f t="shared" si="32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74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2"/>
        <v>-33.11</v>
      </c>
      <c r="BY2089" s="42">
        <v>33.99</v>
      </c>
      <c r="CA2089" s="74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2"/>
        <v>2195.9299999999998</v>
      </c>
      <c r="BI2090" s="74">
        <v>343.2</v>
      </c>
      <c r="BO2090" s="74">
        <v>342.52</v>
      </c>
      <c r="CA2090" s="74">
        <f>421.99+320.08</f>
        <v>742.07</v>
      </c>
      <c r="CM2090" s="74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2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74">
        <v>-33.5</v>
      </c>
      <c r="CM2091" s="74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2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74">
        <v>-67.3</v>
      </c>
      <c r="CM2092" s="74">
        <v>-66.95</v>
      </c>
    </row>
    <row r="2093" spans="1:214" x14ac:dyDescent="0.25">
      <c r="A2093" s="127">
        <v>44841</v>
      </c>
      <c r="B2093" s="24" t="s">
        <v>84</v>
      </c>
      <c r="C2093" s="21">
        <f t="shared" si="32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2"/>
        <v>0</v>
      </c>
    </row>
    <row r="2095" spans="1:214" x14ac:dyDescent="0.25">
      <c r="A2095" s="127">
        <v>44841</v>
      </c>
      <c r="B2095" s="24" t="s">
        <v>20</v>
      </c>
      <c r="C2095" s="21">
        <f t="shared" si="32"/>
        <v>-17.23</v>
      </c>
      <c r="CM2095" s="74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2"/>
        <v>-51.61</v>
      </c>
      <c r="CG2096" s="74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3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3"/>
        <v>-65.92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74">
        <v>-8.6999999999999993</v>
      </c>
      <c r="CM2098" s="74">
        <v>-8.4</v>
      </c>
    </row>
    <row r="2099" spans="1:225" x14ac:dyDescent="0.25">
      <c r="A2099" s="127">
        <v>44844</v>
      </c>
      <c r="B2099" s="24" t="s">
        <v>43</v>
      </c>
      <c r="C2099" s="21">
        <f t="shared" si="33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74">
        <v>-100.71</v>
      </c>
      <c r="CM2099" s="74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3"/>
        <v>-15.66</v>
      </c>
      <c r="AW2100" s="74">
        <v>-8.7100000000000009</v>
      </c>
      <c r="BI2100" s="74">
        <v>-6.95</v>
      </c>
    </row>
    <row r="2101" spans="1:225" x14ac:dyDescent="0.25">
      <c r="A2101" s="127">
        <v>44845</v>
      </c>
      <c r="B2101" s="24" t="s">
        <v>127</v>
      </c>
      <c r="C2101" s="21">
        <f t="shared" si="33"/>
        <v>-17.2</v>
      </c>
      <c r="AW2101" s="74">
        <v>-8.75</v>
      </c>
      <c r="BC2101" s="74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3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74">
        <v>-23</v>
      </c>
    </row>
    <row r="2103" spans="1:225" x14ac:dyDescent="0.25">
      <c r="A2103" s="127">
        <v>44845</v>
      </c>
      <c r="B2103" s="24" t="s">
        <v>139</v>
      </c>
      <c r="C2103" s="21">
        <f t="shared" si="33"/>
        <v>-42.19</v>
      </c>
      <c r="BU2103" s="74">
        <v>-8.6</v>
      </c>
      <c r="CA2103" s="74">
        <v>-8.33</v>
      </c>
      <c r="CG2103" s="74">
        <v>-8.4499999999999993</v>
      </c>
      <c r="CM2103" s="74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3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3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3"/>
        <v>-42.65</v>
      </c>
      <c r="BC2106" s="74">
        <v>-42.65</v>
      </c>
    </row>
    <row r="2107" spans="1:225" x14ac:dyDescent="0.25">
      <c r="A2107" s="127">
        <v>44845</v>
      </c>
      <c r="B2107" s="24" t="s">
        <v>79</v>
      </c>
      <c r="C2107" s="21">
        <f t="shared" si="33"/>
        <v>-8.31</v>
      </c>
      <c r="CA2107" s="74">
        <v>-8.31</v>
      </c>
    </row>
    <row r="2108" spans="1:225" x14ac:dyDescent="0.25">
      <c r="A2108" s="127">
        <v>44846</v>
      </c>
      <c r="B2108" s="24" t="s">
        <v>44</v>
      </c>
      <c r="C2108" s="21">
        <f t="shared" si="33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3"/>
        <v>-226.99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3"/>
        <v>-4.37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27">
        <v>44847</v>
      </c>
      <c r="B2111" s="24" t="s">
        <v>14</v>
      </c>
      <c r="C2111" s="21">
        <f t="shared" si="33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3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3"/>
        <v>2074.75</v>
      </c>
      <c r="AW2113" s="74">
        <v>354.35</v>
      </c>
      <c r="CG2113" s="74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3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74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3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3"/>
        <v>-132.19</v>
      </c>
      <c r="L2116" s="69">
        <v>-33.78</v>
      </c>
      <c r="O2116" s="428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3"/>
        <v>-199.48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74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3"/>
        <v>-8.7899999999999991</v>
      </c>
      <c r="CA2118" s="74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3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3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3"/>
        <v>0</v>
      </c>
    </row>
    <row r="2122" spans="1:221" x14ac:dyDescent="0.25">
      <c r="A2122" s="127">
        <v>44851</v>
      </c>
      <c r="B2122" s="24" t="s">
        <v>113</v>
      </c>
      <c r="C2122" s="21">
        <f t="shared" si="33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3"/>
        <v>-91.084999999999994</v>
      </c>
      <c r="CA2123" s="74">
        <v>-31.94</v>
      </c>
      <c r="CG2123" s="74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3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3"/>
        <v>0</v>
      </c>
    </row>
    <row r="2126" spans="1:221" x14ac:dyDescent="0.25">
      <c r="A2126" s="127">
        <v>44851</v>
      </c>
      <c r="B2126" s="24" t="s">
        <v>43</v>
      </c>
      <c r="C2126" s="21">
        <f t="shared" si="33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74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3"/>
        <v>-99.75</v>
      </c>
      <c r="AW2127" s="74">
        <v>-32.1</v>
      </c>
      <c r="CG2127" s="74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3"/>
        <v>-29.46</v>
      </c>
      <c r="BU2128" s="74">
        <v>-29.46</v>
      </c>
    </row>
    <row r="2129" spans="1:233" x14ac:dyDescent="0.25">
      <c r="A2129" s="127">
        <v>44852</v>
      </c>
      <c r="B2129" s="24" t="s">
        <v>83</v>
      </c>
      <c r="C2129" s="21">
        <f t="shared" si="33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3"/>
        <v>-32.549999999999997</v>
      </c>
      <c r="O2130" s="428">
        <v>-8.66</v>
      </c>
      <c r="BI2130" s="74">
        <v>-7.9</v>
      </c>
      <c r="BO2130" s="74">
        <v>-7.89</v>
      </c>
      <c r="CG2130" s="74">
        <v>-8.1</v>
      </c>
    </row>
    <row r="2131" spans="1:233" x14ac:dyDescent="0.25">
      <c r="A2131" s="127">
        <v>44852</v>
      </c>
      <c r="B2131" s="24" t="s">
        <v>139</v>
      </c>
      <c r="C2131" s="21">
        <f t="shared" si="33"/>
        <v>-16.79</v>
      </c>
      <c r="CM2131" s="74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3"/>
        <v>-162.55000000000001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74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3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3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27">
        <v>44852</v>
      </c>
      <c r="B2135" s="24" t="s">
        <v>25</v>
      </c>
      <c r="C2135" s="21">
        <f t="shared" si="33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27">
        <v>44852</v>
      </c>
      <c r="B2136" s="24" t="s">
        <v>79</v>
      </c>
      <c r="C2136" s="21">
        <f t="shared" si="33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3"/>
        <v>-32.049999999999997</v>
      </c>
      <c r="AW2137" s="74">
        <v>-16.100000000000001</v>
      </c>
      <c r="BI2137" s="74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3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3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3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3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3"/>
        <v>-628.29</v>
      </c>
      <c r="AR2142" s="74">
        <v>-32.9</v>
      </c>
      <c r="BU2142" s="74">
        <v>-95.98</v>
      </c>
      <c r="CA2142" s="74">
        <v>-158.68</v>
      </c>
      <c r="CG2142" s="74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3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3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74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3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3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3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3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27">
        <v>44854</v>
      </c>
      <c r="B2149" s="24" t="s">
        <v>15</v>
      </c>
      <c r="C2149" s="21">
        <f t="shared" si="33"/>
        <v>-78.14</v>
      </c>
      <c r="BO2149" s="74">
        <v>-13.66</v>
      </c>
      <c r="CA2149" s="74">
        <v>-64.48</v>
      </c>
    </row>
    <row r="2150" spans="1:232" x14ac:dyDescent="0.25">
      <c r="A2150" s="127">
        <v>44854</v>
      </c>
      <c r="B2150" s="24" t="s">
        <v>37</v>
      </c>
      <c r="C2150" s="21">
        <f t="shared" si="33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3"/>
        <v>1183.95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3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27">
        <v>44856</v>
      </c>
      <c r="B2153" s="23" t="s">
        <v>48</v>
      </c>
      <c r="C2153" s="21">
        <f t="shared" si="33"/>
        <v>-52.3</v>
      </c>
      <c r="BC2153" s="74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3"/>
        <v>-59.5</v>
      </c>
      <c r="BC2154" s="74">
        <v>-59.5</v>
      </c>
    </row>
    <row r="2155" spans="1:232" x14ac:dyDescent="0.25">
      <c r="A2155" s="127">
        <v>44858</v>
      </c>
      <c r="B2155" s="24" t="s">
        <v>146</v>
      </c>
      <c r="C2155" s="21">
        <f t="shared" si="33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3"/>
        <v>0</v>
      </c>
    </row>
    <row r="2157" spans="1:232" x14ac:dyDescent="0.25">
      <c r="A2157" s="127">
        <v>44859</v>
      </c>
      <c r="B2157" s="24" t="s">
        <v>139</v>
      </c>
      <c r="C2157" s="21">
        <f t="shared" si="33"/>
        <v>-32.880000000000003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3"/>
        <v>-32.79</v>
      </c>
      <c r="O2158" s="428">
        <v>-8.67</v>
      </c>
      <c r="AR2158" s="74">
        <v>-7.55</v>
      </c>
      <c r="CG2158" s="74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3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3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74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4">SUM(D2161:JT2161)</f>
        <v>-67.41</v>
      </c>
      <c r="BU2161" s="74">
        <v>-16.3</v>
      </c>
      <c r="CA2161" s="74">
        <v>-17.260000000000002</v>
      </c>
      <c r="CG2161" s="74">
        <v>-17.2</v>
      </c>
      <c r="CM2161" s="74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4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4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27">
        <v>44859</v>
      </c>
      <c r="B2164" s="24" t="s">
        <v>68</v>
      </c>
      <c r="C2164" s="21">
        <f t="shared" si="34"/>
        <v>-63.97</v>
      </c>
      <c r="V2164" s="74">
        <v>-32.42</v>
      </c>
      <c r="BC2164" s="74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4"/>
        <v>1708.84</v>
      </c>
      <c r="BI2165" s="74">
        <v>339.56</v>
      </c>
      <c r="BU2165" s="74">
        <v>342.37</v>
      </c>
      <c r="CG2165" s="74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4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4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4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4"/>
        <v>-88.01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4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4"/>
        <v>-191.96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74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4"/>
        <v>-135.15</v>
      </c>
      <c r="BU2172" s="74">
        <v>-34.5</v>
      </c>
      <c r="CG2172" s="74">
        <v>-66</v>
      </c>
      <c r="CM2172" s="74">
        <v>-34.65</v>
      </c>
    </row>
    <row r="2173" spans="1:219" x14ac:dyDescent="0.25">
      <c r="A2173" s="127">
        <v>44861</v>
      </c>
      <c r="B2173" s="24" t="s">
        <v>39</v>
      </c>
      <c r="C2173" s="21">
        <f t="shared" si="34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4"/>
        <v>-199.35</v>
      </c>
      <c r="BI2174" s="74">
        <v>-30</v>
      </c>
      <c r="BU2174" s="74">
        <v>-30.2</v>
      </c>
      <c r="CG2174" s="74">
        <v>-103.9</v>
      </c>
      <c r="CM2174" s="74">
        <v>-35.25</v>
      </c>
    </row>
    <row r="2175" spans="1:219" x14ac:dyDescent="0.25">
      <c r="A2175" s="127">
        <v>44862</v>
      </c>
      <c r="B2175" s="24" t="s">
        <v>83</v>
      </c>
      <c r="C2175" s="21">
        <f t="shared" si="34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4"/>
        <v>-33.11</v>
      </c>
      <c r="BI2176" s="74">
        <v>-7.75</v>
      </c>
      <c r="BU2176" s="74">
        <v>-8.3000000000000007</v>
      </c>
      <c r="CA2176" s="74">
        <v>-8.7100000000000009</v>
      </c>
      <c r="CG2176" s="74">
        <v>-8.35</v>
      </c>
    </row>
    <row r="2177" spans="1:221" x14ac:dyDescent="0.25">
      <c r="A2177" s="127">
        <v>44862</v>
      </c>
      <c r="B2177" s="24" t="s">
        <v>127</v>
      </c>
      <c r="C2177" s="21">
        <f t="shared" si="34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4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4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4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74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4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4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4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4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27">
        <v>44865</v>
      </c>
      <c r="B2185" s="24" t="s">
        <v>127</v>
      </c>
      <c r="C2185" s="21">
        <f t="shared" si="34"/>
        <v>-16.66</v>
      </c>
      <c r="BR2185" s="115">
        <v>-8.76</v>
      </c>
      <c r="CG2185" s="74">
        <v>-7.9</v>
      </c>
    </row>
    <row r="2186" spans="1:221" x14ac:dyDescent="0.25">
      <c r="A2186" s="127">
        <v>44865</v>
      </c>
      <c r="B2186" s="24" t="s">
        <v>82</v>
      </c>
      <c r="C2186" s="21">
        <f t="shared" si="34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4"/>
        <v>-67.984999999999999</v>
      </c>
      <c r="O2187" s="428">
        <v>-8.6449999999999996</v>
      </c>
      <c r="BI2187" s="74">
        <v>-7.7</v>
      </c>
      <c r="BU2187" s="74">
        <v>-8.25</v>
      </c>
      <c r="CA2187" s="74">
        <v>-8.77</v>
      </c>
      <c r="CG2187" s="74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4"/>
        <v>-30.85</v>
      </c>
      <c r="CM2188" s="74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4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4"/>
        <v>-35.39</v>
      </c>
      <c r="BI2190" s="74">
        <v>-7.7</v>
      </c>
      <c r="CY2190" s="74">
        <v>-27.69</v>
      </c>
    </row>
    <row r="2191" spans="1:221" x14ac:dyDescent="0.25">
      <c r="A2191" s="127">
        <v>44865</v>
      </c>
      <c r="B2191" s="24" t="s">
        <v>32</v>
      </c>
      <c r="C2191" s="21">
        <f t="shared" si="34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4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4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4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4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4"/>
        <v>4020.14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4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27">
        <v>44868</v>
      </c>
      <c r="B2198" s="24" t="s">
        <v>57</v>
      </c>
      <c r="C2198" s="21">
        <f t="shared" si="34"/>
        <v>-49.52</v>
      </c>
      <c r="BC2198" s="74">
        <v>-25.17</v>
      </c>
      <c r="BI2198" s="74">
        <v>-24.35</v>
      </c>
    </row>
    <row r="2199" spans="1:178" x14ac:dyDescent="0.25">
      <c r="A2199" s="127">
        <v>44868</v>
      </c>
      <c r="B2199" s="24" t="s">
        <v>57</v>
      </c>
      <c r="C2199" s="21">
        <f t="shared" si="34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4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4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4"/>
        <v>-195.11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27">
        <v>44869</v>
      </c>
      <c r="B2203" s="24" t="s">
        <v>32</v>
      </c>
      <c r="C2203" s="21">
        <f t="shared" si="34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4"/>
        <v>-14.35</v>
      </c>
      <c r="BI2204" s="74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4"/>
        <v>-61.48</v>
      </c>
      <c r="BI2205" s="74">
        <v>-30.9</v>
      </c>
      <c r="BO2205" s="74">
        <v>-30.58</v>
      </c>
    </row>
    <row r="2206" spans="1:178" x14ac:dyDescent="0.25">
      <c r="A2206" s="127">
        <v>44869</v>
      </c>
      <c r="B2206" s="24" t="s">
        <v>57</v>
      </c>
      <c r="C2206" s="21">
        <f t="shared" si="34"/>
        <v>-534.85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4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4"/>
        <v>-116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4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4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4"/>
        <v>-17.45</v>
      </c>
      <c r="CM2211" s="74">
        <v>-17.45</v>
      </c>
    </row>
    <row r="2212" spans="1:214" x14ac:dyDescent="0.25">
      <c r="A2212" s="127">
        <v>44873</v>
      </c>
      <c r="B2212" s="24" t="s">
        <v>84</v>
      </c>
      <c r="C2212" s="21">
        <f t="shared" si="34"/>
        <v>-16.489999999999998</v>
      </c>
      <c r="AW2212" s="74">
        <v>-8.15</v>
      </c>
      <c r="BC2212" s="74">
        <v>-8.34</v>
      </c>
    </row>
    <row r="2213" spans="1:214" x14ac:dyDescent="0.25">
      <c r="A2213" s="127">
        <v>44873</v>
      </c>
      <c r="B2213" s="24" t="s">
        <v>144</v>
      </c>
      <c r="C2213" s="21">
        <f t="shared" si="34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4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4"/>
        <v>-8.66</v>
      </c>
      <c r="O2215" s="428">
        <v>-8.66</v>
      </c>
    </row>
    <row r="2216" spans="1:214" x14ac:dyDescent="0.25">
      <c r="A2216" s="127">
        <v>44873</v>
      </c>
      <c r="B2216" s="29" t="s">
        <v>25</v>
      </c>
      <c r="C2216" s="21">
        <f t="shared" si="34"/>
        <v>-49.86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27">
        <v>44873</v>
      </c>
      <c r="B2217" s="29" t="s">
        <v>166</v>
      </c>
      <c r="C2217" s="21">
        <f t="shared" si="34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4"/>
        <v>-7.82</v>
      </c>
      <c r="BC2218" s="74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4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4"/>
        <v>346.66</v>
      </c>
      <c r="BI2220" s="74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4"/>
        <v>0</v>
      </c>
    </row>
    <row r="2222" spans="1:214" x14ac:dyDescent="0.25">
      <c r="A2222" s="127">
        <v>44874</v>
      </c>
      <c r="B2222" s="24" t="s">
        <v>152</v>
      </c>
      <c r="C2222" s="21">
        <f t="shared" si="34"/>
        <v>-1265.3399999999999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4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4"/>
        <v>-29.95</v>
      </c>
      <c r="AR2224" s="74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5">SUM(D2225:JT2225)</f>
        <v>-202.22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5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5"/>
        <v>-69.13</v>
      </c>
      <c r="CY2227" s="74">
        <v>-69.13</v>
      </c>
    </row>
    <row r="2228" spans="1:180" x14ac:dyDescent="0.25">
      <c r="A2228" s="127">
        <v>44875</v>
      </c>
      <c r="B2228" s="24" t="s">
        <v>32</v>
      </c>
      <c r="C2228" s="21">
        <f t="shared" si="35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5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5"/>
        <v>-17.8</v>
      </c>
      <c r="BI2230" s="74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5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5"/>
        <v>-4.16</v>
      </c>
      <c r="CM2232" s="74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5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74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5"/>
        <v>-144.42500000000001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5"/>
        <v>-97.85</v>
      </c>
      <c r="BC2235" s="74">
        <v>-29.96</v>
      </c>
      <c r="BU2235" s="74">
        <v>-33.44</v>
      </c>
      <c r="CG2235" s="74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5"/>
        <v>-653.66999999999996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5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5"/>
        <v>-118.63</v>
      </c>
      <c r="AC2238" s="74">
        <v>-15.4</v>
      </c>
      <c r="BI2238" s="74">
        <v>-34.68</v>
      </c>
      <c r="BU2238" s="74">
        <v>-34</v>
      </c>
      <c r="CG2238" s="74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5"/>
        <v>-25.03</v>
      </c>
      <c r="AC2239" s="74">
        <v>-17.100000000000001</v>
      </c>
      <c r="BI2239" s="74">
        <v>-7.93</v>
      </c>
    </row>
    <row r="2240" spans="1:180" x14ac:dyDescent="0.25">
      <c r="A2240" s="127">
        <v>44879</v>
      </c>
      <c r="B2240" s="24" t="s">
        <v>127</v>
      </c>
      <c r="C2240" s="21">
        <f t="shared" si="35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5"/>
        <v>-62.14</v>
      </c>
      <c r="BC2241" s="74">
        <v>-27.66</v>
      </c>
      <c r="BU2241" s="74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5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5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5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74">
        <v>-17.3</v>
      </c>
    </row>
    <row r="2245" spans="1:232" x14ac:dyDescent="0.25">
      <c r="A2245" s="127">
        <v>44880</v>
      </c>
      <c r="B2245" s="24" t="s">
        <v>20</v>
      </c>
      <c r="C2245" s="21">
        <f t="shared" si="35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5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5"/>
        <v>-4.57</v>
      </c>
      <c r="AC2247" s="74">
        <v>-1.26</v>
      </c>
      <c r="CA2247" s="74">
        <v>-1.59</v>
      </c>
      <c r="CG2247" s="74">
        <v>-1.72</v>
      </c>
    </row>
    <row r="2248" spans="1:232" x14ac:dyDescent="0.25">
      <c r="A2248" s="127">
        <v>44881</v>
      </c>
      <c r="B2248" s="24" t="s">
        <v>113</v>
      </c>
      <c r="C2248" s="21">
        <f t="shared" si="35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5"/>
        <v>-8.6</v>
      </c>
      <c r="BO2249" s="74">
        <v>-8.6</v>
      </c>
    </row>
    <row r="2250" spans="1:232" x14ac:dyDescent="0.25">
      <c r="A2250" s="127">
        <v>44881</v>
      </c>
      <c r="B2250" s="24" t="s">
        <v>75</v>
      </c>
      <c r="C2250" s="21">
        <f t="shared" si="35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74">
        <v>-16.5</v>
      </c>
      <c r="CM2250" s="74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5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5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5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5"/>
        <v>-593.53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74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5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5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5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5"/>
        <v>-64.16</v>
      </c>
      <c r="BC2258" s="74">
        <v>-8.34</v>
      </c>
      <c r="CA2258" s="74">
        <v>-8.9499999999999993</v>
      </c>
      <c r="CG2258" s="74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5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5"/>
        <v>-720.91499999999996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74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5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5"/>
        <v>-32.64</v>
      </c>
      <c r="BI2262" s="74">
        <v>-32.64</v>
      </c>
    </row>
    <row r="2263" spans="1:221" x14ac:dyDescent="0.25">
      <c r="A2263" s="127">
        <v>44886</v>
      </c>
      <c r="B2263" s="24" t="s">
        <v>59</v>
      </c>
      <c r="C2263" s="21">
        <f t="shared" si="35"/>
        <v>-17.559999999999999</v>
      </c>
      <c r="BU2263" s="74">
        <v>-8.61</v>
      </c>
      <c r="CA2263" s="74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5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74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5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5"/>
        <v>-32.159999999999997</v>
      </c>
      <c r="CA2266" s="74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5"/>
        <v>-84.69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74">
        <v>-17.2</v>
      </c>
      <c r="CY2267" s="74">
        <v>-7.51</v>
      </c>
    </row>
    <row r="2268" spans="1:221" x14ac:dyDescent="0.25">
      <c r="A2268" s="127">
        <v>44886</v>
      </c>
      <c r="B2268" s="24" t="s">
        <v>44</v>
      </c>
      <c r="C2268" s="21">
        <f t="shared" si="35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5"/>
        <v>-11.24</v>
      </c>
      <c r="CM2269" s="74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5"/>
        <v>-42.29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27">
        <v>44887</v>
      </c>
      <c r="B2271" s="24" t="s">
        <v>40</v>
      </c>
      <c r="C2271" s="21">
        <f t="shared" si="35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5"/>
        <v>-9.15</v>
      </c>
      <c r="BI2272" s="74">
        <v>-9.15</v>
      </c>
    </row>
    <row r="2273" spans="1:230" x14ac:dyDescent="0.25">
      <c r="A2273" s="127">
        <v>44887</v>
      </c>
      <c r="B2273" s="24" t="s">
        <v>25</v>
      </c>
      <c r="C2273" s="21">
        <f t="shared" si="35"/>
        <v>-22.44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27">
        <v>44887</v>
      </c>
      <c r="B2274" s="24" t="s">
        <v>144</v>
      </c>
      <c r="C2274" s="21">
        <f t="shared" si="35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5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5"/>
        <v>2193.36</v>
      </c>
      <c r="AR2276" s="74">
        <v>414.89</v>
      </c>
      <c r="AW2276" s="74">
        <v>353.74</v>
      </c>
      <c r="BO2276" s="74">
        <v>521.08000000000004</v>
      </c>
      <c r="CG2276" s="74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5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5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5"/>
        <v>-69.27</v>
      </c>
      <c r="CG2279" s="74">
        <v>-34.549999999999997</v>
      </c>
      <c r="CM2279" s="74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5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5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5"/>
        <v>-172.17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27">
        <v>44890</v>
      </c>
      <c r="B2283" s="24" t="s">
        <v>17</v>
      </c>
      <c r="C2283" s="21">
        <f t="shared" si="35"/>
        <v>-78.349999999999994</v>
      </c>
      <c r="BU2283" s="74">
        <v>-14.54</v>
      </c>
      <c r="CA2283" s="74">
        <v>-15.26</v>
      </c>
      <c r="CG2283" s="74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27">
        <v>44890</v>
      </c>
      <c r="B2284" s="24" t="s">
        <v>59</v>
      </c>
      <c r="C2284" s="21">
        <f t="shared" si="35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5"/>
        <v>-42.57</v>
      </c>
      <c r="BU2285" s="74">
        <v>-8.81</v>
      </c>
      <c r="CA2285" s="74">
        <v>-8.07</v>
      </c>
      <c r="CG2285" s="74">
        <v>-8.6</v>
      </c>
      <c r="CQ2285" s="42">
        <v>-8.4</v>
      </c>
      <c r="CY2285" s="74">
        <v>-8.69</v>
      </c>
    </row>
    <row r="2286" spans="1:230" x14ac:dyDescent="0.25">
      <c r="A2286" s="127">
        <v>44890</v>
      </c>
      <c r="B2286" s="24" t="s">
        <v>162</v>
      </c>
      <c r="C2286" s="21">
        <f t="shared" si="35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74">
        <v>-17.3</v>
      </c>
      <c r="CM2286" s="74">
        <v>-17.45</v>
      </c>
    </row>
    <row r="2287" spans="1:230" x14ac:dyDescent="0.25">
      <c r="A2287" s="127">
        <v>44890</v>
      </c>
      <c r="B2287" s="24" t="s">
        <v>25</v>
      </c>
      <c r="C2287" s="21">
        <f t="shared" si="35"/>
        <v>-33</v>
      </c>
      <c r="BU2287" s="74">
        <v>-15.82</v>
      </c>
      <c r="CA2287" s="74">
        <v>-8.5299999999999994</v>
      </c>
      <c r="CG2287" s="74">
        <v>-8.65</v>
      </c>
    </row>
    <row r="2288" spans="1:230" x14ac:dyDescent="0.25">
      <c r="A2288" s="127">
        <v>44890</v>
      </c>
      <c r="B2288" s="24" t="s">
        <v>39</v>
      </c>
      <c r="C2288" s="21">
        <f t="shared" si="35"/>
        <v>-30.58</v>
      </c>
      <c r="AC2288" s="74">
        <v>-15.7</v>
      </c>
      <c r="BI2288" s="74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36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74">
        <v>-67.25</v>
      </c>
      <c r="CM2289" s="74">
        <v>-69.28</v>
      </c>
    </row>
    <row r="2290" spans="1:230" x14ac:dyDescent="0.25">
      <c r="A2290" s="127">
        <v>44890</v>
      </c>
      <c r="B2290" s="24" t="s">
        <v>59</v>
      </c>
      <c r="C2290" s="21">
        <f t="shared" si="36"/>
        <v>-6.84</v>
      </c>
      <c r="CG2290" s="74">
        <v>-3.02</v>
      </c>
      <c r="CS2290" s="74">
        <v>-1.8</v>
      </c>
      <c r="CY2290" s="74">
        <v>-2.02</v>
      </c>
    </row>
    <row r="2291" spans="1:230" x14ac:dyDescent="0.25">
      <c r="A2291" s="127">
        <v>44890</v>
      </c>
      <c r="B2291" s="24" t="s">
        <v>113</v>
      </c>
      <c r="C2291" s="21">
        <f t="shared" si="36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36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74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36"/>
        <v>-136.65</v>
      </c>
      <c r="AN2293" s="74">
        <v>-33.22</v>
      </c>
      <c r="BI2293" s="74">
        <v>-36.340000000000003</v>
      </c>
      <c r="CA2293" s="74">
        <v>-32.44</v>
      </c>
      <c r="CG2293" s="74">
        <v>-34.65</v>
      </c>
    </row>
    <row r="2294" spans="1:230" x14ac:dyDescent="0.25">
      <c r="A2294" s="127">
        <v>44893</v>
      </c>
      <c r="B2294" s="24" t="s">
        <v>95</v>
      </c>
      <c r="C2294" s="21">
        <f t="shared" si="36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74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27">
        <v>44893</v>
      </c>
      <c r="B2295" s="24" t="s">
        <v>95</v>
      </c>
      <c r="C2295" s="21">
        <f t="shared" si="36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74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36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36"/>
        <v>-34.64</v>
      </c>
      <c r="AR2297" s="74">
        <v>-34.64</v>
      </c>
    </row>
    <row r="2298" spans="1:230" x14ac:dyDescent="0.25">
      <c r="A2298" s="127">
        <v>44894</v>
      </c>
      <c r="B2298" s="24" t="s">
        <v>84</v>
      </c>
      <c r="C2298" s="21">
        <f t="shared" si="36"/>
        <v>-43.04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27">
        <v>44894</v>
      </c>
      <c r="B2299" s="24" t="s">
        <v>20</v>
      </c>
      <c r="C2299" s="21">
        <f t="shared" si="36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74">
        <v>-8.65</v>
      </c>
      <c r="CM2299" s="74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36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36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36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36"/>
        <v>-25.54</v>
      </c>
      <c r="BI2303" s="74">
        <v>-9.23</v>
      </c>
      <c r="BO2303" s="74">
        <v>-7.71</v>
      </c>
      <c r="CG2303" s="74">
        <v>-8.6</v>
      </c>
    </row>
    <row r="2304" spans="1:230" x14ac:dyDescent="0.25">
      <c r="A2304" s="127">
        <v>44894</v>
      </c>
      <c r="B2304" s="24" t="s">
        <v>40</v>
      </c>
      <c r="C2304" s="21">
        <f t="shared" si="36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36"/>
        <v>-42.77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36"/>
        <v>-192.61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27">
        <v>44894</v>
      </c>
      <c r="B2307" s="24" t="s">
        <v>68</v>
      </c>
      <c r="C2307" s="21">
        <f t="shared" si="36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27">
        <v>44895</v>
      </c>
      <c r="B2308" s="24" t="s">
        <v>50</v>
      </c>
      <c r="C2308" s="21">
        <f t="shared" si="36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36"/>
        <v>1659.16</v>
      </c>
      <c r="BC2309" s="74">
        <v>367.85</v>
      </c>
      <c r="CG2309" s="74">
        <v>368.5</v>
      </c>
      <c r="CM2309" s="74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36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36"/>
        <v>-882.47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74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36"/>
        <v>-166.57</v>
      </c>
      <c r="BC2312" s="74">
        <v>-32.15</v>
      </c>
      <c r="CG2312" s="74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36"/>
        <v>-65.95</v>
      </c>
      <c r="CG2313" s="74">
        <v>-65.95</v>
      </c>
    </row>
    <row r="2314" spans="1:236" x14ac:dyDescent="0.25">
      <c r="A2314" s="127">
        <v>44897</v>
      </c>
      <c r="B2314" s="24" t="s">
        <v>58</v>
      </c>
      <c r="C2314" s="21">
        <f t="shared" si="36"/>
        <v>0</v>
      </c>
    </row>
    <row r="2315" spans="1:236" x14ac:dyDescent="0.25">
      <c r="A2315" s="127">
        <v>44898</v>
      </c>
      <c r="B2315" s="24" t="s">
        <v>167</v>
      </c>
      <c r="C2315" s="21">
        <f t="shared" si="36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36"/>
        <v>-7.25</v>
      </c>
      <c r="BU2316" s="74">
        <v>-7.25</v>
      </c>
    </row>
    <row r="2317" spans="1:236" x14ac:dyDescent="0.25">
      <c r="A2317" s="127">
        <v>44900</v>
      </c>
      <c r="B2317" s="24" t="s">
        <v>155</v>
      </c>
      <c r="C2317" s="21">
        <f t="shared" si="36"/>
        <v>69.7</v>
      </c>
      <c r="AR2317" s="74">
        <v>-25.88</v>
      </c>
      <c r="AU2317" s="42">
        <v>8.59</v>
      </c>
      <c r="BA2317" s="42">
        <f>8.8+16.69</f>
        <v>25.49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36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36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36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36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36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36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36"/>
        <v>0</v>
      </c>
    </row>
    <row r="2325" spans="1:235" x14ac:dyDescent="0.25">
      <c r="A2325" s="127">
        <v>44902</v>
      </c>
      <c r="B2325" s="24" t="s">
        <v>25</v>
      </c>
      <c r="C2325" s="21">
        <f t="shared" si="36"/>
        <v>-74.2</v>
      </c>
      <c r="CS2325" s="74">
        <v>-39.950000000000003</v>
      </c>
      <c r="DK2325" s="74">
        <v>-34.25</v>
      </c>
    </row>
    <row r="2326" spans="1:235" x14ac:dyDescent="0.25">
      <c r="A2326" s="127">
        <v>44902</v>
      </c>
      <c r="B2326" s="24" t="s">
        <v>127</v>
      </c>
      <c r="C2326" s="21">
        <f t="shared" si="36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36"/>
        <v>-993.58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36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36"/>
        <v>-33.549999999999997</v>
      </c>
      <c r="DK2329" s="74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36"/>
        <v>-133.68</v>
      </c>
      <c r="BI2330" s="74">
        <v>-33.700000000000003</v>
      </c>
      <c r="BO2330" s="74">
        <f>-33.44-31.74</f>
        <v>-65.180000000000007</v>
      </c>
      <c r="CG2330" s="74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36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74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36"/>
        <v>-60.94</v>
      </c>
      <c r="BC2332" s="74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36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36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36"/>
        <v>-60.43</v>
      </c>
      <c r="AR2335" s="74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36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74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36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36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74">
        <v>-8.6</v>
      </c>
    </row>
    <row r="2339" spans="1:235" x14ac:dyDescent="0.25">
      <c r="A2339" s="127">
        <v>44907</v>
      </c>
      <c r="B2339" s="24" t="s">
        <v>50</v>
      </c>
      <c r="C2339" s="21">
        <f t="shared" si="36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36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36"/>
        <v>-82.765000000000001</v>
      </c>
      <c r="O2341" s="428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27">
        <v>44907</v>
      </c>
      <c r="B2342" s="24" t="s">
        <v>43</v>
      </c>
      <c r="C2342" s="21">
        <f t="shared" si="36"/>
        <v>-780.78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74">
        <v>-34.6</v>
      </c>
      <c r="CM2342" s="74">
        <v>-63.52</v>
      </c>
    </row>
    <row r="2343" spans="1:235" x14ac:dyDescent="0.25">
      <c r="A2343" s="127">
        <v>44907</v>
      </c>
      <c r="B2343" s="24" t="s">
        <v>43</v>
      </c>
      <c r="C2343" s="21">
        <f t="shared" si="36"/>
        <v>-33.200000000000003</v>
      </c>
      <c r="BO2343" s="74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36"/>
        <v>-125.49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36"/>
        <v>-261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74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27">
        <v>44907</v>
      </c>
      <c r="B2346" s="24" t="s">
        <v>153</v>
      </c>
      <c r="C2346" s="21">
        <f t="shared" si="36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36"/>
        <v>-54.96</v>
      </c>
      <c r="BU2347" s="74">
        <v>-8.09</v>
      </c>
      <c r="CA2347" s="74">
        <v>-16.420000000000002</v>
      </c>
      <c r="CE2347" s="42">
        <v>-8.26</v>
      </c>
      <c r="CG2347" s="74">
        <v>-8.0500000000000007</v>
      </c>
      <c r="CM2347" s="74">
        <v>-14.14</v>
      </c>
    </row>
    <row r="2348" spans="1:235" x14ac:dyDescent="0.25">
      <c r="A2348" s="127">
        <v>44908</v>
      </c>
      <c r="B2348" s="24" t="s">
        <v>134</v>
      </c>
      <c r="C2348" s="21">
        <f t="shared" si="36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36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36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36"/>
        <v>0</v>
      </c>
    </row>
    <row r="2352" spans="1:235" x14ac:dyDescent="0.25">
      <c r="A2352" s="127">
        <v>44909</v>
      </c>
      <c r="B2352" s="24" t="s">
        <v>17</v>
      </c>
      <c r="C2352" s="21">
        <f t="shared" si="36"/>
        <v>-100.24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37">SUM(D2353:JT2353)</f>
        <v>-88.42</v>
      </c>
      <c r="CY2353" s="74">
        <v>-88.42</v>
      </c>
    </row>
    <row r="2354" spans="1:150" x14ac:dyDescent="0.25">
      <c r="A2354" s="127">
        <v>44910</v>
      </c>
      <c r="B2354" s="24" t="s">
        <v>65</v>
      </c>
      <c r="C2354" s="21">
        <f t="shared" si="37"/>
        <v>0</v>
      </c>
    </row>
    <row r="2355" spans="1:150" x14ac:dyDescent="0.25">
      <c r="A2355" s="127">
        <v>44910</v>
      </c>
      <c r="B2355" s="24" t="s">
        <v>167</v>
      </c>
      <c r="C2355" s="21">
        <f t="shared" si="37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37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27">
        <v>44910</v>
      </c>
      <c r="B2357" s="24" t="s">
        <v>140</v>
      </c>
      <c r="C2357" s="21">
        <f t="shared" si="37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37"/>
        <v>0</v>
      </c>
    </row>
    <row r="2359" spans="1:150" x14ac:dyDescent="0.25">
      <c r="A2359" s="127">
        <v>44911</v>
      </c>
      <c r="B2359" s="24" t="s">
        <v>146</v>
      </c>
      <c r="C2359" s="21">
        <f t="shared" si="37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37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37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37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37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37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37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37"/>
        <v>-3.09</v>
      </c>
      <c r="CM2366" s="74">
        <v>-3.09</v>
      </c>
    </row>
    <row r="2367" spans="1:150" x14ac:dyDescent="0.25">
      <c r="A2367" s="127">
        <v>44914</v>
      </c>
      <c r="B2367" s="24" t="s">
        <v>59</v>
      </c>
      <c r="C2367" s="21">
        <f t="shared" si="37"/>
        <v>-2.73</v>
      </c>
      <c r="CM2367" s="74">
        <v>-2.73</v>
      </c>
    </row>
    <row r="2368" spans="1:150" x14ac:dyDescent="0.25">
      <c r="A2368" s="127">
        <v>44915</v>
      </c>
      <c r="B2368" s="24" t="s">
        <v>137</v>
      </c>
      <c r="C2368" s="21">
        <f t="shared" si="37"/>
        <v>-42.01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37"/>
        <v>-17.100000000000001</v>
      </c>
      <c r="O2369" s="428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37"/>
        <v>-15.62</v>
      </c>
      <c r="AN2370" s="74">
        <v>-8.27</v>
      </c>
      <c r="BC2370" s="74">
        <v>-7.35</v>
      </c>
    </row>
    <row r="2371" spans="1:238" x14ac:dyDescent="0.25">
      <c r="A2371" s="127">
        <v>44915</v>
      </c>
      <c r="B2371" s="24" t="s">
        <v>139</v>
      </c>
      <c r="C2371" s="21">
        <f t="shared" si="37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37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37"/>
        <v>-31.66</v>
      </c>
      <c r="BC2373" s="74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37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37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37"/>
        <v>-4.6500000000000004</v>
      </c>
      <c r="BU2376" s="74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37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74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37"/>
        <v>-14.2</v>
      </c>
      <c r="BC2378" s="74">
        <v>-6.69</v>
      </c>
      <c r="BI2378" s="74">
        <v>-7.51</v>
      </c>
    </row>
    <row r="2379" spans="1:238" x14ac:dyDescent="0.25">
      <c r="A2379" s="127">
        <v>44916</v>
      </c>
      <c r="B2379" s="24" t="s">
        <v>17</v>
      </c>
      <c r="C2379" s="21">
        <f t="shared" si="37"/>
        <v>-54.99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27">
        <v>44916</v>
      </c>
      <c r="B2380" s="24" t="s">
        <v>17</v>
      </c>
      <c r="C2380" s="21">
        <f t="shared" si="37"/>
        <v>-131.47999999999999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74">
        <v>-17.25</v>
      </c>
      <c r="CM2380" s="74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37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27">
        <v>44916</v>
      </c>
      <c r="B2382" s="24" t="s">
        <v>138</v>
      </c>
      <c r="C2382" s="21">
        <f t="shared" si="37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37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37"/>
        <v>-66.724999999999994</v>
      </c>
      <c r="AR2384" s="74">
        <v>-8.56</v>
      </c>
      <c r="CG2384" s="74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37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37"/>
        <v>-7.86</v>
      </c>
      <c r="O2386" s="428">
        <v>-7.86</v>
      </c>
    </row>
    <row r="2387" spans="1:221" x14ac:dyDescent="0.25">
      <c r="A2387" s="127">
        <v>44918</v>
      </c>
      <c r="B2387" s="24" t="s">
        <v>15</v>
      </c>
      <c r="C2387" s="21">
        <f t="shared" si="37"/>
        <v>-77.64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27">
        <v>44918</v>
      </c>
      <c r="B2388" s="24" t="s">
        <v>59</v>
      </c>
      <c r="C2388" s="21">
        <f t="shared" si="37"/>
        <v>-16.98</v>
      </c>
      <c r="CG2388" s="74">
        <v>-13.3</v>
      </c>
      <c r="CM2388" s="74">
        <v>-3.68</v>
      </c>
    </row>
    <row r="2389" spans="1:221" x14ac:dyDescent="0.25">
      <c r="A2389" s="127">
        <v>44918</v>
      </c>
      <c r="B2389" s="24" t="s">
        <v>29</v>
      </c>
      <c r="C2389" s="21">
        <f t="shared" si="37"/>
        <v>-8.6</v>
      </c>
      <c r="CG2389" s="74">
        <v>-8.6</v>
      </c>
    </row>
    <row r="2390" spans="1:221" x14ac:dyDescent="0.25">
      <c r="A2390" s="127">
        <v>44919</v>
      </c>
      <c r="B2390" s="24" t="s">
        <v>12</v>
      </c>
      <c r="C2390" s="21">
        <f t="shared" si="37"/>
        <v>-9.08</v>
      </c>
      <c r="BO2390" s="74">
        <v>-9.08</v>
      </c>
    </row>
    <row r="2391" spans="1:221" x14ac:dyDescent="0.25">
      <c r="A2391" s="127">
        <v>44921</v>
      </c>
      <c r="B2391" s="24" t="s">
        <v>65</v>
      </c>
      <c r="C2391" s="21">
        <f t="shared" si="37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37"/>
        <v>-74.75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74">
        <v>-8.6</v>
      </c>
      <c r="CM2392" s="74">
        <v>-8.33</v>
      </c>
    </row>
    <row r="2393" spans="1:221" x14ac:dyDescent="0.25">
      <c r="A2393" s="127">
        <v>44921</v>
      </c>
      <c r="B2393" s="24" t="s">
        <v>50</v>
      </c>
      <c r="C2393" s="21">
        <f t="shared" si="37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37"/>
        <v>-335.08</v>
      </c>
      <c r="BI2394" s="74">
        <v>-98.22</v>
      </c>
      <c r="BU2394" s="74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37"/>
        <v>-42.49</v>
      </c>
      <c r="BO2395" s="74">
        <f>-8.99-8.95</f>
        <v>-17.940000000000001</v>
      </c>
      <c r="CS2395" s="74">
        <f>-8.75-7.63</f>
        <v>-16.38</v>
      </c>
      <c r="CY2395" s="74">
        <v>-8.17</v>
      </c>
    </row>
    <row r="2396" spans="1:221" x14ac:dyDescent="0.25">
      <c r="A2396" s="127">
        <v>44922</v>
      </c>
      <c r="B2396" s="24" t="s">
        <v>162</v>
      </c>
      <c r="C2396" s="21">
        <f t="shared" si="37"/>
        <v>-174.53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74">
        <v>-25.95</v>
      </c>
      <c r="CM2396" s="74">
        <v>-25.01</v>
      </c>
    </row>
    <row r="2397" spans="1:221" x14ac:dyDescent="0.25">
      <c r="A2397" s="127">
        <v>44922</v>
      </c>
      <c r="B2397" s="24" t="s">
        <v>138</v>
      </c>
      <c r="C2397" s="21">
        <f t="shared" si="37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37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37"/>
        <v>-54.29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37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74">
        <v>-17.2</v>
      </c>
      <c r="CY2400" s="74">
        <v>-7.83</v>
      </c>
    </row>
    <row r="2401" spans="1:236" x14ac:dyDescent="0.25">
      <c r="A2401" s="127">
        <v>44922</v>
      </c>
      <c r="B2401" s="24" t="s">
        <v>44</v>
      </c>
      <c r="C2401" s="21">
        <f t="shared" si="37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37"/>
        <v>-32.18</v>
      </c>
      <c r="CY2402" s="74">
        <v>-32.18</v>
      </c>
    </row>
    <row r="2403" spans="1:236" x14ac:dyDescent="0.25">
      <c r="A2403" s="127">
        <v>44922</v>
      </c>
      <c r="B2403" s="24" t="s">
        <v>65</v>
      </c>
      <c r="C2403" s="21">
        <f t="shared" si="37"/>
        <v>0</v>
      </c>
    </row>
    <row r="2404" spans="1:236" x14ac:dyDescent="0.25">
      <c r="A2404" s="127">
        <v>44923</v>
      </c>
      <c r="B2404" s="24" t="s">
        <v>155</v>
      </c>
      <c r="C2404" s="21">
        <f t="shared" si="37"/>
        <v>-99.86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37"/>
        <v>-165.68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74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37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37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37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37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27">
        <v>44924</v>
      </c>
      <c r="B2410" s="24" t="s">
        <v>133</v>
      </c>
      <c r="C2410" s="21">
        <f t="shared" si="37"/>
        <v>-165.48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37"/>
        <v>-308.16000000000003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37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74">
        <v>-173.55</v>
      </c>
      <c r="CM2412" s="74">
        <v>-131.28</v>
      </c>
      <c r="CQ2412" s="42">
        <f>-34.46-34.56</f>
        <v>-69.02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37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37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27">
        <v>44925</v>
      </c>
      <c r="B2415" s="24" t="s">
        <v>222</v>
      </c>
      <c r="C2415" s="21">
        <f t="shared" si="37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37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38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27">
        <v>44928</v>
      </c>
      <c r="B2418" s="24" t="s">
        <v>15</v>
      </c>
      <c r="C2418" s="21">
        <f t="shared" si="38"/>
        <v>-122.4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38"/>
        <v>3500.4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74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38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38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38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38"/>
        <v>0</v>
      </c>
    </row>
    <row r="2424" spans="1:131" x14ac:dyDescent="0.25">
      <c r="A2424" s="127">
        <v>44929</v>
      </c>
      <c r="B2424" s="24" t="s">
        <v>72</v>
      </c>
      <c r="C2424" s="21">
        <f t="shared" si="38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38"/>
        <v>-34.22</v>
      </c>
      <c r="BU2425" s="74">
        <v>-9.07</v>
      </c>
      <c r="CG2425" s="74">
        <v>-8.4499999999999993</v>
      </c>
      <c r="CM2425" s="74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38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38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38"/>
        <v>-8.19</v>
      </c>
      <c r="DK2428" s="74">
        <v>-8.19</v>
      </c>
    </row>
    <row r="2429" spans="1:131" x14ac:dyDescent="0.25">
      <c r="A2429" s="127">
        <v>44930</v>
      </c>
      <c r="B2429" s="24" t="s">
        <v>26</v>
      </c>
      <c r="C2429" s="21">
        <f t="shared" si="38"/>
        <v>-34.06</v>
      </c>
      <c r="BU2429" s="74">
        <v>-8.33</v>
      </c>
      <c r="CA2429" s="74">
        <v>-8.73</v>
      </c>
      <c r="CG2429" s="74">
        <v>-8.6999999999999993</v>
      </c>
      <c r="CM2429" s="74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38"/>
        <v>-17.16</v>
      </c>
      <c r="L2430" s="69">
        <v>-8.51</v>
      </c>
      <c r="O2430" s="428">
        <v>-8.65</v>
      </c>
    </row>
    <row r="2431" spans="1:131" x14ac:dyDescent="0.25">
      <c r="A2431" s="127">
        <v>44931</v>
      </c>
      <c r="B2431" s="24" t="s">
        <v>113</v>
      </c>
      <c r="C2431" s="21">
        <f t="shared" si="38"/>
        <v>1517.76</v>
      </c>
      <c r="CA2431" s="74">
        <v>405.5</v>
      </c>
      <c r="CG2431" s="74">
        <v>436.05</v>
      </c>
      <c r="CM2431" s="74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38"/>
        <v>-34.75</v>
      </c>
      <c r="CG2432" s="74">
        <v>-34.75</v>
      </c>
    </row>
    <row r="2433" spans="1:238" x14ac:dyDescent="0.25">
      <c r="A2433" s="127">
        <v>44932</v>
      </c>
      <c r="B2433" s="24" t="s">
        <v>166</v>
      </c>
      <c r="C2433" s="21">
        <f t="shared" si="38"/>
        <v>-361.69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74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38"/>
        <v>-233</v>
      </c>
      <c r="BC2434" s="74">
        <v>-31.86</v>
      </c>
      <c r="BI2434" s="74">
        <v>-35.58</v>
      </c>
      <c r="BO2434" s="74">
        <v>-35.68</v>
      </c>
      <c r="CG2434" s="74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38"/>
        <v>-9.09</v>
      </c>
      <c r="BI2435" s="74">
        <v>-9.09</v>
      </c>
    </row>
    <row r="2436" spans="1:238" x14ac:dyDescent="0.25">
      <c r="A2436" s="127">
        <v>44932</v>
      </c>
      <c r="B2436" s="24" t="s">
        <v>50</v>
      </c>
      <c r="C2436" s="21">
        <f t="shared" si="38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38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38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74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38"/>
        <v>-213.98</v>
      </c>
      <c r="BC2439" s="74">
        <f>-31.78-31.52</f>
        <v>-63.3</v>
      </c>
      <c r="CA2439" s="74">
        <v>-50.16</v>
      </c>
      <c r="CG2439" s="74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38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38"/>
        <v>-5.55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38"/>
        <v>-7.19</v>
      </c>
      <c r="CA2442" s="74">
        <v>-7.19</v>
      </c>
    </row>
    <row r="2443" spans="1:238" x14ac:dyDescent="0.25">
      <c r="A2443" s="127">
        <v>44936</v>
      </c>
      <c r="B2443" s="24" t="s">
        <v>27</v>
      </c>
      <c r="C2443" s="21">
        <f t="shared" si="38"/>
        <v>-17.57</v>
      </c>
      <c r="AR2443" s="74">
        <v>-8.6</v>
      </c>
      <c r="BO2443" s="74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38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38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38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38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38"/>
        <v>-294.29000000000002</v>
      </c>
      <c r="AR2448" s="74">
        <v>-31.9</v>
      </c>
      <c r="CA2448" s="74">
        <v>-34.159999999999997</v>
      </c>
      <c r="CG2448" s="74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38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38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74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38"/>
        <v>-16.02</v>
      </c>
      <c r="CY2451" s="74">
        <v>-16.02</v>
      </c>
    </row>
    <row r="2452" spans="1:224" x14ac:dyDescent="0.25">
      <c r="A2452" s="127">
        <v>44937</v>
      </c>
      <c r="B2452" s="29" t="s">
        <v>111</v>
      </c>
      <c r="C2452" s="21">
        <f t="shared" si="38"/>
        <v>-16.8</v>
      </c>
      <c r="CG2452" s="74">
        <v>-16.8</v>
      </c>
    </row>
    <row r="2453" spans="1:224" x14ac:dyDescent="0.25">
      <c r="A2453" s="127">
        <v>44937</v>
      </c>
      <c r="B2453" s="29" t="s">
        <v>161</v>
      </c>
      <c r="C2453" s="21">
        <f t="shared" si="38"/>
        <v>0</v>
      </c>
    </row>
    <row r="2454" spans="1:224" x14ac:dyDescent="0.25">
      <c r="A2454" s="127">
        <v>44938</v>
      </c>
      <c r="B2454" s="24" t="s">
        <v>152</v>
      </c>
      <c r="C2454" s="21">
        <f t="shared" si="38"/>
        <v>0</v>
      </c>
    </row>
    <row r="2455" spans="1:224" x14ac:dyDescent="0.25">
      <c r="A2455" s="127">
        <v>44938</v>
      </c>
      <c r="B2455" s="24" t="s">
        <v>59</v>
      </c>
      <c r="C2455" s="21">
        <f t="shared" si="38"/>
        <v>-7.85</v>
      </c>
      <c r="CA2455" s="74">
        <v>-7.85</v>
      </c>
    </row>
    <row r="2456" spans="1:224" x14ac:dyDescent="0.25">
      <c r="A2456" s="127">
        <v>44938</v>
      </c>
      <c r="B2456" s="24" t="s">
        <v>131</v>
      </c>
      <c r="C2456" s="21">
        <f t="shared" si="38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38"/>
        <v>-174.17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27">
        <v>44939</v>
      </c>
      <c r="B2458" s="24" t="s">
        <v>113</v>
      </c>
      <c r="C2458" s="21">
        <f t="shared" si="38"/>
        <v>4317.95</v>
      </c>
      <c r="AW2458" s="74">
        <v>364.56</v>
      </c>
      <c r="BC2458" s="74">
        <v>381.6</v>
      </c>
      <c r="CG2458" s="74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38"/>
        <v>-233.39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38"/>
        <v>-24.26</v>
      </c>
      <c r="BU2460" s="74">
        <v>-8.41</v>
      </c>
      <c r="CG2460" s="74">
        <v>-8.4</v>
      </c>
      <c r="CM2460" s="74">
        <v>-7.45</v>
      </c>
    </row>
    <row r="2461" spans="1:224" x14ac:dyDescent="0.25">
      <c r="A2461" s="127">
        <v>44939</v>
      </c>
      <c r="B2461" s="24" t="s">
        <v>84</v>
      </c>
      <c r="C2461" s="21">
        <f t="shared" si="38"/>
        <v>-24.76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27">
        <v>44939</v>
      </c>
      <c r="B2462" s="24" t="s">
        <v>115</v>
      </c>
      <c r="C2462" s="21">
        <f t="shared" si="38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38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38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38"/>
        <v>-205.67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74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38"/>
        <v>-33.68</v>
      </c>
      <c r="BO2466" s="74">
        <v>-33.68</v>
      </c>
    </row>
    <row r="2467" spans="1:240" x14ac:dyDescent="0.25">
      <c r="A2467" s="127">
        <v>44942</v>
      </c>
      <c r="B2467" s="24" t="s">
        <v>65</v>
      </c>
      <c r="C2467" s="21">
        <f t="shared" si="38"/>
        <v>-98.14</v>
      </c>
      <c r="AR2467" s="74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38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38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38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38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38"/>
        <v>-33.33</v>
      </c>
      <c r="BO2472" s="74">
        <v>-8.3699999999999992</v>
      </c>
      <c r="BU2472" s="74">
        <v>-8.9700000000000006</v>
      </c>
      <c r="CA2472" s="74">
        <v>-7.59</v>
      </c>
      <c r="CG2472" s="74">
        <v>-8.4</v>
      </c>
    </row>
    <row r="2473" spans="1:240" x14ac:dyDescent="0.25">
      <c r="A2473" s="127">
        <v>44943</v>
      </c>
      <c r="B2473" s="24" t="s">
        <v>139</v>
      </c>
      <c r="C2473" s="21">
        <f t="shared" si="38"/>
        <v>-82.4</v>
      </c>
      <c r="BI2473" s="74">
        <v>-9.33</v>
      </c>
      <c r="BO2473" s="74">
        <v>-8.41</v>
      </c>
      <c r="CG2473" s="74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38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38"/>
        <v>-24.79</v>
      </c>
      <c r="BC2475" s="74">
        <v>-7.59</v>
      </c>
      <c r="CA2475" s="74">
        <v>-8.75</v>
      </c>
      <c r="CG2475" s="74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38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38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38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38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38"/>
        <v>-784.32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74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39">SUM(D2481:JT2481)</f>
        <v>-8.24</v>
      </c>
      <c r="BU2481" s="74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39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39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39"/>
        <v>-165.33</v>
      </c>
      <c r="BC2484" s="74">
        <v>-31.84</v>
      </c>
      <c r="BU2484" s="74">
        <v>-33.36</v>
      </c>
      <c r="CA2484" s="74">
        <v>-34.94</v>
      </c>
      <c r="CG2484" s="74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39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39"/>
        <v>-7.07</v>
      </c>
      <c r="BU2486" s="74">
        <v>-3.98</v>
      </c>
      <c r="CA2486" s="74">
        <v>-3.09</v>
      </c>
    </row>
    <row r="2487" spans="1:236" x14ac:dyDescent="0.25">
      <c r="A2487" s="127">
        <v>44949</v>
      </c>
      <c r="B2487" s="24" t="s">
        <v>170</v>
      </c>
      <c r="C2487" s="21">
        <f t="shared" si="39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39"/>
        <v>-335.85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39"/>
        <v>-136.72999999999999</v>
      </c>
      <c r="AP2489" s="42">
        <v>-34.96</v>
      </c>
      <c r="BG2489" s="42">
        <v>-32.380000000000003</v>
      </c>
      <c r="BM2489" s="88">
        <v>-34.04</v>
      </c>
      <c r="CG2489" s="74">
        <v>-35.35</v>
      </c>
    </row>
    <row r="2490" spans="1:236" x14ac:dyDescent="0.25">
      <c r="A2490" s="127">
        <v>44950</v>
      </c>
      <c r="B2490" s="24" t="s">
        <v>20</v>
      </c>
      <c r="C2490" s="21">
        <f t="shared" si="39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39"/>
        <v>-39.04</v>
      </c>
      <c r="BC2491" s="74">
        <v>-7.49</v>
      </c>
      <c r="BU2491" s="74">
        <v>-8.09</v>
      </c>
      <c r="CA2491" s="74">
        <v>-7.51</v>
      </c>
      <c r="CG2491" s="74">
        <v>-8.4499999999999993</v>
      </c>
      <c r="CM2491" s="74">
        <v>-7.5</v>
      </c>
    </row>
    <row r="2492" spans="1:236" x14ac:dyDescent="0.25">
      <c r="A2492" s="127">
        <v>44950</v>
      </c>
      <c r="B2492" s="24" t="s">
        <v>50</v>
      </c>
      <c r="C2492" s="21">
        <f t="shared" si="39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39"/>
        <v>-23.51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27">
        <v>44950</v>
      </c>
      <c r="B2494" s="24" t="s">
        <v>138</v>
      </c>
      <c r="C2494" s="21">
        <f t="shared" si="39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39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39"/>
        <v>-24.83</v>
      </c>
      <c r="BU2496" s="74">
        <v>-8.8699999999999992</v>
      </c>
      <c r="CA2496" s="74">
        <v>-15.96</v>
      </c>
    </row>
    <row r="2497" spans="1:226" x14ac:dyDescent="0.25">
      <c r="A2497" s="127">
        <v>44951</v>
      </c>
      <c r="B2497" s="24" t="s">
        <v>125</v>
      </c>
      <c r="C2497" s="21">
        <f t="shared" si="39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39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39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27">
        <v>44953</v>
      </c>
      <c r="B2500" s="24" t="s">
        <v>162</v>
      </c>
      <c r="C2500" s="21">
        <f t="shared" si="39"/>
        <v>-138.99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74">
        <v>-16.850000000000001</v>
      </c>
      <c r="CM2500" s="74">
        <v>-15.8</v>
      </c>
      <c r="DK2500" s="74">
        <v>-25.05</v>
      </c>
    </row>
    <row r="2501" spans="1:226" x14ac:dyDescent="0.25">
      <c r="A2501" s="127">
        <v>44956</v>
      </c>
      <c r="B2501" s="24" t="s">
        <v>113</v>
      </c>
      <c r="C2501" s="21">
        <f t="shared" si="39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39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74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39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39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39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39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39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39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74">
        <v>-8.4</v>
      </c>
    </row>
    <row r="2509" spans="1:226" x14ac:dyDescent="0.25">
      <c r="A2509" s="127">
        <v>44957</v>
      </c>
      <c r="B2509" s="24" t="s">
        <v>75</v>
      </c>
      <c r="C2509" s="21">
        <f t="shared" si="39"/>
        <v>-92.13</v>
      </c>
      <c r="AG2509" s="106">
        <v>-9.1</v>
      </c>
      <c r="BC2509" s="74">
        <v>-16.079999999999998</v>
      </c>
      <c r="CG2509" s="74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39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39"/>
        <v>-24.64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39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39"/>
        <v>-873.42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74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39"/>
        <v>0</v>
      </c>
    </row>
    <row r="2515" spans="1:238" x14ac:dyDescent="0.25">
      <c r="A2515" s="127">
        <v>44957</v>
      </c>
      <c r="B2515" s="24" t="s">
        <v>172</v>
      </c>
      <c r="C2515" s="21">
        <f t="shared" si="39"/>
        <v>0</v>
      </c>
    </row>
    <row r="2516" spans="1:238" x14ac:dyDescent="0.25">
      <c r="A2516" s="127">
        <v>44957</v>
      </c>
      <c r="B2516" s="24" t="s">
        <v>146</v>
      </c>
      <c r="C2516" s="21">
        <f t="shared" si="39"/>
        <v>-192.75</v>
      </c>
      <c r="AR2516" s="74">
        <v>-192.75</v>
      </c>
    </row>
    <row r="2517" spans="1:238" x14ac:dyDescent="0.25">
      <c r="A2517" s="127">
        <v>44957</v>
      </c>
      <c r="B2517" s="24" t="s">
        <v>20</v>
      </c>
      <c r="C2517" s="21">
        <f t="shared" si="39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39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74">
        <v>-33.5</v>
      </c>
      <c r="CM2518" s="74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39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39"/>
        <v>-10.050000000000001</v>
      </c>
      <c r="BM2520" s="88">
        <v>-1.28</v>
      </c>
      <c r="CA2520" s="74">
        <v>-8.77</v>
      </c>
    </row>
    <row r="2521" spans="1:238" x14ac:dyDescent="0.25">
      <c r="A2521" s="127">
        <v>44959</v>
      </c>
      <c r="B2521" s="24" t="s">
        <v>146</v>
      </c>
      <c r="C2521" s="21">
        <f t="shared" si="39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39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39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39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39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39"/>
        <v>203.76</v>
      </c>
      <c r="BI2526" s="74">
        <v>203.76</v>
      </c>
    </row>
    <row r="2527" spans="1:238" x14ac:dyDescent="0.25">
      <c r="A2527" s="127">
        <v>44963</v>
      </c>
      <c r="B2527" s="24" t="s">
        <v>113</v>
      </c>
      <c r="C2527" s="21">
        <f t="shared" si="39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39"/>
        <v>-31.35</v>
      </c>
      <c r="AR2528" s="74">
        <v>-31.35</v>
      </c>
    </row>
    <row r="2529" spans="1:216" x14ac:dyDescent="0.25">
      <c r="A2529" s="127">
        <v>44963</v>
      </c>
      <c r="B2529" s="24" t="s">
        <v>152</v>
      </c>
      <c r="C2529" s="21">
        <f t="shared" si="39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39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27">
        <v>44963</v>
      </c>
      <c r="B2531" s="24" t="s">
        <v>32</v>
      </c>
      <c r="C2531" s="21">
        <f t="shared" si="39"/>
        <v>-35.49</v>
      </c>
      <c r="BI2531" s="74">
        <v>-35.49</v>
      </c>
    </row>
    <row r="2532" spans="1:216" x14ac:dyDescent="0.25">
      <c r="A2532" s="127">
        <v>44963</v>
      </c>
      <c r="B2532" s="24" t="s">
        <v>50</v>
      </c>
      <c r="C2532" s="21">
        <f t="shared" si="39"/>
        <v>0</v>
      </c>
    </row>
    <row r="2533" spans="1:216" x14ac:dyDescent="0.25">
      <c r="A2533" s="127">
        <v>44963</v>
      </c>
      <c r="B2533" s="24" t="s">
        <v>50</v>
      </c>
      <c r="C2533" s="21">
        <f t="shared" si="39"/>
        <v>0</v>
      </c>
    </row>
    <row r="2534" spans="1:216" x14ac:dyDescent="0.25">
      <c r="A2534" s="127">
        <v>44964</v>
      </c>
      <c r="B2534" s="24" t="s">
        <v>139</v>
      </c>
      <c r="C2534" s="21">
        <f t="shared" si="39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74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39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39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39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39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39"/>
        <v>-16.760000000000002</v>
      </c>
      <c r="AC2539" s="74">
        <v>-8.51</v>
      </c>
      <c r="CM2539" s="74">
        <v>-8.25</v>
      </c>
    </row>
    <row r="2540" spans="1:216" x14ac:dyDescent="0.25">
      <c r="A2540" s="127">
        <v>44966</v>
      </c>
      <c r="B2540" s="24" t="s">
        <v>44</v>
      </c>
      <c r="C2540" s="21">
        <f t="shared" si="39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39"/>
        <v>0</v>
      </c>
    </row>
    <row r="2542" spans="1:216" x14ac:dyDescent="0.25">
      <c r="A2542" s="127">
        <v>44967</v>
      </c>
      <c r="B2542" s="24" t="s">
        <v>31</v>
      </c>
      <c r="C2542" s="21">
        <f t="shared" si="39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39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39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0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0"/>
        <v>-17.68</v>
      </c>
      <c r="BU2546" s="74">
        <v>-9</v>
      </c>
      <c r="CA2546" s="74">
        <v>-8.68</v>
      </c>
    </row>
    <row r="2547" spans="1:236" x14ac:dyDescent="0.25">
      <c r="A2547" s="127">
        <v>44970</v>
      </c>
      <c r="B2547" s="24" t="s">
        <v>17</v>
      </c>
      <c r="C2547" s="21">
        <f t="shared" si="40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0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0"/>
        <v>-249.21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0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0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0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0"/>
        <v>-28.68</v>
      </c>
      <c r="P2553" s="106">
        <v>-3.65</v>
      </c>
      <c r="BU2553" s="74">
        <v>-8.15</v>
      </c>
      <c r="CA2553" s="74">
        <v>-8.48</v>
      </c>
      <c r="CG2553" s="74">
        <v>-8.4</v>
      </c>
    </row>
    <row r="2554" spans="1:236" x14ac:dyDescent="0.25">
      <c r="A2554" s="127">
        <v>44972</v>
      </c>
      <c r="B2554" s="24" t="s">
        <v>26</v>
      </c>
      <c r="C2554" s="21">
        <f t="shared" si="40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0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0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0"/>
        <v>-48.37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0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0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0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0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74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0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0"/>
        <v>-16.2</v>
      </c>
      <c r="BO2563" s="74">
        <v>-8.3000000000000007</v>
      </c>
      <c r="BU2563" s="74">
        <v>-7.9</v>
      </c>
    </row>
    <row r="2564" spans="1:199" x14ac:dyDescent="0.25">
      <c r="A2564" s="127">
        <v>44974</v>
      </c>
      <c r="B2564" s="24" t="s">
        <v>152</v>
      </c>
      <c r="C2564" s="21">
        <f t="shared" si="40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0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27">
        <v>44974</v>
      </c>
      <c r="B2566" s="24" t="s">
        <v>149</v>
      </c>
      <c r="C2566" s="21">
        <f t="shared" si="40"/>
        <v>-8.18</v>
      </c>
      <c r="BO2566" s="74">
        <v>-8.18</v>
      </c>
    </row>
    <row r="2567" spans="1:199" x14ac:dyDescent="0.25">
      <c r="A2567" s="127">
        <v>44974</v>
      </c>
      <c r="B2567" s="24" t="s">
        <v>32</v>
      </c>
      <c r="C2567" s="21">
        <f t="shared" si="40"/>
        <v>0</v>
      </c>
    </row>
    <row r="2568" spans="1:199" x14ac:dyDescent="0.25">
      <c r="A2568" s="127">
        <v>44974</v>
      </c>
      <c r="B2568" s="24" t="s">
        <v>133</v>
      </c>
      <c r="C2568" s="21">
        <f t="shared" si="40"/>
        <v>-34.9</v>
      </c>
      <c r="CY2568" s="74">
        <v>-34.9</v>
      </c>
    </row>
    <row r="2569" spans="1:199" x14ac:dyDescent="0.25">
      <c r="A2569" s="127">
        <v>44975</v>
      </c>
      <c r="B2569" s="24" t="s">
        <v>78</v>
      </c>
      <c r="C2569" s="21">
        <f t="shared" si="40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27">
        <v>44975</v>
      </c>
      <c r="B2570" s="24" t="s">
        <v>44</v>
      </c>
      <c r="C2570" s="21">
        <f t="shared" si="40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0"/>
        <v>0</v>
      </c>
    </row>
    <row r="2572" spans="1:199" x14ac:dyDescent="0.25">
      <c r="A2572" s="127">
        <v>44977</v>
      </c>
      <c r="B2572" s="24" t="s">
        <v>31</v>
      </c>
      <c r="C2572" s="21">
        <f t="shared" si="40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0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0"/>
        <v>-16.14</v>
      </c>
      <c r="BO2574" s="74">
        <v>-8.2899999999999991</v>
      </c>
      <c r="BU2574" s="74">
        <v>-7.85</v>
      </c>
    </row>
    <row r="2575" spans="1:199" x14ac:dyDescent="0.25">
      <c r="A2575" s="127">
        <v>44978</v>
      </c>
      <c r="B2575" s="24" t="s">
        <v>79</v>
      </c>
      <c r="C2575" s="21">
        <f t="shared" si="40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27">
        <v>44978</v>
      </c>
      <c r="B2576" s="24" t="s">
        <v>173</v>
      </c>
      <c r="C2576" s="21">
        <f t="shared" si="40"/>
        <v>-7.35</v>
      </c>
      <c r="AR2576" s="74">
        <v>-7.35</v>
      </c>
    </row>
    <row r="2577" spans="1:238" x14ac:dyDescent="0.25">
      <c r="A2577" s="127">
        <v>44978</v>
      </c>
      <c r="B2577" s="24" t="s">
        <v>20</v>
      </c>
      <c r="C2577" s="21">
        <f t="shared" si="40"/>
        <v>-14.1</v>
      </c>
      <c r="AC2577" s="74">
        <v>-6.75</v>
      </c>
      <c r="AR2577" s="74">
        <v>-7.35</v>
      </c>
    </row>
    <row r="2578" spans="1:238" x14ac:dyDescent="0.25">
      <c r="A2578" s="127">
        <v>44979</v>
      </c>
      <c r="B2578" s="24" t="s">
        <v>113</v>
      </c>
      <c r="C2578" s="21">
        <f t="shared" si="40"/>
        <v>1564.14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0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0"/>
        <v>-341.28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74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0"/>
        <v>-33.51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27">
        <v>44979</v>
      </c>
      <c r="B2582" s="24" t="s">
        <v>78</v>
      </c>
      <c r="C2582" s="21">
        <f t="shared" si="40"/>
        <v>-164.63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74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27">
        <v>44979</v>
      </c>
      <c r="B2583" s="24" t="s">
        <v>32</v>
      </c>
      <c r="C2583" s="21">
        <f t="shared" si="40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0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0"/>
        <v>-55.255000000000003</v>
      </c>
      <c r="AR2585" s="74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0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74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0"/>
        <v>-138.56</v>
      </c>
      <c r="BI2587" s="74">
        <v>-34.6</v>
      </c>
      <c r="BU2587" s="74">
        <v>-35.5</v>
      </c>
      <c r="CA2587" s="74">
        <v>-34.71</v>
      </c>
      <c r="CG2587" s="74">
        <v>-33.75</v>
      </c>
    </row>
    <row r="2588" spans="1:238" x14ac:dyDescent="0.25">
      <c r="A2588" s="127">
        <v>44980</v>
      </c>
      <c r="B2588" s="24" t="s">
        <v>37</v>
      </c>
      <c r="C2588" s="21">
        <f t="shared" si="40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0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74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0"/>
        <v>-16.989999999999998</v>
      </c>
      <c r="CS2590" s="74">
        <v>-8.8000000000000007</v>
      </c>
      <c r="CY2590" s="74">
        <v>-8.19</v>
      </c>
    </row>
    <row r="2591" spans="1:238" x14ac:dyDescent="0.25">
      <c r="A2591" s="127">
        <v>44980</v>
      </c>
      <c r="B2591" s="24" t="s">
        <v>78</v>
      </c>
      <c r="C2591" s="21">
        <f t="shared" si="40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0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0"/>
        <v>-68.709999999999994</v>
      </c>
      <c r="CA2593" s="74">
        <v>-33.71</v>
      </c>
      <c r="CG2593" s="74">
        <v>-35</v>
      </c>
    </row>
    <row r="2594" spans="1:224" x14ac:dyDescent="0.25">
      <c r="A2594" s="127">
        <v>44980</v>
      </c>
      <c r="B2594" s="24" t="s">
        <v>59</v>
      </c>
      <c r="C2594" s="21">
        <f t="shared" si="40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27">
        <v>44981</v>
      </c>
      <c r="B2595" s="24" t="s">
        <v>133</v>
      </c>
      <c r="C2595" s="21">
        <f t="shared" si="40"/>
        <v>-63.94</v>
      </c>
      <c r="BC2595" s="74">
        <v>-30.74</v>
      </c>
      <c r="CM2595" s="74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0"/>
        <v>-59.76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27">
        <v>44981</v>
      </c>
      <c r="B2597" s="24" t="s">
        <v>48</v>
      </c>
      <c r="C2597" s="21">
        <f t="shared" si="40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0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27">
        <v>44982</v>
      </c>
      <c r="B2599" s="24" t="s">
        <v>113</v>
      </c>
      <c r="C2599" s="21">
        <f t="shared" si="40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0"/>
        <v>-8.83</v>
      </c>
      <c r="CY2600" s="74">
        <v>-8.83</v>
      </c>
    </row>
    <row r="2601" spans="1:224" x14ac:dyDescent="0.25">
      <c r="A2601" s="127">
        <v>44984</v>
      </c>
      <c r="B2601" s="24" t="s">
        <v>78</v>
      </c>
      <c r="C2601" s="21">
        <f t="shared" si="40"/>
        <v>-58.28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74">
        <v>-8.35</v>
      </c>
      <c r="CM2601" s="74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0"/>
        <v>-166.79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0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0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0"/>
        <v>-64.510000000000005</v>
      </c>
      <c r="AW2605" s="74">
        <v>-31.6</v>
      </c>
      <c r="BU2605" s="74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0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0"/>
        <v>-16.75</v>
      </c>
      <c r="BI2607" s="74">
        <v>-16.75</v>
      </c>
    </row>
    <row r="2608" spans="1:224" x14ac:dyDescent="0.25">
      <c r="A2608" s="127">
        <v>44985</v>
      </c>
      <c r="B2608" s="24" t="s">
        <v>31</v>
      </c>
      <c r="C2608" s="21">
        <f t="shared" si="40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1">SUM(D2609:JT2609)</f>
        <v>-39.25</v>
      </c>
      <c r="BC2609" s="74">
        <v>-5.61</v>
      </c>
      <c r="BU2609" s="74">
        <v>-8.4499999999999993</v>
      </c>
      <c r="CG2609" s="74">
        <v>-8.4</v>
      </c>
      <c r="CM2609" s="74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1"/>
        <v>-7.3</v>
      </c>
      <c r="AR2610" s="74">
        <v>-7.3</v>
      </c>
    </row>
    <row r="2611" spans="1:199" x14ac:dyDescent="0.25">
      <c r="A2611" s="127">
        <v>44985</v>
      </c>
      <c r="B2611" s="24" t="s">
        <v>138</v>
      </c>
      <c r="C2611" s="21">
        <f t="shared" si="41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1"/>
        <v>-15.32</v>
      </c>
      <c r="AW2612" s="74">
        <v>-7.49</v>
      </c>
      <c r="BO2612" s="74">
        <v>-7.83</v>
      </c>
    </row>
    <row r="2613" spans="1:199" x14ac:dyDescent="0.25">
      <c r="A2613" s="127">
        <v>44985</v>
      </c>
      <c r="B2613" s="24" t="s">
        <v>79</v>
      </c>
      <c r="C2613" s="21">
        <f t="shared" si="41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27">
        <v>44985</v>
      </c>
      <c r="B2614" s="24" t="s">
        <v>162</v>
      </c>
      <c r="C2614" s="21">
        <f t="shared" si="41"/>
        <v>-57.93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74">
        <v>-8.4</v>
      </c>
      <c r="CM2614" s="74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1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27">
        <v>44985</v>
      </c>
      <c r="B2616" s="24" t="s">
        <v>151</v>
      </c>
      <c r="C2616" s="21">
        <f t="shared" si="41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1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27">
        <v>44985</v>
      </c>
      <c r="B2618" s="24" t="s">
        <v>133</v>
      </c>
      <c r="C2618" s="21">
        <f t="shared" si="41"/>
        <v>-260.69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</v>
      </c>
      <c r="BO2618" s="74">
        <v>-29.3</v>
      </c>
      <c r="CA2618" s="74">
        <v>-32.299999999999997</v>
      </c>
      <c r="CG2618" s="74">
        <v>-34.75</v>
      </c>
    </row>
    <row r="2619" spans="1:199" x14ac:dyDescent="0.25">
      <c r="A2619" s="127">
        <v>44985</v>
      </c>
      <c r="B2619" s="24" t="s">
        <v>83</v>
      </c>
      <c r="C2619" s="21">
        <f t="shared" si="41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1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1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1"/>
        <v>0</v>
      </c>
    </row>
    <row r="2623" spans="1:199" x14ac:dyDescent="0.25">
      <c r="A2623" s="127">
        <v>44960</v>
      </c>
      <c r="B2623" s="24" t="s">
        <v>152</v>
      </c>
      <c r="C2623" s="21">
        <f t="shared" si="41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74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1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27">
        <v>44960</v>
      </c>
      <c r="B2625" s="24" t="s">
        <v>32</v>
      </c>
      <c r="C2625" s="21">
        <f t="shared" si="41"/>
        <v>-59.77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1"/>
        <v>-54.21</v>
      </c>
      <c r="AW2626" s="74">
        <v>-23.49</v>
      </c>
      <c r="BC2626" s="74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1"/>
        <v>1757.87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1"/>
        <v>-68.08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74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27">
        <v>44991</v>
      </c>
      <c r="B2629" s="24" t="s">
        <v>48</v>
      </c>
      <c r="C2629" s="21">
        <f t="shared" si="41"/>
        <v>-32.65</v>
      </c>
      <c r="BO2629" s="74">
        <v>-32.65</v>
      </c>
    </row>
    <row r="2630" spans="1:221" x14ac:dyDescent="0.25">
      <c r="A2630" s="127">
        <v>44991</v>
      </c>
      <c r="B2630" s="24" t="s">
        <v>37</v>
      </c>
      <c r="C2630" s="21">
        <f t="shared" si="41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1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1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74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74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1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1"/>
        <v>-15.51</v>
      </c>
      <c r="BO2634" s="74">
        <v>-8.0500000000000007</v>
      </c>
      <c r="BU2634" s="74">
        <v>-7.46</v>
      </c>
    </row>
    <row r="2635" spans="1:221" x14ac:dyDescent="0.25">
      <c r="A2635" s="127">
        <v>44992</v>
      </c>
      <c r="B2635" s="24" t="s">
        <v>44</v>
      </c>
      <c r="C2635" s="21">
        <f t="shared" si="41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1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27">
        <v>44992</v>
      </c>
      <c r="B2637" s="24" t="s">
        <v>20</v>
      </c>
      <c r="C2637" s="21">
        <f t="shared" si="41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27">
        <v>44992</v>
      </c>
      <c r="B2638" s="24" t="s">
        <v>84</v>
      </c>
      <c r="C2638" s="21">
        <f t="shared" si="41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1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1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1"/>
        <v>-77.7</v>
      </c>
      <c r="Z2641" s="79">
        <v>-8.5500000000000007</v>
      </c>
      <c r="BI2641" s="74">
        <v>-8.74</v>
      </c>
      <c r="BU2641" s="74">
        <v>-17.97</v>
      </c>
      <c r="CG2641" s="74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1"/>
        <v>-5.5</v>
      </c>
      <c r="AR2642" s="74">
        <v>-5.5</v>
      </c>
    </row>
    <row r="2643" spans="1:240" x14ac:dyDescent="0.25">
      <c r="A2643" s="127">
        <v>44992</v>
      </c>
      <c r="B2643" s="24" t="s">
        <v>57</v>
      </c>
      <c r="C2643" s="21">
        <f t="shared" si="41"/>
        <v>-25.71</v>
      </c>
      <c r="CY2643" s="74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1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1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1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1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1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1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1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1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1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1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1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1"/>
        <v>2456.7779999999998</v>
      </c>
      <c r="AC2655" s="74">
        <v>230.76</v>
      </c>
      <c r="BU2655" s="74">
        <v>199.58</v>
      </c>
      <c r="CA2655" s="74">
        <v>165.94</v>
      </c>
      <c r="CG2655" s="74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1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1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1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1"/>
        <v>-134.85</v>
      </c>
      <c r="BO2659" s="74">
        <v>-34.14</v>
      </c>
      <c r="BU2659" s="74">
        <v>-32.72</v>
      </c>
      <c r="CG2659" s="74">
        <v>-35.049999999999997</v>
      </c>
      <c r="CY2659" s="74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1"/>
        <v>-15.6</v>
      </c>
      <c r="AU2660" s="42">
        <v>-8.5</v>
      </c>
      <c r="BI2660" s="74">
        <v>-7.1</v>
      </c>
    </row>
    <row r="2661" spans="1:217" x14ac:dyDescent="0.25">
      <c r="A2661" s="127">
        <v>44995</v>
      </c>
      <c r="B2661" s="29" t="s">
        <v>25</v>
      </c>
      <c r="C2661" s="21">
        <f t="shared" si="41"/>
        <v>-93.49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1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27">
        <v>44995</v>
      </c>
      <c r="B2663" s="24" t="s">
        <v>68</v>
      </c>
      <c r="C2663" s="21">
        <f t="shared" si="41"/>
        <v>-67.88</v>
      </c>
      <c r="AR2663" s="74">
        <v>-33.1</v>
      </c>
      <c r="BI2663" s="74">
        <v>-34.78</v>
      </c>
    </row>
    <row r="2664" spans="1:217" x14ac:dyDescent="0.25">
      <c r="A2664" s="127">
        <v>44996</v>
      </c>
      <c r="B2664" s="24" t="s">
        <v>78</v>
      </c>
      <c r="C2664" s="21">
        <f t="shared" si="41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1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1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74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1"/>
        <v>-33.54</v>
      </c>
      <c r="BI2667" s="74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1"/>
        <v>-9.01</v>
      </c>
      <c r="CA2668" s="74">
        <v>-9.01</v>
      </c>
    </row>
    <row r="2669" spans="1:217" x14ac:dyDescent="0.25">
      <c r="A2669" s="127">
        <v>44998</v>
      </c>
      <c r="B2669" s="24" t="s">
        <v>19</v>
      </c>
      <c r="C2669" s="21">
        <f t="shared" si="41"/>
        <v>0</v>
      </c>
    </row>
    <row r="2670" spans="1:217" x14ac:dyDescent="0.25">
      <c r="A2670" s="127">
        <v>44998</v>
      </c>
      <c r="B2670" s="24" t="s">
        <v>78</v>
      </c>
      <c r="C2670" s="21">
        <f t="shared" si="41"/>
        <v>-17.14</v>
      </c>
      <c r="BO2670" s="74">
        <v>-8.89</v>
      </c>
      <c r="CM2670" s="74">
        <v>-8.25</v>
      </c>
    </row>
    <row r="2671" spans="1:217" x14ac:dyDescent="0.25">
      <c r="A2671" s="127">
        <v>44999</v>
      </c>
      <c r="B2671" s="24" t="s">
        <v>48</v>
      </c>
      <c r="C2671" s="21">
        <f t="shared" si="41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27">
        <v>44999</v>
      </c>
      <c r="B2672" s="24" t="s">
        <v>43</v>
      </c>
      <c r="C2672" s="21">
        <f t="shared" si="41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74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2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2"/>
        <v>-8.7200000000000006</v>
      </c>
      <c r="BO2674" s="74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2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2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2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2"/>
        <v>-8.35</v>
      </c>
      <c r="CA2678" s="74">
        <v>-8.35</v>
      </c>
    </row>
    <row r="2679" spans="1:236" x14ac:dyDescent="0.25">
      <c r="A2679" s="127">
        <v>44999</v>
      </c>
      <c r="B2679" s="24" t="s">
        <v>83</v>
      </c>
      <c r="C2679" s="21">
        <f t="shared" si="42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2"/>
        <v>-9</v>
      </c>
      <c r="BU2680" s="74">
        <v>-9</v>
      </c>
    </row>
    <row r="2681" spans="1:236" x14ac:dyDescent="0.25">
      <c r="A2681" s="127">
        <v>44999</v>
      </c>
      <c r="B2681" s="24" t="s">
        <v>29</v>
      </c>
      <c r="C2681" s="21">
        <f t="shared" si="42"/>
        <v>-17.75</v>
      </c>
      <c r="BI2681" s="74">
        <v>-8.99</v>
      </c>
      <c r="BO2681" s="74">
        <v>-8.76</v>
      </c>
    </row>
    <row r="2682" spans="1:236" x14ac:dyDescent="0.25">
      <c r="A2682" s="127">
        <v>44999</v>
      </c>
      <c r="B2682" s="24" t="s">
        <v>138</v>
      </c>
      <c r="C2682" s="21">
        <f t="shared" si="42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2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2"/>
        <v>827.4</v>
      </c>
      <c r="BI2684" s="74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2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2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2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2"/>
        <v>-60.21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27">
        <v>45001</v>
      </c>
      <c r="B2689" s="24" t="s">
        <v>20</v>
      </c>
      <c r="C2689" s="21">
        <f t="shared" si="42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2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2"/>
        <v>0</v>
      </c>
    </row>
    <row r="2692" spans="1:224" x14ac:dyDescent="0.25">
      <c r="A2692" s="127">
        <v>45002</v>
      </c>
      <c r="B2692" s="24" t="s">
        <v>163</v>
      </c>
      <c r="C2692" s="21">
        <f t="shared" si="42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2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2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2"/>
        <v>1831.05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27">
        <v>45005</v>
      </c>
      <c r="B2696" s="24" t="s">
        <v>37</v>
      </c>
      <c r="C2696" s="21">
        <f t="shared" si="42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2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2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2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2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2"/>
        <v>-218.66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74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27">
        <v>45006</v>
      </c>
      <c r="B2702" s="24" t="s">
        <v>43</v>
      </c>
      <c r="C2702" s="21">
        <f t="shared" si="42"/>
        <v>-543.37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2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27">
        <v>45006</v>
      </c>
      <c r="B2704" s="24" t="s">
        <v>78</v>
      </c>
      <c r="C2704" s="21">
        <f t="shared" si="42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2"/>
        <v>-17.39</v>
      </c>
      <c r="BC2705" s="74">
        <v>-8.9499999999999993</v>
      </c>
      <c r="BU2705" s="74">
        <v>-8.44</v>
      </c>
    </row>
    <row r="2706" spans="1:241" x14ac:dyDescent="0.25">
      <c r="A2706" s="127">
        <v>45006</v>
      </c>
      <c r="B2706" s="24" t="s">
        <v>20</v>
      </c>
      <c r="C2706" s="21">
        <f t="shared" si="42"/>
        <v>-40.29</v>
      </c>
      <c r="AN2706" s="74">
        <v>-8.67</v>
      </c>
      <c r="CA2706" s="74">
        <v>-8.1</v>
      </c>
      <c r="CG2706" s="74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2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2"/>
        <v>-34.130000000000003</v>
      </c>
      <c r="BC2708" s="74">
        <v>-9.85</v>
      </c>
      <c r="BU2708" s="74">
        <v>-7.34</v>
      </c>
      <c r="CG2708" s="74">
        <v>-8.69</v>
      </c>
      <c r="CM2708" s="74">
        <v>-8.25</v>
      </c>
    </row>
    <row r="2709" spans="1:241" x14ac:dyDescent="0.25">
      <c r="A2709" s="127">
        <v>45006</v>
      </c>
      <c r="B2709" s="24" t="s">
        <v>79</v>
      </c>
      <c r="C2709" s="21">
        <f t="shared" si="42"/>
        <v>-16.920000000000002</v>
      </c>
      <c r="AC2709" s="74">
        <v>-8.33</v>
      </c>
      <c r="BU2709" s="74">
        <v>-8.59</v>
      </c>
    </row>
    <row r="2710" spans="1:241" x14ac:dyDescent="0.25">
      <c r="A2710" s="127">
        <v>45006</v>
      </c>
      <c r="B2710" s="24" t="s">
        <v>167</v>
      </c>
      <c r="C2710" s="21">
        <f t="shared" si="42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2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2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2"/>
        <v>-101.25</v>
      </c>
      <c r="BI2713" s="74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2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74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2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2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2"/>
        <v>-97.73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2"/>
        <v>-32.49</v>
      </c>
      <c r="BI2718" s="74">
        <v>-8.5</v>
      </c>
      <c r="BO2718" s="74">
        <v>-8.0500000000000007</v>
      </c>
      <c r="BX2718" s="115">
        <v>-8.2799999999999994</v>
      </c>
      <c r="CG2718" s="74">
        <v>-7.66</v>
      </c>
    </row>
    <row r="2719" spans="1:241" x14ac:dyDescent="0.25">
      <c r="A2719" s="127">
        <v>45009</v>
      </c>
      <c r="B2719" s="24" t="s">
        <v>31</v>
      </c>
      <c r="C2719" s="21">
        <f t="shared" si="42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2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2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2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2"/>
        <v>-16.25</v>
      </c>
      <c r="CG2723" s="74">
        <v>-16.25</v>
      </c>
    </row>
    <row r="2724" spans="1:238" x14ac:dyDescent="0.25">
      <c r="A2724" s="127">
        <v>45012</v>
      </c>
      <c r="B2724" s="24" t="s">
        <v>32</v>
      </c>
      <c r="C2724" s="21">
        <f t="shared" si="42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2"/>
        <v>-68.47</v>
      </c>
      <c r="BI2725" s="74">
        <v>-35.880000000000003</v>
      </c>
      <c r="CA2725" s="74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2"/>
        <v>-74.5</v>
      </c>
      <c r="CA2726" s="74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2"/>
        <v>-100</v>
      </c>
      <c r="CG2727" s="74">
        <v>-32.700000000000003</v>
      </c>
      <c r="CM2727" s="74">
        <v>-67.3</v>
      </c>
    </row>
    <row r="2728" spans="1:238" x14ac:dyDescent="0.25">
      <c r="A2728" s="127">
        <v>45012</v>
      </c>
      <c r="B2728" s="24" t="s">
        <v>44</v>
      </c>
      <c r="C2728" s="21">
        <f t="shared" si="42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2"/>
        <v>-8.25</v>
      </c>
      <c r="CM2729" s="74">
        <v>-8.25</v>
      </c>
    </row>
    <row r="2730" spans="1:238" x14ac:dyDescent="0.25">
      <c r="A2730" s="127">
        <v>45013</v>
      </c>
      <c r="B2730" s="24" t="s">
        <v>50</v>
      </c>
      <c r="C2730" s="21">
        <f t="shared" si="42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2"/>
        <v>-74.41</v>
      </c>
      <c r="AR2731" s="74">
        <v>-8.25</v>
      </c>
      <c r="BC2731" s="74">
        <v>-7.91</v>
      </c>
      <c r="BI2731" s="74">
        <v>-9.08</v>
      </c>
      <c r="BO2731" s="74">
        <v>-8</v>
      </c>
      <c r="BX2731" s="115">
        <v>-8.24</v>
      </c>
      <c r="CA2731" s="74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2"/>
        <v>-419.47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74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2"/>
        <v>-28.31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2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2"/>
        <v>-75.819999999999993</v>
      </c>
      <c r="BC2735" s="74">
        <v>-8.01</v>
      </c>
      <c r="BI2735" s="74">
        <v>-9.0500000000000007</v>
      </c>
      <c r="BO2735" s="74">
        <v>-42.01</v>
      </c>
      <c r="CG2735" s="74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2"/>
        <v>-462.52</v>
      </c>
      <c r="CG2736" s="74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3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27">
        <v>45014</v>
      </c>
      <c r="B2738" s="24" t="s">
        <v>48</v>
      </c>
      <c r="C2738" s="21">
        <f t="shared" si="43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3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3"/>
        <v>1148.3599999999999</v>
      </c>
      <c r="BU2740" s="74">
        <v>498.88</v>
      </c>
      <c r="CG2740" s="74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3"/>
        <v>-229.49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74">
        <v>-17.25</v>
      </c>
      <c r="CM2741" s="74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3"/>
        <v>-371.89</v>
      </c>
      <c r="BO2742" s="74">
        <v>-202.04</v>
      </c>
      <c r="CG2742" s="74">
        <v>-103.95</v>
      </c>
      <c r="CM2742" s="74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3"/>
        <v>-5.43</v>
      </c>
      <c r="CG2743" s="74">
        <v>-5.43</v>
      </c>
    </row>
    <row r="2744" spans="1:228" x14ac:dyDescent="0.25">
      <c r="A2744" s="127">
        <v>45015</v>
      </c>
      <c r="B2744" s="24" t="s">
        <v>83</v>
      </c>
      <c r="C2744" s="21">
        <f t="shared" si="43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3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74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3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3"/>
        <v>-160.13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74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3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3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3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3"/>
        <v>0</v>
      </c>
    </row>
    <row r="2752" spans="1:228" x14ac:dyDescent="0.25">
      <c r="A2752" s="127">
        <v>45016</v>
      </c>
      <c r="B2752" s="24" t="s">
        <v>161</v>
      </c>
      <c r="C2752" s="21">
        <f t="shared" si="43"/>
        <v>-33.56</v>
      </c>
      <c r="BU2752" s="74">
        <v>-33.56</v>
      </c>
    </row>
    <row r="2753" spans="1:221" x14ac:dyDescent="0.25">
      <c r="A2753" s="127">
        <v>45016</v>
      </c>
      <c r="B2753" s="24" t="s">
        <v>20</v>
      </c>
      <c r="C2753" s="21">
        <f t="shared" si="43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3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3"/>
        <v>-366.54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3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3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3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3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3"/>
        <v>-17.16</v>
      </c>
      <c r="AG2760" s="106">
        <v>-8.6999999999999993</v>
      </c>
      <c r="BU2760" s="74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3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3"/>
        <v>-8.5299999999999994</v>
      </c>
      <c r="BU2762" s="74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3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3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3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3"/>
        <v>1015.49</v>
      </c>
      <c r="BI2766" s="74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3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3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3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3"/>
        <v>-170.42500000000001</v>
      </c>
      <c r="X2770" s="42">
        <v>-8</v>
      </c>
      <c r="AR2770" s="74">
        <v>-16.559999999999999</v>
      </c>
      <c r="BC2770" s="74">
        <v>-33.770000000000003</v>
      </c>
      <c r="BL2770" s="115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3"/>
        <v>0</v>
      </c>
    </row>
    <row r="2772" spans="1:199" x14ac:dyDescent="0.25">
      <c r="A2772" s="127">
        <v>45022</v>
      </c>
      <c r="B2772" s="24" t="s">
        <v>83</v>
      </c>
      <c r="C2772" s="21">
        <f t="shared" si="43"/>
        <v>0</v>
      </c>
    </row>
    <row r="2773" spans="1:199" x14ac:dyDescent="0.25">
      <c r="A2773" s="127">
        <v>45022</v>
      </c>
      <c r="B2773" s="29" t="s">
        <v>39</v>
      </c>
      <c r="C2773" s="21">
        <f t="shared" si="43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27">
        <v>45023</v>
      </c>
      <c r="B2774" s="29" t="s">
        <v>84</v>
      </c>
      <c r="C2774" s="21">
        <f t="shared" si="43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74">
        <v>-8.65</v>
      </c>
      <c r="CM2774" s="74">
        <v>-8.35</v>
      </c>
    </row>
    <row r="2775" spans="1:199" x14ac:dyDescent="0.25">
      <c r="A2775" s="127">
        <v>45023</v>
      </c>
      <c r="B2775" s="29" t="s">
        <v>133</v>
      </c>
      <c r="C2775" s="21">
        <f t="shared" si="43"/>
        <v>-233.41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27">
        <v>45023</v>
      </c>
      <c r="B2776" s="29" t="s">
        <v>32</v>
      </c>
      <c r="C2776" s="21">
        <f t="shared" si="43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74">
        <v>-17.25</v>
      </c>
    </row>
    <row r="2777" spans="1:199" x14ac:dyDescent="0.25">
      <c r="A2777" s="127">
        <v>45023</v>
      </c>
      <c r="B2777" s="29" t="s">
        <v>44</v>
      </c>
      <c r="C2777" s="21">
        <f t="shared" si="43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3"/>
        <v>0</v>
      </c>
    </row>
    <row r="2779" spans="1:199" x14ac:dyDescent="0.25">
      <c r="A2779" s="127">
        <v>45023</v>
      </c>
      <c r="B2779" s="29" t="s">
        <v>68</v>
      </c>
      <c r="C2779" s="21">
        <f t="shared" si="43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3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3"/>
        <v>1237.4100000000001</v>
      </c>
      <c r="CG2781" s="74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3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74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3"/>
        <v>-34.130000000000003</v>
      </c>
      <c r="BI2783" s="74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3"/>
        <v>-299.83</v>
      </c>
      <c r="CG2784" s="74">
        <v>-69.2</v>
      </c>
      <c r="CM2784" s="74">
        <v>-163.69999999999999</v>
      </c>
      <c r="CY2784" s="74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3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74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3"/>
        <v>-39.484999999999999</v>
      </c>
      <c r="BR2786" s="115">
        <v>-8.4149999999999991</v>
      </c>
      <c r="CA2786" s="74">
        <v>-5.26</v>
      </c>
      <c r="CG2786" s="74">
        <v>-8.6999999999999993</v>
      </c>
      <c r="CM2786" s="74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3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3"/>
        <v>-8.9700000000000006</v>
      </c>
      <c r="BC2788" s="74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3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27">
        <v>45027</v>
      </c>
      <c r="B2790" s="24" t="s">
        <v>48</v>
      </c>
      <c r="C2790" s="21">
        <f t="shared" si="43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3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3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3"/>
        <v>-17.399999999999999</v>
      </c>
      <c r="CG2793" s="74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3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3"/>
        <v>-167.64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3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3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3"/>
        <v>868.01</v>
      </c>
      <c r="BC2798" s="74">
        <v>354.55</v>
      </c>
      <c r="BU2798" s="74">
        <v>513.46</v>
      </c>
    </row>
    <row r="2799" spans="1:221" x14ac:dyDescent="0.25">
      <c r="A2799" s="127">
        <v>45031</v>
      </c>
      <c r="B2799" s="24" t="s">
        <v>48</v>
      </c>
      <c r="C2799" s="21">
        <f t="shared" si="43"/>
        <v>-59.58</v>
      </c>
      <c r="BI2799" s="74">
        <v>-24.49</v>
      </c>
      <c r="BU2799" s="74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3"/>
        <v>-32.33</v>
      </c>
      <c r="BU2800" s="74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4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4"/>
        <v>0</v>
      </c>
    </row>
    <row r="2803" spans="1:146" x14ac:dyDescent="0.25">
      <c r="A2803" s="127">
        <v>45033</v>
      </c>
      <c r="B2803" s="29" t="s">
        <v>115</v>
      </c>
      <c r="C2803" s="21">
        <f t="shared" si="44"/>
        <v>0</v>
      </c>
    </row>
    <row r="2804" spans="1:146" x14ac:dyDescent="0.25">
      <c r="A2804" s="127">
        <v>45033</v>
      </c>
      <c r="B2804" s="24" t="s">
        <v>78</v>
      </c>
      <c r="C2804" s="21">
        <f t="shared" si="44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4"/>
        <v>-67.69</v>
      </c>
      <c r="AR2805" s="74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4"/>
        <v>-326.83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4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4"/>
        <v>-26.27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27">
        <v>45034</v>
      </c>
      <c r="B2809" s="24" t="s">
        <v>17</v>
      </c>
      <c r="C2809" s="21">
        <f t="shared" si="44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4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4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4"/>
        <v>-90.33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5">
        <v>-8.5</v>
      </c>
      <c r="BU2812" s="74">
        <v>-8.69</v>
      </c>
      <c r="CG2812" s="74">
        <v>-8.6999999999999993</v>
      </c>
      <c r="CM2812" s="74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4"/>
        <v>-0.47</v>
      </c>
      <c r="BC2813" s="74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4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4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5">
        <v>-8.4649999999999999</v>
      </c>
      <c r="BU2815" s="74">
        <v>-8.81</v>
      </c>
    </row>
    <row r="2816" spans="1:146" x14ac:dyDescent="0.25">
      <c r="A2816" s="127">
        <v>45034</v>
      </c>
      <c r="B2816" s="24" t="s">
        <v>133</v>
      </c>
      <c r="C2816" s="21">
        <f t="shared" si="44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4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4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4"/>
        <v>-35.159999999999997</v>
      </c>
      <c r="BU2819" s="74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4"/>
        <v>-14.24</v>
      </c>
      <c r="BG2820" s="42">
        <v>-8.89</v>
      </c>
      <c r="BI2820" s="74">
        <v>-5.35</v>
      </c>
    </row>
    <row r="2821" spans="1:226" x14ac:dyDescent="0.25">
      <c r="A2821" s="127">
        <v>45040</v>
      </c>
      <c r="B2821" s="24" t="s">
        <v>58</v>
      </c>
      <c r="C2821" s="21">
        <f t="shared" si="44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4"/>
        <v>-24.28</v>
      </c>
      <c r="DK2822" s="74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4"/>
        <v>1222.02</v>
      </c>
      <c r="BI2823" s="74">
        <v>199.15</v>
      </c>
      <c r="BO2823" s="74">
        <v>203.57</v>
      </c>
      <c r="CA2823" s="74">
        <v>199.15</v>
      </c>
      <c r="CG2823" s="74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4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74">
        <v>-33.25</v>
      </c>
    </row>
    <row r="2825" spans="1:226" x14ac:dyDescent="0.25">
      <c r="A2825" s="127">
        <v>45041</v>
      </c>
      <c r="B2825" s="24" t="s">
        <v>43</v>
      </c>
      <c r="C2825" s="21">
        <f t="shared" si="44"/>
        <v>-502.69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74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4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5">
        <v>-8.2949999999999999</v>
      </c>
      <c r="CM2826" s="74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4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4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4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4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74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4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4"/>
        <v>0</v>
      </c>
    </row>
    <row r="2833" spans="1:221" x14ac:dyDescent="0.25">
      <c r="A2833" s="127">
        <v>45041</v>
      </c>
      <c r="B2833" s="24" t="s">
        <v>17</v>
      </c>
      <c r="C2833" s="21">
        <f t="shared" si="44"/>
        <v>-502.82</v>
      </c>
      <c r="AR2833" s="74">
        <v>-67.59</v>
      </c>
      <c r="AW2833" s="74">
        <v>-66.3</v>
      </c>
      <c r="BC2833" s="74">
        <v>-35.450000000000003</v>
      </c>
      <c r="CG2833" s="74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4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27">
        <v>45041</v>
      </c>
      <c r="B2835" s="24" t="s">
        <v>68</v>
      </c>
      <c r="C2835" s="21">
        <f t="shared" si="44"/>
        <v>-67.22</v>
      </c>
      <c r="AC2835" s="74">
        <v>-33.130000000000003</v>
      </c>
      <c r="BU2835" s="74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4"/>
        <v>-59.27</v>
      </c>
      <c r="BU2836" s="74">
        <f>-8.78-8.44</f>
        <v>-17.22</v>
      </c>
      <c r="CJ2836" s="115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4"/>
        <v>0</v>
      </c>
    </row>
    <row r="2838" spans="1:221" x14ac:dyDescent="0.25">
      <c r="A2838" s="127">
        <v>45042</v>
      </c>
      <c r="B2838" s="24" t="s">
        <v>161</v>
      </c>
      <c r="C2838" s="21">
        <f t="shared" si="44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4"/>
        <v>-34.68</v>
      </c>
      <c r="BU2839" s="74">
        <v>-34.68</v>
      </c>
    </row>
    <row r="2840" spans="1:221" x14ac:dyDescent="0.25">
      <c r="A2840" s="127">
        <v>45042</v>
      </c>
      <c r="B2840" s="24" t="s">
        <v>20</v>
      </c>
      <c r="C2840" s="21">
        <f t="shared" si="44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4"/>
        <v>-33.83</v>
      </c>
      <c r="BO2841" s="74">
        <v>-8.6300000000000008</v>
      </c>
      <c r="CA2841" s="74">
        <v>-16.600000000000001</v>
      </c>
      <c r="CG2841" s="74">
        <v>-8.6</v>
      </c>
    </row>
    <row r="2842" spans="1:221" x14ac:dyDescent="0.25">
      <c r="A2842" s="127">
        <v>45042</v>
      </c>
      <c r="B2842" s="24" t="s">
        <v>40</v>
      </c>
      <c r="C2842" s="21">
        <f t="shared" si="44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4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4"/>
        <v>0</v>
      </c>
    </row>
    <row r="2845" spans="1:221" x14ac:dyDescent="0.25">
      <c r="A2845" s="127">
        <v>45042</v>
      </c>
      <c r="B2845" s="24" t="s">
        <v>68</v>
      </c>
      <c r="C2845" s="21">
        <f t="shared" si="44"/>
        <v>-33.200000000000003</v>
      </c>
      <c r="CA2845" s="74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4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</v>
      </c>
      <c r="BI2846" s="74">
        <v>-32.950000000000003</v>
      </c>
      <c r="BU2846" s="74">
        <v>-34.950000000000003</v>
      </c>
      <c r="CA2846" s="74">
        <v>-24.9</v>
      </c>
      <c r="CG2846" s="74">
        <v>-8.65</v>
      </c>
    </row>
    <row r="2847" spans="1:221" x14ac:dyDescent="0.25">
      <c r="A2847" s="127">
        <v>45043</v>
      </c>
      <c r="B2847" s="24" t="s">
        <v>48</v>
      </c>
      <c r="C2847" s="21">
        <f t="shared" si="44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4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4"/>
        <v>-40.89</v>
      </c>
      <c r="BU2849" s="74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4"/>
        <v>-7.06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4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4"/>
        <v>-34.590000000000003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4"/>
        <v>-8.5299999999999994</v>
      </c>
      <c r="BO2853" s="74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4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4"/>
        <v>-49.8</v>
      </c>
      <c r="DK2855" s="74">
        <v>-49.8</v>
      </c>
    </row>
    <row r="2856" spans="1:237" x14ac:dyDescent="0.25">
      <c r="A2856" s="127">
        <v>45045</v>
      </c>
      <c r="B2856" s="24" t="s">
        <v>100</v>
      </c>
      <c r="C2856" s="21">
        <f t="shared" si="44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4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4"/>
        <v>1552.64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74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4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4"/>
        <v>-837.03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74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4"/>
        <v>-83.65</v>
      </c>
      <c r="BI2861" s="74">
        <v>-16.5</v>
      </c>
      <c r="BO2861" s="74">
        <v>-17.53</v>
      </c>
      <c r="BU2861" s="74">
        <v>-17.47</v>
      </c>
      <c r="CG2861" s="74">
        <v>-17.25</v>
      </c>
      <c r="CM2861" s="74">
        <v>-14.9</v>
      </c>
    </row>
    <row r="2862" spans="1:237" x14ac:dyDescent="0.25">
      <c r="A2862" s="127">
        <v>45048</v>
      </c>
      <c r="B2862" s="24" t="s">
        <v>152</v>
      </c>
      <c r="C2862" s="21">
        <f t="shared" si="44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74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4"/>
        <v>-1623.8</v>
      </c>
      <c r="AC2863" s="74">
        <v>-28.4</v>
      </c>
      <c r="CG2863" s="74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4"/>
        <v>-49.4</v>
      </c>
      <c r="BI2864" s="74">
        <v>-32.799999999999997</v>
      </c>
      <c r="CA2864" s="74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5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5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5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5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5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5"/>
        <v>-32.950000000000003</v>
      </c>
      <c r="BI2870" s="74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5"/>
        <v>-91.35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5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5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5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5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5"/>
        <v>-65.760000000000005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74">
        <v>-17.3</v>
      </c>
    </row>
    <row r="2877" spans="1:226" x14ac:dyDescent="0.25">
      <c r="A2877" s="127">
        <v>45050</v>
      </c>
      <c r="B2877" s="24" t="s">
        <v>48</v>
      </c>
      <c r="C2877" s="21">
        <f t="shared" si="45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5"/>
        <v>0</v>
      </c>
    </row>
    <row r="2879" spans="1:226" x14ac:dyDescent="0.25">
      <c r="A2879" s="127">
        <v>45051</v>
      </c>
      <c r="B2879" s="24" t="s">
        <v>39</v>
      </c>
      <c r="C2879" s="21">
        <f t="shared" si="45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5"/>
        <v>-388.52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5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5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27">
        <v>45051</v>
      </c>
      <c r="B2883" s="24" t="s">
        <v>31</v>
      </c>
      <c r="C2883" s="21">
        <f t="shared" si="45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5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5"/>
        <v>-304.75</v>
      </c>
      <c r="AW2885" s="74">
        <v>-133.01</v>
      </c>
      <c r="CY2885" s="74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5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5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5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5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5"/>
        <v>1007.76</v>
      </c>
      <c r="BO2890" s="74">
        <v>167.6</v>
      </c>
      <c r="CA2890" s="74">
        <v>168.2</v>
      </c>
      <c r="CG2890" s="74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5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5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5"/>
        <v>-8.3000000000000007</v>
      </c>
      <c r="BI2893" s="74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5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5"/>
        <v>-8.6</v>
      </c>
      <c r="CG2895" s="74">
        <v>-8.6</v>
      </c>
    </row>
    <row r="2896" spans="1:237" x14ac:dyDescent="0.25">
      <c r="A2896" s="127">
        <v>45055</v>
      </c>
      <c r="B2896" s="24" t="s">
        <v>39</v>
      </c>
      <c r="C2896" s="21">
        <f t="shared" si="45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5"/>
        <v>-12.4</v>
      </c>
      <c r="CY2897" s="74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5"/>
        <v>-33.25</v>
      </c>
      <c r="BO2898" s="74">
        <v>-24.85</v>
      </c>
      <c r="CA2898" s="74">
        <v>-8.4</v>
      </c>
    </row>
    <row r="2899" spans="1:224" x14ac:dyDescent="0.25">
      <c r="A2899" s="127">
        <v>45056</v>
      </c>
      <c r="B2899" s="24" t="s">
        <v>133</v>
      </c>
      <c r="C2899" s="21">
        <f t="shared" si="45"/>
        <v>0</v>
      </c>
    </row>
    <row r="2900" spans="1:224" x14ac:dyDescent="0.25">
      <c r="A2900" s="127">
        <v>45056</v>
      </c>
      <c r="B2900" s="29" t="s">
        <v>32</v>
      </c>
      <c r="C2900" s="21">
        <f t="shared" si="45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5"/>
        <v>-665.8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74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5"/>
        <v>-99.17</v>
      </c>
      <c r="AZ2902" s="115">
        <v>-8.2200000000000006</v>
      </c>
      <c r="BF2902" s="115">
        <v>-8.2850000000000001</v>
      </c>
      <c r="BL2902" s="115">
        <v>-16.12</v>
      </c>
      <c r="BO2902" s="74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27">
        <v>45056</v>
      </c>
      <c r="B2903" s="29" t="s">
        <v>25</v>
      </c>
      <c r="C2903" s="21">
        <f t="shared" si="45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5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5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27">
        <v>45056</v>
      </c>
      <c r="B2906" s="24" t="s">
        <v>39</v>
      </c>
      <c r="C2906" s="21">
        <f t="shared" si="45"/>
        <v>-7.3</v>
      </c>
      <c r="AR2906" s="74">
        <v>-7.3</v>
      </c>
    </row>
    <row r="2907" spans="1:224" x14ac:dyDescent="0.25">
      <c r="A2907" s="127">
        <v>45057</v>
      </c>
      <c r="B2907" s="24" t="s">
        <v>133</v>
      </c>
      <c r="C2907" s="21">
        <f t="shared" si="45"/>
        <v>-52.27</v>
      </c>
      <c r="CG2907" s="74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5"/>
        <v>-8.35</v>
      </c>
      <c r="BO2908" s="74">
        <v>-8.35</v>
      </c>
    </row>
    <row r="2909" spans="1:224" x14ac:dyDescent="0.25">
      <c r="A2909" s="127">
        <v>45057</v>
      </c>
      <c r="B2909" s="24" t="s">
        <v>37</v>
      </c>
      <c r="C2909" s="21">
        <f t="shared" si="45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5"/>
        <v>-50.335000000000001</v>
      </c>
      <c r="BI2910" s="74">
        <v>-8.25</v>
      </c>
      <c r="BX2910" s="115">
        <v>-8.625</v>
      </c>
      <c r="CG2910" s="74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27">
        <v>45058</v>
      </c>
      <c r="B2911" s="24" t="s">
        <v>68</v>
      </c>
      <c r="C2911" s="21">
        <f t="shared" si="45"/>
        <v>-81.564999999999998</v>
      </c>
      <c r="AN2911" s="74">
        <v>-31.7</v>
      </c>
      <c r="AR2911" s="74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5"/>
        <v>1637.05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74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5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27">
        <v>45059</v>
      </c>
      <c r="B2914" s="24" t="s">
        <v>115</v>
      </c>
      <c r="C2914" s="21">
        <f t="shared" si="45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5"/>
        <v>-200.33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5"/>
        <v>-119.79</v>
      </c>
      <c r="AW2916" s="74">
        <v>-33.950000000000003</v>
      </c>
      <c r="CM2916" s="74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5"/>
        <v>-598.13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74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5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5"/>
        <v>-7.75</v>
      </c>
      <c r="BU2919" s="74">
        <v>-7.75</v>
      </c>
    </row>
    <row r="2920" spans="1:178" x14ac:dyDescent="0.25">
      <c r="A2920" s="127">
        <v>45061</v>
      </c>
      <c r="B2920" s="24" t="s">
        <v>17</v>
      </c>
      <c r="C2920" s="21">
        <f t="shared" si="45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5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5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5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5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5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5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5"/>
        <v>-26.2</v>
      </c>
      <c r="CA2927" s="74">
        <v>-17.600000000000001</v>
      </c>
      <c r="CG2927" s="74">
        <v>-8.6</v>
      </c>
    </row>
    <row r="2928" spans="1:178" x14ac:dyDescent="0.25">
      <c r="A2928" s="127">
        <v>45062</v>
      </c>
      <c r="B2928" s="24" t="s">
        <v>20</v>
      </c>
      <c r="C2928" s="21">
        <f t="shared" si="45"/>
        <v>-59.79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74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46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46"/>
        <v>-44.45</v>
      </c>
      <c r="BO2930" s="74">
        <v>-16.5</v>
      </c>
      <c r="CG2930" s="74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46"/>
        <v>-23.7</v>
      </c>
      <c r="BI2931" s="74">
        <v>-7.95</v>
      </c>
      <c r="BU2931" s="74">
        <v>-15.75</v>
      </c>
    </row>
    <row r="2932" spans="1:237" x14ac:dyDescent="0.25">
      <c r="A2932" s="127">
        <v>45062</v>
      </c>
      <c r="B2932" s="24" t="s">
        <v>17</v>
      </c>
      <c r="C2932" s="21">
        <f t="shared" si="46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46"/>
        <v>-141.38999999999999</v>
      </c>
      <c r="CY2933" s="74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46"/>
        <v>0</v>
      </c>
    </row>
    <row r="2935" spans="1:237" x14ac:dyDescent="0.25">
      <c r="A2935" s="127">
        <v>45063</v>
      </c>
      <c r="B2935" s="24" t="s">
        <v>43</v>
      </c>
      <c r="C2935" s="21">
        <f t="shared" si="46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46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46"/>
        <v>-58.9</v>
      </c>
      <c r="BC2937" s="74">
        <v>-16.8</v>
      </c>
      <c r="BO2937" s="74">
        <v>-9.1999999999999993</v>
      </c>
      <c r="BU2937" s="74">
        <v>-15.7</v>
      </c>
      <c r="CG2937" s="74">
        <v>-17.2</v>
      </c>
    </row>
    <row r="2938" spans="1:237" x14ac:dyDescent="0.25">
      <c r="A2938" s="127">
        <v>45064</v>
      </c>
      <c r="B2938" s="24" t="s">
        <v>75</v>
      </c>
      <c r="C2938" s="21">
        <f t="shared" si="46"/>
        <v>-24.2</v>
      </c>
      <c r="BI2938" s="74">
        <v>-7.15</v>
      </c>
      <c r="BO2938" s="74">
        <v>-17.05</v>
      </c>
    </row>
    <row r="2939" spans="1:237" x14ac:dyDescent="0.25">
      <c r="A2939" s="127">
        <v>45064</v>
      </c>
      <c r="B2939" s="24" t="s">
        <v>27</v>
      </c>
      <c r="C2939" s="21">
        <f t="shared" si="46"/>
        <v>-33.6</v>
      </c>
      <c r="BC2939" s="74">
        <v>-16.8</v>
      </c>
      <c r="CA2939" s="74">
        <v>-16.8</v>
      </c>
    </row>
    <row r="2940" spans="1:237" x14ac:dyDescent="0.25">
      <c r="A2940" s="127">
        <v>45064</v>
      </c>
      <c r="B2940" s="24" t="s">
        <v>127</v>
      </c>
      <c r="C2940" s="21">
        <f t="shared" si="46"/>
        <v>-33.549999999999997</v>
      </c>
      <c r="BI2940" s="74">
        <v>-16.75</v>
      </c>
      <c r="BO2940" s="74">
        <v>-16.8</v>
      </c>
    </row>
    <row r="2941" spans="1:237" x14ac:dyDescent="0.25">
      <c r="A2941" s="127">
        <v>45064</v>
      </c>
      <c r="B2941" s="24" t="s">
        <v>44</v>
      </c>
      <c r="C2941" s="21">
        <f t="shared" si="46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46"/>
        <v>-55.44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46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46"/>
        <v>0</v>
      </c>
    </row>
    <row r="2945" spans="1:230" x14ac:dyDescent="0.25">
      <c r="A2945" s="127">
        <v>45065</v>
      </c>
      <c r="B2945" s="24" t="s">
        <v>20</v>
      </c>
      <c r="C2945" s="21">
        <f t="shared" si="46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46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46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46"/>
        <v>-7.4</v>
      </c>
      <c r="CG2948" s="74">
        <v>-3.2</v>
      </c>
      <c r="CY2948" s="74">
        <v>-4.2</v>
      </c>
    </row>
    <row r="2949" spans="1:230" x14ac:dyDescent="0.25">
      <c r="A2949" s="127">
        <v>45068</v>
      </c>
      <c r="B2949" s="24" t="s">
        <v>161</v>
      </c>
      <c r="C2949" s="21">
        <f t="shared" si="46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46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46"/>
        <v>0</v>
      </c>
    </row>
    <row r="2952" spans="1:230" x14ac:dyDescent="0.25">
      <c r="A2952" s="127">
        <v>45069</v>
      </c>
      <c r="B2952" s="24" t="s">
        <v>25</v>
      </c>
      <c r="C2952" s="21">
        <f t="shared" si="46"/>
        <v>-25.31</v>
      </c>
      <c r="Z2952" s="79">
        <v>-8.51</v>
      </c>
      <c r="CA2952" s="74">
        <v>-8.4499999999999993</v>
      </c>
      <c r="CG2952" s="74">
        <v>-8.35</v>
      </c>
    </row>
    <row r="2953" spans="1:230" x14ac:dyDescent="0.25">
      <c r="A2953" s="127">
        <v>45069</v>
      </c>
      <c r="B2953" s="24" t="s">
        <v>75</v>
      </c>
      <c r="C2953" s="21">
        <f t="shared" si="46"/>
        <v>-41.29</v>
      </c>
      <c r="AN2953" s="74">
        <v>-7.95</v>
      </c>
      <c r="CG2953" s="74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46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27">
        <v>45069</v>
      </c>
      <c r="B2955" s="24" t="s">
        <v>133</v>
      </c>
      <c r="C2955" s="21">
        <f t="shared" si="46"/>
        <v>-98.81</v>
      </c>
      <c r="AN2955" s="74">
        <v>-31.85</v>
      </c>
      <c r="CG2955" s="74">
        <v>-34.25</v>
      </c>
      <c r="CY2955" s="74">
        <v>-32.71</v>
      </c>
    </row>
    <row r="2956" spans="1:230" x14ac:dyDescent="0.25">
      <c r="A2956" s="127">
        <v>45069</v>
      </c>
      <c r="B2956" s="24" t="s">
        <v>113</v>
      </c>
      <c r="C2956" s="21">
        <f t="shared" si="46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74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46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46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74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46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46"/>
        <v>-97.71</v>
      </c>
      <c r="AN2960" s="74">
        <v>-63.6</v>
      </c>
      <c r="AR2960" s="74">
        <v>-34.11</v>
      </c>
    </row>
    <row r="2961" spans="1:221" x14ac:dyDescent="0.25">
      <c r="A2961" s="127">
        <v>45070</v>
      </c>
      <c r="B2961" s="24" t="s">
        <v>83</v>
      </c>
      <c r="C2961" s="21">
        <f t="shared" si="46"/>
        <v>0</v>
      </c>
    </row>
    <row r="2962" spans="1:221" x14ac:dyDescent="0.25">
      <c r="A2962" s="127">
        <v>45070</v>
      </c>
      <c r="B2962" s="24" t="s">
        <v>82</v>
      </c>
      <c r="C2962" s="21">
        <f t="shared" si="46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46"/>
        <v>-98.54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27">
        <v>45070</v>
      </c>
      <c r="B2964" s="24" t="s">
        <v>59</v>
      </c>
      <c r="C2964" s="21">
        <f t="shared" si="46"/>
        <v>-11.1</v>
      </c>
      <c r="CM2964" s="74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46"/>
        <v>1252.93</v>
      </c>
      <c r="AG2965" s="106">
        <v>128.18</v>
      </c>
      <c r="AW2965" s="74">
        <v>232.2</v>
      </c>
      <c r="CA2965" s="74">
        <v>155.65</v>
      </c>
      <c r="CG2965" s="74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46"/>
        <v>-16.55</v>
      </c>
      <c r="AW2966" s="74">
        <v>-8.4499999999999993</v>
      </c>
      <c r="BI2966" s="74">
        <v>-8.1</v>
      </c>
    </row>
    <row r="2967" spans="1:221" x14ac:dyDescent="0.25">
      <c r="A2967" s="127">
        <v>45071</v>
      </c>
      <c r="B2967" s="24" t="s">
        <v>144</v>
      </c>
      <c r="C2967" s="21">
        <f t="shared" si="46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46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46"/>
        <v>-637.29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46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74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27">
        <v>45072</v>
      </c>
      <c r="B2971" s="24" t="s">
        <v>149</v>
      </c>
      <c r="C2971" s="21">
        <f t="shared" si="46"/>
        <v>-16.45</v>
      </c>
      <c r="CG2971" s="74">
        <v>-8.5</v>
      </c>
      <c r="CM2971" s="74">
        <v>-7.95</v>
      </c>
    </row>
    <row r="2972" spans="1:221" x14ac:dyDescent="0.25">
      <c r="A2972" s="127">
        <v>45072</v>
      </c>
      <c r="B2972" s="24" t="s">
        <v>20</v>
      </c>
      <c r="C2972" s="21">
        <f t="shared" si="46"/>
        <v>-15.9</v>
      </c>
      <c r="AC2972" s="74">
        <v>-8</v>
      </c>
      <c r="BU2972" s="74">
        <v>-7.9</v>
      </c>
    </row>
    <row r="2973" spans="1:221" x14ac:dyDescent="0.25">
      <c r="A2973" s="127">
        <v>45072</v>
      </c>
      <c r="B2973" s="24" t="s">
        <v>18</v>
      </c>
      <c r="C2973" s="21">
        <f t="shared" si="46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74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46"/>
        <v>-86.34</v>
      </c>
      <c r="CM2974" s="74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46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46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46"/>
        <v>-41.16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46"/>
        <v>-97.75</v>
      </c>
      <c r="BC2978" s="74">
        <v>-64.7</v>
      </c>
      <c r="BO2978" s="74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46"/>
        <v>-34.950000000000003</v>
      </c>
      <c r="BC2979" s="74">
        <v>-8.35</v>
      </c>
      <c r="BI2979" s="74">
        <v>-9.5500000000000007</v>
      </c>
      <c r="CG2979" s="74">
        <v>-8.5</v>
      </c>
      <c r="CY2979" s="74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46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46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46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46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46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46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46"/>
        <v>-58.104999999999997</v>
      </c>
      <c r="AC2986" s="74">
        <v>-7.95</v>
      </c>
      <c r="BI2986" s="74">
        <v>-8.5500000000000007</v>
      </c>
      <c r="BU2986" s="74">
        <v>-7.9</v>
      </c>
      <c r="BX2986" s="115">
        <v>-8.5549999999999997</v>
      </c>
      <c r="CA2986" s="74">
        <v>-17.2</v>
      </c>
      <c r="CM2986" s="74">
        <v>-7.95</v>
      </c>
    </row>
    <row r="2987" spans="1:221" x14ac:dyDescent="0.25">
      <c r="A2987" s="127">
        <v>45076</v>
      </c>
      <c r="B2987" s="24" t="s">
        <v>20</v>
      </c>
      <c r="C2987" s="21">
        <f t="shared" si="46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46"/>
        <v>-61.984999999999999</v>
      </c>
      <c r="AG2988" s="106">
        <v>-16.41</v>
      </c>
      <c r="BO2988" s="74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46"/>
        <v>0</v>
      </c>
    </row>
    <row r="2990" spans="1:221" x14ac:dyDescent="0.25">
      <c r="A2990" s="127">
        <v>45077</v>
      </c>
      <c r="B2990" s="24" t="s">
        <v>167</v>
      </c>
      <c r="C2990" s="21">
        <f t="shared" si="46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46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46"/>
        <v>-166.05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47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47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47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47"/>
        <v>-51</v>
      </c>
      <c r="CA2996" s="74">
        <v>-16.95</v>
      </c>
      <c r="CG2996" s="74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47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74">
        <v>-8.5</v>
      </c>
      <c r="CM2997" s="74">
        <v>-7.95</v>
      </c>
      <c r="CY2997" s="74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47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47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47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47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47"/>
        <v>1773.45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47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47"/>
        <v>-12.44</v>
      </c>
      <c r="CY3004" s="74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47"/>
        <v>-231.27</v>
      </c>
      <c r="AR3005" s="74">
        <v>-65.819999999999993</v>
      </c>
      <c r="CG3005" s="74">
        <v>-34</v>
      </c>
      <c r="CM3005" s="74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47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47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47"/>
        <v>0</v>
      </c>
    </row>
    <row r="3009" spans="1:232" x14ac:dyDescent="0.25">
      <c r="A3009" s="127">
        <v>45082</v>
      </c>
      <c r="B3009" s="24" t="s">
        <v>64</v>
      </c>
      <c r="C3009" s="21">
        <f t="shared" si="47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47"/>
        <v>-24.5</v>
      </c>
      <c r="CT3010" s="121">
        <v>-7.65</v>
      </c>
      <c r="CY3010" s="74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47"/>
        <v>-16.84</v>
      </c>
      <c r="AN3011" s="74">
        <v>-7.9</v>
      </c>
      <c r="AR3011" s="74">
        <v>-8.94</v>
      </c>
    </row>
    <row r="3012" spans="1:232" x14ac:dyDescent="0.25">
      <c r="A3012" s="127">
        <v>45082</v>
      </c>
      <c r="B3012" s="24" t="s">
        <v>29</v>
      </c>
      <c r="C3012" s="21">
        <f t="shared" si="47"/>
        <v>-11.6</v>
      </c>
      <c r="P3012" s="106">
        <v>-3.2</v>
      </c>
      <c r="BC3012" s="74">
        <v>-8.4</v>
      </c>
    </row>
    <row r="3013" spans="1:232" x14ac:dyDescent="0.25">
      <c r="A3013" s="127">
        <v>45083</v>
      </c>
      <c r="B3013" s="24" t="s">
        <v>68</v>
      </c>
      <c r="C3013" s="21">
        <f t="shared" si="47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47"/>
        <v>0</v>
      </c>
    </row>
    <row r="3015" spans="1:232" x14ac:dyDescent="0.25">
      <c r="A3015" s="127">
        <v>45083</v>
      </c>
      <c r="B3015" s="24" t="s">
        <v>139</v>
      </c>
      <c r="C3015" s="21">
        <f t="shared" si="47"/>
        <v>-8.5500000000000007</v>
      </c>
      <c r="CY3015" s="74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47"/>
        <v>-49.36</v>
      </c>
      <c r="AR3016" s="74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47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47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47"/>
        <v>-16.45</v>
      </c>
      <c r="AN3019" s="74">
        <v>-7.95</v>
      </c>
      <c r="CG3019" s="74">
        <v>-8.5</v>
      </c>
    </row>
    <row r="3020" spans="1:232" x14ac:dyDescent="0.25">
      <c r="A3020" s="127">
        <v>45083</v>
      </c>
      <c r="B3020" s="24" t="s">
        <v>17</v>
      </c>
      <c r="C3020" s="21">
        <f t="shared" si="47"/>
        <v>-16.75</v>
      </c>
      <c r="BC3020" s="74">
        <v>-8.35</v>
      </c>
      <c r="CM3020" s="74">
        <v>-8.4</v>
      </c>
    </row>
    <row r="3021" spans="1:232" x14ac:dyDescent="0.25">
      <c r="A3021" s="127">
        <v>45084</v>
      </c>
      <c r="B3021" s="24" t="s">
        <v>37</v>
      </c>
      <c r="C3021" s="21">
        <f t="shared" si="47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47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47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47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47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74">
        <v>134.07</v>
      </c>
      <c r="CY3025" s="74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47"/>
        <v>-93.54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27">
        <v>45086</v>
      </c>
      <c r="B3027" s="24" t="s">
        <v>57</v>
      </c>
      <c r="C3027" s="21">
        <f t="shared" si="47"/>
        <v>-49.22</v>
      </c>
      <c r="BI3027" s="74">
        <f>-9-9.02</f>
        <v>-18.02</v>
      </c>
      <c r="BO3027" s="74">
        <v>-31.2</v>
      </c>
    </row>
    <row r="3028" spans="1:226" x14ac:dyDescent="0.25">
      <c r="A3028" s="127">
        <v>45086</v>
      </c>
      <c r="B3028" s="24" t="s">
        <v>65</v>
      </c>
      <c r="C3028" s="21">
        <f t="shared" si="47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47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47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47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47"/>
        <v>-17.059999999999999</v>
      </c>
      <c r="BC3032" s="74">
        <v>-8.0500000000000007</v>
      </c>
      <c r="BI3032" s="74">
        <v>-9.01</v>
      </c>
    </row>
    <row r="3033" spans="1:226" x14ac:dyDescent="0.25">
      <c r="A3033" s="127">
        <v>45087</v>
      </c>
      <c r="B3033" s="24" t="s">
        <v>113</v>
      </c>
      <c r="C3033" s="21">
        <f t="shared" si="47"/>
        <v>978.64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74">
        <v>102.09</v>
      </c>
      <c r="CM3033" s="74">
        <v>96.68</v>
      </c>
    </row>
    <row r="3034" spans="1:226" x14ac:dyDescent="0.25">
      <c r="A3034" s="127">
        <v>45089</v>
      </c>
      <c r="B3034" s="24" t="s">
        <v>17</v>
      </c>
      <c r="C3034" s="21">
        <f t="shared" si="47"/>
        <v>-66.959999999999994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47"/>
        <v>-168.58</v>
      </c>
      <c r="AR3035" s="74">
        <v>-31.69</v>
      </c>
      <c r="AW3035" s="74">
        <v>-33.75</v>
      </c>
      <c r="BI3035" s="74">
        <v>-35.89</v>
      </c>
      <c r="CG3035" s="74">
        <v>-32.75</v>
      </c>
      <c r="CM3035" s="74">
        <v>-34.5</v>
      </c>
    </row>
    <row r="3036" spans="1:226" x14ac:dyDescent="0.25">
      <c r="A3036" s="127">
        <v>45090</v>
      </c>
      <c r="B3036" s="24" t="s">
        <v>48</v>
      </c>
      <c r="C3036" s="21">
        <f t="shared" si="47"/>
        <v>8.2799999999999994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47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47"/>
        <v>-24.07</v>
      </c>
      <c r="AR3038" s="74">
        <v>-8.92</v>
      </c>
      <c r="BU3038" s="74">
        <v>-15.15</v>
      </c>
    </row>
    <row r="3039" spans="1:226" x14ac:dyDescent="0.25">
      <c r="A3039" s="127">
        <v>45090</v>
      </c>
      <c r="B3039" s="24" t="s">
        <v>75</v>
      </c>
      <c r="C3039" s="21">
        <f t="shared" si="47"/>
        <v>-8.4</v>
      </c>
      <c r="CM3039" s="74">
        <v>-8.4</v>
      </c>
    </row>
    <row r="3040" spans="1:226" x14ac:dyDescent="0.25">
      <c r="A3040" s="127">
        <v>45090</v>
      </c>
      <c r="B3040" s="24" t="s">
        <v>139</v>
      </c>
      <c r="C3040" s="21">
        <f t="shared" si="47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27">
        <v>45090</v>
      </c>
      <c r="B3041" s="24" t="s">
        <v>20</v>
      </c>
      <c r="C3041" s="21">
        <f t="shared" si="47"/>
        <v>-16.329999999999998</v>
      </c>
      <c r="BU3041" s="74">
        <v>-7.71</v>
      </c>
      <c r="CA3041" s="74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47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27">
        <v>45090</v>
      </c>
      <c r="B3043" s="24" t="s">
        <v>58</v>
      </c>
      <c r="C3043" s="21">
        <f t="shared" si="47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47"/>
        <v>1322.03</v>
      </c>
      <c r="BU3044" s="74">
        <v>148.41999999999999</v>
      </c>
      <c r="CG3044" s="74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47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47"/>
        <v>-1849.74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74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47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74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74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47"/>
        <v>1378.75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47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47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47"/>
        <v>-73.59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74">
        <v>-8.75</v>
      </c>
      <c r="CM3051" s="74">
        <v>-8.75</v>
      </c>
    </row>
    <row r="3052" spans="1:224" x14ac:dyDescent="0.25">
      <c r="A3052" s="127">
        <v>45091</v>
      </c>
      <c r="B3052" s="24" t="s">
        <v>14</v>
      </c>
      <c r="C3052" s="21">
        <f t="shared" si="47"/>
        <v>0</v>
      </c>
    </row>
    <row r="3053" spans="1:224" x14ac:dyDescent="0.25">
      <c r="A3053" s="127">
        <v>45092</v>
      </c>
      <c r="B3053" s="24" t="s">
        <v>178</v>
      </c>
      <c r="C3053" s="21">
        <f t="shared" si="47"/>
        <v>-15.48</v>
      </c>
      <c r="BU3053" s="74">
        <v>-15.48</v>
      </c>
    </row>
    <row r="3054" spans="1:224" x14ac:dyDescent="0.25">
      <c r="A3054" s="127">
        <v>45092</v>
      </c>
      <c r="B3054" s="24" t="s">
        <v>37</v>
      </c>
      <c r="C3054" s="21">
        <f t="shared" si="47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47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47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48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48"/>
        <v>-15.21</v>
      </c>
      <c r="BU3058" s="74">
        <v>-15.21</v>
      </c>
    </row>
    <row r="3059" spans="1:226" x14ac:dyDescent="0.25">
      <c r="A3059" s="127">
        <v>45093</v>
      </c>
      <c r="B3059" s="24" t="s">
        <v>82</v>
      </c>
      <c r="C3059" s="21">
        <f t="shared" si="48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48"/>
        <v>-135.65</v>
      </c>
      <c r="BO3060" s="74">
        <v>-8.4</v>
      </c>
      <c r="BU3060" s="74">
        <v>-7.22</v>
      </c>
      <c r="CG3060" s="74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48"/>
        <v>-19.399999999999999</v>
      </c>
      <c r="CA3061" s="74">
        <v>-5.07</v>
      </c>
      <c r="CG3061" s="74">
        <v>-2.84</v>
      </c>
      <c r="CM3061" s="74">
        <v>-8.7899999999999991</v>
      </c>
      <c r="CY3061" s="74">
        <v>-2.7</v>
      </c>
    </row>
    <row r="3062" spans="1:226" x14ac:dyDescent="0.25">
      <c r="A3062" s="127">
        <v>45096</v>
      </c>
      <c r="B3062" s="24" t="s">
        <v>12</v>
      </c>
      <c r="C3062" s="21">
        <f t="shared" si="48"/>
        <v>0</v>
      </c>
    </row>
    <row r="3063" spans="1:226" x14ac:dyDescent="0.25">
      <c r="A3063" s="127">
        <v>45096</v>
      </c>
      <c r="B3063" s="24" t="s">
        <v>17</v>
      </c>
      <c r="C3063" s="21">
        <f t="shared" si="48"/>
        <v>-16.43</v>
      </c>
      <c r="BO3063" s="74">
        <v>-16.43</v>
      </c>
    </row>
    <row r="3064" spans="1:226" x14ac:dyDescent="0.25">
      <c r="A3064" s="127">
        <v>45096</v>
      </c>
      <c r="B3064" s="24" t="s">
        <v>68</v>
      </c>
      <c r="C3064" s="21">
        <f t="shared" si="48"/>
        <v>-62.16</v>
      </c>
      <c r="AG3064" s="106">
        <v>-33.17</v>
      </c>
      <c r="BU3064" s="74">
        <v>-28.99</v>
      </c>
    </row>
    <row r="3065" spans="1:226" x14ac:dyDescent="0.25">
      <c r="A3065" s="127">
        <v>45096</v>
      </c>
      <c r="B3065" s="24" t="s">
        <v>20</v>
      </c>
      <c r="C3065" s="21">
        <f t="shared" si="48"/>
        <v>-24.85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27">
        <v>45096</v>
      </c>
      <c r="B3066" s="24" t="s">
        <v>32</v>
      </c>
      <c r="C3066" s="21">
        <f t="shared" si="48"/>
        <v>-36.46</v>
      </c>
      <c r="BI3066" s="74">
        <v>-36.46</v>
      </c>
    </row>
    <row r="3067" spans="1:226" x14ac:dyDescent="0.25">
      <c r="A3067" s="127">
        <v>45096</v>
      </c>
      <c r="B3067" s="24" t="s">
        <v>133</v>
      </c>
      <c r="C3067" s="21">
        <f t="shared" si="48"/>
        <v>-34</v>
      </c>
      <c r="BI3067" s="74">
        <v>-34</v>
      </c>
    </row>
    <row r="3068" spans="1:226" x14ac:dyDescent="0.25">
      <c r="A3068" s="127">
        <v>45097</v>
      </c>
      <c r="B3068" s="24" t="s">
        <v>83</v>
      </c>
      <c r="C3068" s="21">
        <f t="shared" si="48"/>
        <v>0</v>
      </c>
    </row>
    <row r="3069" spans="1:226" x14ac:dyDescent="0.25">
      <c r="A3069" s="127">
        <v>45097</v>
      </c>
      <c r="B3069" s="24" t="s">
        <v>174</v>
      </c>
      <c r="C3069" s="21">
        <f t="shared" si="48"/>
        <v>-17.23</v>
      </c>
      <c r="CA3069" s="74">
        <v>-8.34</v>
      </c>
      <c r="CG3069" s="74">
        <v>-8.89</v>
      </c>
    </row>
    <row r="3070" spans="1:226" x14ac:dyDescent="0.25">
      <c r="A3070" s="127">
        <v>45097</v>
      </c>
      <c r="B3070" s="24" t="s">
        <v>27</v>
      </c>
      <c r="C3070" s="21">
        <f t="shared" si="48"/>
        <v>-46.64</v>
      </c>
      <c r="BU3070" s="74">
        <v>-21.92</v>
      </c>
      <c r="CM3070" s="74">
        <v>-24.72</v>
      </c>
    </row>
    <row r="3071" spans="1:226" x14ac:dyDescent="0.25">
      <c r="A3071" s="127">
        <v>45097</v>
      </c>
      <c r="B3071" s="24" t="s">
        <v>25</v>
      </c>
      <c r="C3071" s="21">
        <f t="shared" si="48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48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48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48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48"/>
        <v>-8.23</v>
      </c>
      <c r="BO3075" s="74">
        <v>-8.23</v>
      </c>
    </row>
    <row r="3076" spans="1:199" x14ac:dyDescent="0.25">
      <c r="A3076" s="127">
        <v>45097</v>
      </c>
      <c r="B3076" s="24" t="s">
        <v>111</v>
      </c>
      <c r="C3076" s="21">
        <f t="shared" si="48"/>
        <v>-29.1</v>
      </c>
      <c r="BU3076" s="74">
        <v>-29.1</v>
      </c>
    </row>
    <row r="3077" spans="1:199" x14ac:dyDescent="0.25">
      <c r="A3077" s="127">
        <v>45097</v>
      </c>
      <c r="B3077" s="24" t="s">
        <v>44</v>
      </c>
      <c r="C3077" s="21">
        <f t="shared" si="48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48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48"/>
        <v>-8.4700000000000006</v>
      </c>
      <c r="BO3079" s="74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48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48"/>
        <v>-8.4</v>
      </c>
      <c r="BO3081" s="74">
        <v>-8.4</v>
      </c>
    </row>
    <row r="3082" spans="1:199" x14ac:dyDescent="0.25">
      <c r="A3082" s="127">
        <v>45100</v>
      </c>
      <c r="B3082" s="24" t="s">
        <v>17</v>
      </c>
      <c r="C3082" s="21">
        <f t="shared" si="48"/>
        <v>-17.510000000000002</v>
      </c>
      <c r="BC3082" s="74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48"/>
        <v>-36.07</v>
      </c>
      <c r="BI3083" s="74">
        <v>-36.07</v>
      </c>
    </row>
    <row r="3084" spans="1:199" x14ac:dyDescent="0.25">
      <c r="A3084" s="127">
        <v>45100</v>
      </c>
      <c r="B3084" s="24" t="s">
        <v>32</v>
      </c>
      <c r="C3084" s="21">
        <f t="shared" si="48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48"/>
        <v>-33.659999999999997</v>
      </c>
      <c r="CA3085" s="74">
        <v>-8.2899999999999991</v>
      </c>
      <c r="CG3085" s="74">
        <v>-8.02</v>
      </c>
      <c r="CM3085" s="74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48"/>
        <v>0</v>
      </c>
    </row>
    <row r="3087" spans="1:199" x14ac:dyDescent="0.25">
      <c r="A3087" s="127">
        <v>45110</v>
      </c>
      <c r="B3087" s="24" t="s">
        <v>152</v>
      </c>
      <c r="C3087" s="21">
        <f t="shared" si="48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74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48"/>
        <v>-23.47</v>
      </c>
      <c r="BM3088" s="88">
        <v>-16.13</v>
      </c>
      <c r="CA3088" s="74">
        <v>-7.34</v>
      </c>
    </row>
    <row r="3089" spans="1:211" x14ac:dyDescent="0.25">
      <c r="A3089" s="127">
        <v>45111</v>
      </c>
      <c r="B3089" s="24" t="s">
        <v>20</v>
      </c>
      <c r="C3089" s="21">
        <f t="shared" si="48"/>
        <v>-40.96</v>
      </c>
      <c r="BG3089" s="42">
        <v>-7.06</v>
      </c>
      <c r="BU3089" s="74">
        <v>-7.75</v>
      </c>
      <c r="CG3089" s="74">
        <v>-8.15</v>
      </c>
      <c r="CM3089" s="74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48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48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74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27">
        <v>45111</v>
      </c>
      <c r="B3092" s="24" t="s">
        <v>32</v>
      </c>
      <c r="C3092" s="21">
        <f t="shared" si="48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48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48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48"/>
        <v>0</v>
      </c>
    </row>
    <row r="3096" spans="1:211" x14ac:dyDescent="0.25">
      <c r="A3096" s="127">
        <v>45112</v>
      </c>
      <c r="B3096" s="24" t="s">
        <v>37</v>
      </c>
      <c r="C3096" s="21">
        <f t="shared" si="48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48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48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48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48"/>
        <v>-41.67</v>
      </c>
      <c r="BM3100" s="88">
        <v>-8.07</v>
      </c>
      <c r="BS3100" s="42">
        <v>-8.59</v>
      </c>
      <c r="CG3100" s="74">
        <v>-8</v>
      </c>
      <c r="CM3100" s="74">
        <v>-8.3000000000000007</v>
      </c>
      <c r="CY3100" s="74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48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48"/>
        <v>0</v>
      </c>
    </row>
    <row r="3103" spans="1:211" x14ac:dyDescent="0.25">
      <c r="A3103" s="127">
        <v>45112</v>
      </c>
      <c r="B3103" s="24" t="s">
        <v>111</v>
      </c>
      <c r="C3103" s="21">
        <f t="shared" si="48"/>
        <v>-16.07</v>
      </c>
      <c r="AP3103" s="42">
        <v>-8.31</v>
      </c>
      <c r="AR3103" s="74">
        <v>-7.76</v>
      </c>
    </row>
    <row r="3104" spans="1:211" x14ac:dyDescent="0.25">
      <c r="A3104" s="127">
        <v>45113</v>
      </c>
      <c r="B3104" s="24" t="s">
        <v>178</v>
      </c>
      <c r="C3104" s="21">
        <f t="shared" si="48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48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48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48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48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48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48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48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27">
        <v>45114</v>
      </c>
      <c r="B3112" s="24" t="s">
        <v>151</v>
      </c>
      <c r="C3112" s="21">
        <f t="shared" si="48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48"/>
        <v>-24.85</v>
      </c>
      <c r="BC3113" s="74">
        <v>-24.85</v>
      </c>
    </row>
    <row r="3114" spans="1:237" x14ac:dyDescent="0.25">
      <c r="A3114" s="127">
        <v>45114</v>
      </c>
      <c r="B3114" s="24" t="s">
        <v>65</v>
      </c>
      <c r="C3114" s="21">
        <f t="shared" si="48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48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48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48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48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48"/>
        <v>-22.86</v>
      </c>
      <c r="AP3119" s="42">
        <v>-5.81</v>
      </c>
      <c r="BE3119" s="126">
        <v>-7.97</v>
      </c>
      <c r="BI3119" s="74">
        <v>-9.08</v>
      </c>
    </row>
    <row r="3120" spans="1:237" x14ac:dyDescent="0.25">
      <c r="A3120" s="127">
        <v>45117</v>
      </c>
      <c r="B3120" s="24" t="s">
        <v>152</v>
      </c>
      <c r="C3120" s="21">
        <f t="shared" si="48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49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49"/>
        <v>-16.5</v>
      </c>
      <c r="BC3122" s="74">
        <v>-16.5</v>
      </c>
    </row>
    <row r="3123" spans="1:224" x14ac:dyDescent="0.25">
      <c r="A3123" s="127">
        <v>45117</v>
      </c>
      <c r="B3123" s="24" t="s">
        <v>161</v>
      </c>
      <c r="C3123" s="21">
        <f t="shared" si="49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49"/>
        <v>-41.52</v>
      </c>
      <c r="BE3124" s="126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49"/>
        <v>-34.380000000000003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49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49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74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49"/>
        <v>-109.63500000000001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74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49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49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49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49"/>
        <v>0</v>
      </c>
    </row>
    <row r="3133" spans="1:224" x14ac:dyDescent="0.25">
      <c r="A3133" s="127">
        <v>45120</v>
      </c>
      <c r="B3133" s="24" t="s">
        <v>48</v>
      </c>
      <c r="C3133" s="21">
        <f t="shared" si="49"/>
        <v>-170.13</v>
      </c>
      <c r="BI3133" s="74">
        <v>-33.79</v>
      </c>
      <c r="BO3133" s="74">
        <v>-33.07</v>
      </c>
      <c r="BU3133" s="74">
        <v>-31.95</v>
      </c>
      <c r="CG3133" s="74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49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49"/>
        <v>-17.285</v>
      </c>
      <c r="BC3135" s="74">
        <v>-8.1999999999999993</v>
      </c>
      <c r="BO3135" s="74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49"/>
        <v>-8</v>
      </c>
      <c r="BU3136" s="74">
        <v>-8</v>
      </c>
    </row>
    <row r="3137" spans="1:226" x14ac:dyDescent="0.25">
      <c r="A3137" s="127">
        <v>45121</v>
      </c>
      <c r="B3137" s="24" t="s">
        <v>84</v>
      </c>
      <c r="C3137" s="21">
        <f t="shared" si="49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27">
        <v>45121</v>
      </c>
      <c r="B3138" s="24" t="s">
        <v>68</v>
      </c>
      <c r="C3138" s="21">
        <f t="shared" si="49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49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49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49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49"/>
        <v>-33.14</v>
      </c>
      <c r="CG3142" s="74">
        <v>-17.670000000000002</v>
      </c>
      <c r="CM3142" s="74">
        <v>-15.47</v>
      </c>
    </row>
    <row r="3143" spans="1:226" x14ac:dyDescent="0.25">
      <c r="A3143" s="127">
        <v>45122</v>
      </c>
      <c r="B3143" s="24" t="s">
        <v>32</v>
      </c>
      <c r="C3143" s="21">
        <f t="shared" si="49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27">
        <v>45122</v>
      </c>
      <c r="B3144" s="24" t="s">
        <v>32</v>
      </c>
      <c r="C3144" s="21">
        <f t="shared" si="49"/>
        <v>-42.09</v>
      </c>
      <c r="BU3144" s="74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49"/>
        <v>-54.09</v>
      </c>
      <c r="BU3145" s="74">
        <v>-8.9499999999999993</v>
      </c>
      <c r="CG3145" s="74">
        <f>-9.39-9.62</f>
        <v>-19.010000000000002</v>
      </c>
      <c r="CM3145" s="74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49"/>
        <v>-62.38</v>
      </c>
      <c r="BC3146" s="74">
        <v>-30.59</v>
      </c>
      <c r="BU3146" s="74">
        <v>-31.79</v>
      </c>
    </row>
    <row r="3147" spans="1:226" x14ac:dyDescent="0.25">
      <c r="A3147" s="127">
        <v>45123</v>
      </c>
      <c r="B3147" s="24" t="s">
        <v>65</v>
      </c>
      <c r="C3147" s="21">
        <f t="shared" si="49"/>
        <v>0</v>
      </c>
    </row>
    <row r="3148" spans="1:226" x14ac:dyDescent="0.25">
      <c r="A3148" s="127">
        <v>45124</v>
      </c>
      <c r="B3148" s="24" t="s">
        <v>59</v>
      </c>
      <c r="C3148" s="21">
        <f t="shared" si="49"/>
        <v>-3.27</v>
      </c>
      <c r="CG3148" s="74">
        <v>-3.27</v>
      </c>
    </row>
    <row r="3149" spans="1:226" x14ac:dyDescent="0.25">
      <c r="A3149" s="127">
        <v>45124</v>
      </c>
      <c r="B3149" s="24" t="s">
        <v>113</v>
      </c>
      <c r="C3149" s="21">
        <f t="shared" si="49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49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49"/>
        <v>-96.24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49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27">
        <v>45124</v>
      </c>
      <c r="B3153" s="24" t="s">
        <v>139</v>
      </c>
      <c r="C3153" s="21">
        <f t="shared" si="49"/>
        <v>-16.989999999999998</v>
      </c>
      <c r="CA3153" s="74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49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49"/>
        <v>-8.4499999999999993</v>
      </c>
      <c r="BO3155" s="74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49"/>
        <v>-142.83000000000001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27">
        <v>45124</v>
      </c>
      <c r="B3157" s="24" t="s">
        <v>25</v>
      </c>
      <c r="C3157" s="21">
        <f t="shared" si="49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74">
        <v>-9.39</v>
      </c>
      <c r="CM3157" s="74">
        <v>-8.41</v>
      </c>
    </row>
    <row r="3158" spans="1:131" x14ac:dyDescent="0.25">
      <c r="A3158" s="127">
        <v>45124</v>
      </c>
      <c r="B3158" s="24" t="s">
        <v>17</v>
      </c>
      <c r="C3158" s="21">
        <f t="shared" si="49"/>
        <v>-24.98</v>
      </c>
      <c r="AR3158" s="74">
        <v>-24.98</v>
      </c>
    </row>
    <row r="3159" spans="1:131" x14ac:dyDescent="0.25">
      <c r="A3159" s="127">
        <v>45124</v>
      </c>
      <c r="B3159" s="24" t="s">
        <v>133</v>
      </c>
      <c r="C3159" s="21">
        <f t="shared" si="49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49"/>
        <v>-16.149999999999999</v>
      </c>
      <c r="BI3160" s="74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49"/>
        <v>0</v>
      </c>
    </row>
    <row r="3162" spans="1:131" x14ac:dyDescent="0.25">
      <c r="A3162" s="127">
        <v>45127</v>
      </c>
      <c r="B3162" s="24" t="s">
        <v>48</v>
      </c>
      <c r="C3162" s="21">
        <f t="shared" si="49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27">
        <v>45127</v>
      </c>
      <c r="B3163" s="24" t="s">
        <v>113</v>
      </c>
      <c r="C3163" s="21">
        <f t="shared" si="49"/>
        <v>1215.67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74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49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49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27">
        <v>45127</v>
      </c>
      <c r="B3166" s="24" t="s">
        <v>48</v>
      </c>
      <c r="C3166" s="21">
        <f t="shared" si="49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49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49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49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27">
        <v>45128</v>
      </c>
      <c r="B3170" s="24" t="s">
        <v>68</v>
      </c>
      <c r="C3170" s="21">
        <f t="shared" si="49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49"/>
        <v>-58.27</v>
      </c>
      <c r="BO3171" s="74">
        <v>-8.48</v>
      </c>
      <c r="BU3171" s="74">
        <v>-7.39</v>
      </c>
      <c r="CA3171" s="74">
        <v>-8.4600000000000009</v>
      </c>
      <c r="CG3171" s="74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49"/>
        <v>-43.09</v>
      </c>
      <c r="BU3172" s="74">
        <v>-7.52</v>
      </c>
      <c r="CG3172" s="74">
        <v>-9.86</v>
      </c>
      <c r="CM3172" s="74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49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49"/>
        <v>0</v>
      </c>
    </row>
    <row r="3175" spans="1:228" x14ac:dyDescent="0.25">
      <c r="A3175" s="127">
        <v>45129</v>
      </c>
      <c r="B3175" s="24" t="s">
        <v>113</v>
      </c>
      <c r="C3175" s="21">
        <f t="shared" si="49"/>
        <v>972.68499999999995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74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49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49"/>
        <v>-80.23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27">
        <v>45131</v>
      </c>
      <c r="B3178" s="24" t="s">
        <v>29</v>
      </c>
      <c r="C3178" s="21">
        <f t="shared" si="49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27">
        <v>45131</v>
      </c>
      <c r="B3179" s="24" t="s">
        <v>178</v>
      </c>
      <c r="C3179" s="21">
        <f t="shared" si="49"/>
        <v>-61.3</v>
      </c>
      <c r="BC3179" s="74">
        <v>-32</v>
      </c>
      <c r="BU3179" s="74">
        <v>-29.3</v>
      </c>
    </row>
    <row r="3180" spans="1:228" x14ac:dyDescent="0.25">
      <c r="A3180" s="127">
        <v>45132</v>
      </c>
      <c r="B3180" s="24" t="s">
        <v>127</v>
      </c>
      <c r="C3180" s="21">
        <f t="shared" si="49"/>
        <v>-8</v>
      </c>
      <c r="BC3180" s="74">
        <v>-8</v>
      </c>
    </row>
    <row r="3181" spans="1:228" x14ac:dyDescent="0.25">
      <c r="A3181" s="127">
        <v>45132</v>
      </c>
      <c r="B3181" s="24" t="s">
        <v>20</v>
      </c>
      <c r="C3181" s="21">
        <f t="shared" si="49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49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49"/>
        <v>-49.48</v>
      </c>
      <c r="BU3183" s="74">
        <v>-6.66</v>
      </c>
      <c r="CG3183" s="74">
        <v>-9.61</v>
      </c>
      <c r="CM3183" s="74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49"/>
        <v>-48.95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0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0"/>
        <v>-23.49</v>
      </c>
      <c r="BU3186" s="74">
        <v>-23.49</v>
      </c>
    </row>
    <row r="3187" spans="1:186" x14ac:dyDescent="0.25">
      <c r="A3187" s="127">
        <v>45132</v>
      </c>
      <c r="B3187" s="24" t="s">
        <v>25</v>
      </c>
      <c r="C3187" s="21">
        <f t="shared" si="50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74">
        <v>-8.11</v>
      </c>
    </row>
    <row r="3188" spans="1:186" x14ac:dyDescent="0.25">
      <c r="A3188" s="127">
        <v>45132</v>
      </c>
      <c r="B3188" s="24" t="s">
        <v>147</v>
      </c>
      <c r="C3188" s="21">
        <f t="shared" si="50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27">
        <v>45132</v>
      </c>
      <c r="B3189" s="24" t="s">
        <v>147</v>
      </c>
      <c r="C3189" s="21">
        <f t="shared" si="50"/>
        <v>-22.88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27">
        <v>45132</v>
      </c>
      <c r="B3190" s="24" t="s">
        <v>84</v>
      </c>
      <c r="C3190" s="21">
        <f t="shared" si="50"/>
        <v>-16.68</v>
      </c>
      <c r="BI3190" s="74">
        <v>-7.86</v>
      </c>
      <c r="BO3190" s="74">
        <v>-8.82</v>
      </c>
    </row>
    <row r="3191" spans="1:186" x14ac:dyDescent="0.25">
      <c r="A3191" s="127">
        <v>45132</v>
      </c>
      <c r="B3191" s="24" t="s">
        <v>59</v>
      </c>
      <c r="C3191" s="21">
        <f t="shared" si="50"/>
        <v>-11.87</v>
      </c>
      <c r="CA3191" s="74">
        <v>-2.35</v>
      </c>
      <c r="CG3191" s="74">
        <v>-2.68</v>
      </c>
      <c r="DK3191" s="74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0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0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74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0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0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0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0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74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27">
        <v>45134</v>
      </c>
      <c r="B3198" s="24" t="s">
        <v>17</v>
      </c>
      <c r="C3198" s="21">
        <f t="shared" si="50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74">
        <v>-29.95</v>
      </c>
      <c r="DE3198" s="74">
        <v>-18.32</v>
      </c>
      <c r="DK3198" s="74">
        <v>-15.3</v>
      </c>
    </row>
    <row r="3199" spans="1:186" x14ac:dyDescent="0.25">
      <c r="A3199" s="127">
        <v>45134</v>
      </c>
      <c r="B3199" s="24" t="s">
        <v>133</v>
      </c>
      <c r="C3199" s="21">
        <f t="shared" si="50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27">
        <v>45135</v>
      </c>
      <c r="B3200" s="24" t="s">
        <v>17</v>
      </c>
      <c r="C3200" s="21">
        <f t="shared" si="50"/>
        <v>-50.76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0"/>
        <v>-50.77</v>
      </c>
      <c r="BC3201" s="74">
        <v>-6.3</v>
      </c>
      <c r="BI3201" s="74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0"/>
        <v>1528.47</v>
      </c>
      <c r="AC3202" s="74">
        <v>31.84</v>
      </c>
      <c r="AW3202" s="74">
        <v>176.16499999999999</v>
      </c>
      <c r="BI3202" s="74">
        <v>71.09</v>
      </c>
      <c r="CG3202" s="74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0"/>
        <v>-58.23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0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0"/>
        <v>-602.27499999999998</v>
      </c>
      <c r="AW3205" s="74">
        <v>-33.664999999999999</v>
      </c>
      <c r="BI3205" s="74">
        <v>-67.92</v>
      </c>
      <c r="CA3205" s="74">
        <v>-67.89</v>
      </c>
      <c r="CG3205" s="74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0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0"/>
        <v>-52.02</v>
      </c>
      <c r="CG3207" s="74">
        <v>-25.8</v>
      </c>
      <c r="CM3207" s="74">
        <v>-26.22</v>
      </c>
    </row>
    <row r="3208" spans="1:231" x14ac:dyDescent="0.25">
      <c r="A3208" s="127">
        <v>45136</v>
      </c>
      <c r="B3208" s="24" t="s">
        <v>59</v>
      </c>
      <c r="C3208" s="21">
        <f t="shared" si="50"/>
        <v>0</v>
      </c>
      <c r="CA3208" s="74">
        <v>-8.44</v>
      </c>
      <c r="CG3208" s="74">
        <v>8.44</v>
      </c>
    </row>
    <row r="3209" spans="1:231" x14ac:dyDescent="0.25">
      <c r="A3209" s="127">
        <v>45138</v>
      </c>
      <c r="B3209" s="24" t="s">
        <v>37</v>
      </c>
      <c r="C3209" s="21">
        <f t="shared" si="50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0"/>
        <v>0</v>
      </c>
    </row>
    <row r="3211" spans="1:231" x14ac:dyDescent="0.25">
      <c r="A3211" s="127">
        <v>45138</v>
      </c>
      <c r="B3211" s="24" t="s">
        <v>222</v>
      </c>
      <c r="C3211" s="21">
        <f t="shared" si="50"/>
        <v>-17.309999999999999</v>
      </c>
      <c r="BC3211" s="74">
        <v>-8.26</v>
      </c>
      <c r="BI3211" s="74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0"/>
        <v>-16.66</v>
      </c>
      <c r="AW3212" s="74">
        <v>-8.44</v>
      </c>
      <c r="BU3212" s="74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0"/>
        <v>-16.05</v>
      </c>
      <c r="AR3213" s="74">
        <v>-7.01</v>
      </c>
      <c r="BI3213" s="74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0"/>
        <v>-15.88</v>
      </c>
      <c r="CM3214" s="74">
        <v>-15.88</v>
      </c>
    </row>
    <row r="3215" spans="1:231" x14ac:dyDescent="0.25">
      <c r="A3215" s="127">
        <v>45139</v>
      </c>
      <c r="B3215" s="24" t="s">
        <v>75</v>
      </c>
      <c r="C3215" s="21">
        <f t="shared" si="50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27">
        <v>45139</v>
      </c>
      <c r="B3216" s="24" t="s">
        <v>20</v>
      </c>
      <c r="C3216" s="21">
        <f t="shared" si="50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27">
        <v>45139</v>
      </c>
      <c r="B3217" s="24" t="s">
        <v>79</v>
      </c>
      <c r="C3217" s="21">
        <f t="shared" si="50"/>
        <v>-42.73</v>
      </c>
      <c r="BS3217" s="42">
        <v>-8.5299999999999994</v>
      </c>
      <c r="BU3217" s="74">
        <v>-8.2100000000000009</v>
      </c>
      <c r="CA3217" s="74">
        <v>-8.49</v>
      </c>
      <c r="CG3217" s="74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0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0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0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0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0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0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0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0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0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0"/>
        <v>-41.21</v>
      </c>
      <c r="BK3227" s="126">
        <v>-16.809999999999999</v>
      </c>
      <c r="CA3227" s="74">
        <v>-16.98</v>
      </c>
      <c r="CG3227" s="74">
        <v>-7.42</v>
      </c>
    </row>
    <row r="3228" spans="1:212" x14ac:dyDescent="0.25">
      <c r="A3228" s="127">
        <v>45141</v>
      </c>
      <c r="B3228" s="24" t="s">
        <v>32</v>
      </c>
      <c r="C3228" s="21">
        <f t="shared" si="50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0"/>
        <v>-132.97</v>
      </c>
      <c r="AW3229" s="74">
        <v>-65.099999999999994</v>
      </c>
      <c r="CA3229" s="74">
        <v>-67.87</v>
      </c>
    </row>
    <row r="3230" spans="1:212" x14ac:dyDescent="0.25">
      <c r="A3230" s="127">
        <v>45141</v>
      </c>
      <c r="B3230" s="24" t="s">
        <v>20</v>
      </c>
      <c r="C3230" s="21">
        <f t="shared" si="50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0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0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0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0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0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0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0"/>
        <v>0</v>
      </c>
    </row>
    <row r="3238" spans="1:230" x14ac:dyDescent="0.25">
      <c r="A3238" s="127">
        <v>45142</v>
      </c>
      <c r="B3238" s="24" t="s">
        <v>179</v>
      </c>
      <c r="C3238" s="21">
        <f t="shared" si="50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0"/>
        <v>-65.3</v>
      </c>
      <c r="CA3239" s="74">
        <v>-34.01</v>
      </c>
      <c r="CG3239" s="74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0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0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0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0"/>
        <v>956.02499999999998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0"/>
        <v>-33.49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27">
        <v>45146</v>
      </c>
      <c r="B3245" s="24" t="s">
        <v>44</v>
      </c>
      <c r="C3245" s="21">
        <f t="shared" si="50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0"/>
        <v>-7.55</v>
      </c>
      <c r="AR3246" s="74">
        <v>-7.55</v>
      </c>
    </row>
    <row r="3247" spans="1:230" x14ac:dyDescent="0.25">
      <c r="A3247" s="127">
        <v>45146</v>
      </c>
      <c r="B3247" s="24" t="s">
        <v>174</v>
      </c>
      <c r="C3247" s="21">
        <f t="shared" si="50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0"/>
        <v>-267.10500000000002</v>
      </c>
      <c r="AR3248" s="74">
        <v>-32.5</v>
      </c>
      <c r="CG3248" s="74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1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1"/>
        <v>-17.329999999999998</v>
      </c>
      <c r="BI3250" s="74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1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1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1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1"/>
        <v>-32.81</v>
      </c>
      <c r="AL3254" s="42">
        <v>33.409999999999997</v>
      </c>
      <c r="CA3254" s="74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1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1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27">
        <v>45147</v>
      </c>
      <c r="B3257" s="24" t="s">
        <v>167</v>
      </c>
      <c r="C3257" s="21">
        <f t="shared" si="51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1"/>
        <v>-589.37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74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1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1"/>
        <v>-42.49</v>
      </c>
      <c r="BO3260" s="74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1"/>
        <v>0</v>
      </c>
    </row>
    <row r="3262" spans="1:227" x14ac:dyDescent="0.25">
      <c r="A3262" s="127">
        <v>45149</v>
      </c>
      <c r="B3262" s="24" t="s">
        <v>181</v>
      </c>
      <c r="C3262" s="21">
        <f t="shared" si="51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1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1"/>
        <v>-7.3</v>
      </c>
      <c r="CG3264" s="74">
        <v>-3.24</v>
      </c>
      <c r="CS3264" s="74">
        <v>-1.92</v>
      </c>
      <c r="CY3264" s="74">
        <v>-2.14</v>
      </c>
    </row>
    <row r="3265" spans="1:226" x14ac:dyDescent="0.25">
      <c r="A3265" s="127">
        <v>45149</v>
      </c>
      <c r="B3265" s="24" t="s">
        <v>37</v>
      </c>
      <c r="C3265" s="21">
        <f t="shared" si="51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1"/>
        <v>886.97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1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1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1"/>
        <v>0</v>
      </c>
    </row>
    <row r="3270" spans="1:226" x14ac:dyDescent="0.25">
      <c r="A3270" s="127">
        <v>45149</v>
      </c>
      <c r="B3270" s="24" t="s">
        <v>127</v>
      </c>
      <c r="C3270" s="21">
        <f t="shared" si="51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1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1"/>
        <v>-16.440000000000001</v>
      </c>
      <c r="BO3272" s="74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1"/>
        <v>-39.99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27">
        <v>45153</v>
      </c>
      <c r="B3274" s="24" t="s">
        <v>59</v>
      </c>
      <c r="C3274" s="21">
        <f t="shared" si="51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1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1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1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1"/>
        <v>-46.46</v>
      </c>
      <c r="AG3278" s="106">
        <v>-8.81</v>
      </c>
      <c r="BO3278" s="74">
        <v>-8.26</v>
      </c>
      <c r="CA3278" s="74">
        <v>-8.27</v>
      </c>
      <c r="CG3278" s="74">
        <v>-4</v>
      </c>
      <c r="CY3278" s="74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1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1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1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74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1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1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1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1"/>
        <v>-24.605</v>
      </c>
      <c r="DE3285" s="74">
        <v>-9.1549999999999994</v>
      </c>
      <c r="DK3285" s="74">
        <v>-15.45</v>
      </c>
    </row>
    <row r="3286" spans="1:237" x14ac:dyDescent="0.25">
      <c r="A3286" s="127">
        <v>45154</v>
      </c>
      <c r="B3286" s="24" t="s">
        <v>20</v>
      </c>
      <c r="C3286" s="21">
        <f t="shared" si="51"/>
        <v>-15.59</v>
      </c>
      <c r="AW3286" s="74">
        <v>-8.42</v>
      </c>
      <c r="BU3286" s="74">
        <v>-7.17</v>
      </c>
    </row>
    <row r="3287" spans="1:237" x14ac:dyDescent="0.25">
      <c r="A3287" s="127">
        <v>45154</v>
      </c>
      <c r="B3287" s="24" t="s">
        <v>152</v>
      </c>
      <c r="C3287" s="21">
        <f t="shared" si="51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74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1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1"/>
        <v>0</v>
      </c>
    </row>
    <row r="3290" spans="1:237" x14ac:dyDescent="0.25">
      <c r="A3290" s="127">
        <v>45155</v>
      </c>
      <c r="B3290" s="24" t="s">
        <v>48</v>
      </c>
      <c r="C3290" s="21">
        <f t="shared" si="51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27">
        <v>45155</v>
      </c>
      <c r="B3291" s="24" t="s">
        <v>78</v>
      </c>
      <c r="C3291" s="21">
        <f t="shared" si="51"/>
        <v>-32.1</v>
      </c>
      <c r="BO3291" s="74">
        <v>-8.2799999999999994</v>
      </c>
      <c r="BU3291" s="74">
        <v>-8.06</v>
      </c>
      <c r="CA3291" s="74">
        <v>-8.32</v>
      </c>
      <c r="CG3291" s="74">
        <v>-7.44</v>
      </c>
    </row>
    <row r="3292" spans="1:237" x14ac:dyDescent="0.25">
      <c r="A3292" s="127">
        <v>45155</v>
      </c>
      <c r="B3292" s="24" t="s">
        <v>17</v>
      </c>
      <c r="C3292" s="21">
        <f t="shared" si="51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74">
        <v>-15.16</v>
      </c>
      <c r="CM3292" s="74">
        <v>-9.14</v>
      </c>
    </row>
    <row r="3293" spans="1:237" x14ac:dyDescent="0.25">
      <c r="A3293" s="127">
        <v>45155</v>
      </c>
      <c r="B3293" s="24" t="s">
        <v>68</v>
      </c>
      <c r="C3293" s="21">
        <f t="shared" si="51"/>
        <v>-63.67</v>
      </c>
      <c r="AR3293" s="74">
        <v>-31.51</v>
      </c>
      <c r="BU3293" s="74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1"/>
        <v>0</v>
      </c>
    </row>
    <row r="3295" spans="1:237" x14ac:dyDescent="0.25">
      <c r="A3295" s="127">
        <v>45156</v>
      </c>
      <c r="B3295" s="24" t="s">
        <v>39</v>
      </c>
      <c r="C3295" s="21">
        <f t="shared" si="51"/>
        <v>-33.01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27">
        <v>45156</v>
      </c>
      <c r="B3296" s="24" t="s">
        <v>149</v>
      </c>
      <c r="C3296" s="21">
        <f t="shared" si="51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1"/>
        <v>-33.299999999999997</v>
      </c>
      <c r="BO3297" s="74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1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1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1"/>
        <v>-17.07</v>
      </c>
      <c r="AG3300" s="106">
        <v>-8.77</v>
      </c>
      <c r="AR3300" s="74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1"/>
        <v>-95.47</v>
      </c>
      <c r="BC3301" s="74">
        <v>-31.17</v>
      </c>
      <c r="BU3301" s="74">
        <v>-31.97</v>
      </c>
      <c r="CG3301" s="74">
        <v>-32.33</v>
      </c>
    </row>
    <row r="3302" spans="1:224" x14ac:dyDescent="0.25">
      <c r="A3302" s="127">
        <v>45157</v>
      </c>
      <c r="B3302" s="24" t="s">
        <v>17</v>
      </c>
      <c r="C3302" s="21">
        <f t="shared" si="51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27">
        <v>45159</v>
      </c>
      <c r="B3303" s="24" t="s">
        <v>57</v>
      </c>
      <c r="C3303" s="21">
        <f t="shared" si="51"/>
        <v>-24.73</v>
      </c>
      <c r="CA3303" s="74">
        <v>-8.31</v>
      </c>
      <c r="CG3303" s="74">
        <v>-8.34</v>
      </c>
      <c r="CM3303" s="74">
        <v>-8.08</v>
      </c>
    </row>
    <row r="3304" spans="1:224" x14ac:dyDescent="0.25">
      <c r="A3304" s="127">
        <v>45159</v>
      </c>
      <c r="B3304" s="24" t="s">
        <v>149</v>
      </c>
      <c r="C3304" s="21">
        <f t="shared" si="51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1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74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1"/>
        <v>-26.07</v>
      </c>
      <c r="BM3306" s="88">
        <v>-17.25</v>
      </c>
      <c r="CM3306" s="74">
        <v>-8.82</v>
      </c>
    </row>
    <row r="3307" spans="1:224" x14ac:dyDescent="0.25">
      <c r="A3307" s="127">
        <v>45160</v>
      </c>
      <c r="B3307" s="24" t="s">
        <v>139</v>
      </c>
      <c r="C3307" s="21">
        <f t="shared" si="51"/>
        <v>-25.45</v>
      </c>
      <c r="BU3307" s="74">
        <v>-8.0299999999999994</v>
      </c>
      <c r="CG3307" s="74">
        <v>-8.43</v>
      </c>
      <c r="CM3307" s="74">
        <v>-8.99</v>
      </c>
    </row>
    <row r="3308" spans="1:224" x14ac:dyDescent="0.25">
      <c r="A3308" s="127">
        <v>45160</v>
      </c>
      <c r="B3308" s="24" t="s">
        <v>20</v>
      </c>
      <c r="C3308" s="21">
        <f t="shared" si="51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1"/>
        <v>-25.11</v>
      </c>
      <c r="CG3309" s="74">
        <v>-25.11</v>
      </c>
    </row>
    <row r="3310" spans="1:224" x14ac:dyDescent="0.25">
      <c r="A3310" s="127">
        <v>45160</v>
      </c>
      <c r="B3310" s="24" t="s">
        <v>50</v>
      </c>
      <c r="C3310" s="21">
        <f t="shared" si="51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1"/>
        <v>-105.55</v>
      </c>
      <c r="BI3311" s="74">
        <v>-8.4</v>
      </c>
      <c r="BU3311" s="74">
        <v>-32.200000000000003</v>
      </c>
      <c r="CA3311" s="74">
        <v>-16.61</v>
      </c>
      <c r="CG3311" s="74">
        <v>-16.16</v>
      </c>
      <c r="CM3311" s="74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1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2">SUM(D3313:JT3313)</f>
        <v>-581.33500000000004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74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2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2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2"/>
        <v>-47.78</v>
      </c>
      <c r="BU3316" s="74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2"/>
        <v>-25.34</v>
      </c>
      <c r="CY3317" s="74">
        <v>-25.34</v>
      </c>
    </row>
    <row r="3318" spans="1:224" x14ac:dyDescent="0.25">
      <c r="A3318" s="127">
        <v>45161</v>
      </c>
      <c r="B3318" s="24" t="s">
        <v>17</v>
      </c>
      <c r="C3318" s="21">
        <f t="shared" si="52"/>
        <v>-8.15</v>
      </c>
      <c r="AR3318" s="74">
        <v>-8.15</v>
      </c>
    </row>
    <row r="3319" spans="1:224" x14ac:dyDescent="0.25">
      <c r="A3319" s="127">
        <v>45161</v>
      </c>
      <c r="B3319" s="24" t="s">
        <v>32</v>
      </c>
      <c r="C3319" s="21">
        <f t="shared" si="52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2"/>
        <v>-24.61</v>
      </c>
      <c r="CG3320" s="74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2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2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2"/>
        <v>-8.59</v>
      </c>
      <c r="CY3323" s="74">
        <v>-8.59</v>
      </c>
    </row>
    <row r="3324" spans="1:224" x14ac:dyDescent="0.25">
      <c r="A3324" s="127">
        <v>45162</v>
      </c>
      <c r="B3324" s="24" t="s">
        <v>115</v>
      </c>
      <c r="C3324" s="21">
        <f t="shared" si="52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2"/>
        <v>-132.88999999999999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2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2"/>
        <v>-33.69</v>
      </c>
      <c r="BO3327" s="74">
        <v>-33.69</v>
      </c>
    </row>
    <row r="3328" spans="1:224" x14ac:dyDescent="0.25">
      <c r="A3328" s="127">
        <v>45164</v>
      </c>
      <c r="B3328" s="24" t="s">
        <v>48</v>
      </c>
      <c r="C3328" s="21">
        <f t="shared" si="52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2"/>
        <v>-47.85</v>
      </c>
      <c r="BC3329" s="74">
        <v>-47.85</v>
      </c>
    </row>
    <row r="3330" spans="1:221" x14ac:dyDescent="0.25">
      <c r="A3330" s="127">
        <v>45166</v>
      </c>
      <c r="B3330" s="24" t="s">
        <v>29</v>
      </c>
      <c r="C3330" s="21">
        <f t="shared" si="52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2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2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27">
        <v>45167</v>
      </c>
      <c r="B3333" s="24" t="s">
        <v>50</v>
      </c>
      <c r="C3333" s="21">
        <f t="shared" si="52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2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2"/>
        <v>-16.79</v>
      </c>
      <c r="BO3335" s="74">
        <v>-16.79</v>
      </c>
    </row>
    <row r="3336" spans="1:221" x14ac:dyDescent="0.25">
      <c r="A3336" s="127">
        <v>45167</v>
      </c>
      <c r="B3336" s="24" t="s">
        <v>75</v>
      </c>
      <c r="C3336" s="21">
        <f t="shared" si="52"/>
        <v>-25.26</v>
      </c>
      <c r="BI3336" s="74">
        <v>-16.84</v>
      </c>
      <c r="BO3336" s="74">
        <v>-8.42</v>
      </c>
    </row>
    <row r="3337" spans="1:221" x14ac:dyDescent="0.25">
      <c r="A3337" s="127">
        <v>45167</v>
      </c>
      <c r="B3337" s="24" t="s">
        <v>139</v>
      </c>
      <c r="C3337" s="21">
        <f t="shared" si="52"/>
        <v>-32.82</v>
      </c>
      <c r="BU3337" s="74">
        <v>-8.0500000000000007</v>
      </c>
      <c r="CA3337" s="74">
        <v>-8.3000000000000007</v>
      </c>
      <c r="CG3337" s="74">
        <v>-8.34</v>
      </c>
      <c r="CM3337" s="74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2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2"/>
        <v>-221.74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2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2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74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2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2"/>
        <v>-16.39</v>
      </c>
      <c r="AW3343" s="74">
        <v>-7.96</v>
      </c>
      <c r="BO3343" s="74">
        <v>-8.43</v>
      </c>
    </row>
    <row r="3344" spans="1:221" x14ac:dyDescent="0.25">
      <c r="A3344" s="127">
        <v>45168</v>
      </c>
      <c r="B3344" s="24" t="s">
        <v>151</v>
      </c>
      <c r="C3344" s="21">
        <f t="shared" si="52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2"/>
        <v>-8.42</v>
      </c>
      <c r="BO3345" s="74">
        <v>-8.42</v>
      </c>
    </row>
    <row r="3346" spans="1:224" x14ac:dyDescent="0.25">
      <c r="A3346" s="127">
        <v>45169</v>
      </c>
      <c r="B3346" s="24" t="s">
        <v>183</v>
      </c>
      <c r="C3346" s="21">
        <f t="shared" si="52"/>
        <v>-43.33</v>
      </c>
      <c r="CY3346" s="74">
        <v>-43.33</v>
      </c>
    </row>
    <row r="3347" spans="1:224" x14ac:dyDescent="0.25">
      <c r="A3347" s="127">
        <v>45169</v>
      </c>
      <c r="B3347" s="24" t="s">
        <v>84</v>
      </c>
      <c r="C3347" s="21">
        <f t="shared" si="52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27">
        <v>45169</v>
      </c>
      <c r="B3348" s="24" t="s">
        <v>65</v>
      </c>
      <c r="C3348" s="21">
        <f t="shared" si="52"/>
        <v>0</v>
      </c>
    </row>
    <row r="3349" spans="1:224" x14ac:dyDescent="0.25">
      <c r="A3349" s="127">
        <v>45169</v>
      </c>
      <c r="B3349" s="24" t="s">
        <v>53</v>
      </c>
      <c r="C3349" s="21">
        <f t="shared" si="52"/>
        <v>-81.245000000000005</v>
      </c>
      <c r="AD3349" s="115">
        <v>-28.975000000000001</v>
      </c>
      <c r="AG3349" s="106">
        <v>-17.66</v>
      </c>
      <c r="CY3349" s="74">
        <v>-34.61</v>
      </c>
    </row>
    <row r="3350" spans="1:224" x14ac:dyDescent="0.25">
      <c r="A3350" s="127">
        <v>45169</v>
      </c>
      <c r="B3350" s="24" t="s">
        <v>17</v>
      </c>
      <c r="C3350" s="21">
        <f t="shared" si="52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2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2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2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2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2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2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2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2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2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2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2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2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2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2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2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2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2"/>
        <v>-8.51</v>
      </c>
      <c r="BC3367" s="74">
        <v>-8.51</v>
      </c>
    </row>
    <row r="3368" spans="1:242" x14ac:dyDescent="0.25">
      <c r="A3368" s="127">
        <v>45175</v>
      </c>
      <c r="B3368" s="24" t="s">
        <v>44</v>
      </c>
      <c r="C3368" s="21">
        <f t="shared" si="52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2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2"/>
        <v>-16.149999999999999</v>
      </c>
      <c r="BC3370" s="74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2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2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2"/>
        <v>-15.755000000000001</v>
      </c>
      <c r="BO3373" s="74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2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2"/>
        <v>-10.54</v>
      </c>
      <c r="CA3375" s="74">
        <v>-6.1</v>
      </c>
      <c r="CG3375" s="74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2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3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3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3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27">
        <v>45177</v>
      </c>
      <c r="B3380" s="24" t="s">
        <v>19</v>
      </c>
      <c r="C3380" s="21">
        <f t="shared" si="53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3"/>
        <v>-150.59</v>
      </c>
      <c r="AW3381" s="74">
        <v>-87.04</v>
      </c>
      <c r="BC3381" s="74">
        <v>-63.55</v>
      </c>
    </row>
    <row r="3382" spans="1:224" x14ac:dyDescent="0.25">
      <c r="A3382" s="127">
        <v>45177</v>
      </c>
      <c r="B3382" s="24" t="s">
        <v>37</v>
      </c>
      <c r="C3382" s="21">
        <f t="shared" si="53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3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3"/>
        <v>-119.51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3"/>
        <v>-596.66999999999996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3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27">
        <v>45180</v>
      </c>
      <c r="B3387" s="24" t="s">
        <v>178</v>
      </c>
      <c r="C3387" s="21">
        <f t="shared" si="53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3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3"/>
        <v>0</v>
      </c>
    </row>
    <row r="3390" spans="1:224" x14ac:dyDescent="0.25">
      <c r="A3390" s="127">
        <v>45181</v>
      </c>
      <c r="B3390" s="24" t="s">
        <v>17</v>
      </c>
      <c r="C3390" s="21">
        <f t="shared" si="53"/>
        <v>-33.590000000000003</v>
      </c>
      <c r="BO3390" s="74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3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3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3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3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3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3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3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3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3"/>
        <v>0</v>
      </c>
    </row>
    <row r="3400" spans="1:235" x14ac:dyDescent="0.25">
      <c r="A3400" s="127">
        <v>45182</v>
      </c>
      <c r="B3400" s="24" t="s">
        <v>50</v>
      </c>
      <c r="C3400" s="21">
        <f t="shared" si="53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3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3"/>
        <v>554.72500000000002</v>
      </c>
      <c r="BI3402" s="74">
        <v>65.584999999999994</v>
      </c>
      <c r="CA3402" s="74">
        <v>69.989999999999995</v>
      </c>
      <c r="CG3402" s="74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3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3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3"/>
        <v>-550.36</v>
      </c>
      <c r="BC3405" s="74">
        <v>-100.66</v>
      </c>
      <c r="BI3405" s="74">
        <v>-33.29</v>
      </c>
      <c r="CA3405" s="74">
        <v>-69.989999999999995</v>
      </c>
      <c r="CG3405" s="74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3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3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3"/>
        <v>-16.905000000000001</v>
      </c>
      <c r="AR3408" s="74">
        <v>-8.31</v>
      </c>
      <c r="BI3408" s="74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3"/>
        <v>-90.77</v>
      </c>
      <c r="AN3409" s="74">
        <v>-14.73</v>
      </c>
      <c r="AR3409" s="74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3"/>
        <v>204.85</v>
      </c>
      <c r="CA3410" s="74">
        <v>37.74</v>
      </c>
      <c r="CG3410" s="74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3"/>
        <v>-66.19</v>
      </c>
      <c r="AR3411" s="74">
        <v>-14.94</v>
      </c>
      <c r="BC3411" s="74">
        <v>-17.05</v>
      </c>
      <c r="CG3411" s="74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3"/>
        <v>-18.850000000000001</v>
      </c>
      <c r="BI3412" s="74">
        <v>-8.36</v>
      </c>
      <c r="CA3412" s="74">
        <v>-10.49</v>
      </c>
    </row>
    <row r="3413" spans="1:208" x14ac:dyDescent="0.25">
      <c r="A3413" s="127">
        <v>45188</v>
      </c>
      <c r="B3413" s="24" t="s">
        <v>27</v>
      </c>
      <c r="C3413" s="21">
        <f t="shared" si="53"/>
        <v>-15.59</v>
      </c>
      <c r="AR3413" s="74">
        <v>-15.59</v>
      </c>
    </row>
    <row r="3414" spans="1:208" x14ac:dyDescent="0.25">
      <c r="A3414" s="127">
        <v>45188</v>
      </c>
      <c r="B3414" s="24" t="s">
        <v>20</v>
      </c>
      <c r="C3414" s="21">
        <f t="shared" si="53"/>
        <v>-9.6199999999999992</v>
      </c>
      <c r="CA3414" s="74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3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74">
        <v>-17.32</v>
      </c>
    </row>
    <row r="3416" spans="1:208" x14ac:dyDescent="0.25">
      <c r="A3416" s="127">
        <v>45188</v>
      </c>
      <c r="B3416" s="24" t="s">
        <v>79</v>
      </c>
      <c r="C3416" s="21">
        <f t="shared" si="53"/>
        <v>-16.649999999999999</v>
      </c>
      <c r="AW3416" s="74">
        <v>-7.95</v>
      </c>
      <c r="CG3416" s="74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3"/>
        <v>-58.74</v>
      </c>
      <c r="BI3417" s="74">
        <v>-15.34</v>
      </c>
      <c r="BO3417" s="74">
        <v>-17.72</v>
      </c>
      <c r="CA3417" s="74">
        <v>-8.49</v>
      </c>
      <c r="CG3417" s="74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3"/>
        <v>-146.56</v>
      </c>
      <c r="AW3418" s="74">
        <v>-31.18</v>
      </c>
      <c r="BC3418" s="74">
        <v>-30.97</v>
      </c>
      <c r="CE3418" s="42">
        <v>-9.5</v>
      </c>
      <c r="CG3418" s="74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3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74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3"/>
        <v>-58.17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74">
        <v>-8.1</v>
      </c>
    </row>
    <row r="3421" spans="1:208" x14ac:dyDescent="0.25">
      <c r="A3421" s="127">
        <v>45189</v>
      </c>
      <c r="B3421" s="24" t="s">
        <v>32</v>
      </c>
      <c r="C3421" s="21">
        <f t="shared" si="53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74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3"/>
        <v>-106.035</v>
      </c>
      <c r="BO3422" s="74">
        <v>-25.55</v>
      </c>
      <c r="BU3422" s="74">
        <v>-24.465</v>
      </c>
      <c r="CA3422" s="74">
        <v>-25.36</v>
      </c>
      <c r="CG3422" s="74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3"/>
        <v>-31.94</v>
      </c>
      <c r="BU3423" s="74">
        <v>-31.94</v>
      </c>
    </row>
    <row r="3424" spans="1:208" x14ac:dyDescent="0.25">
      <c r="A3424" s="127">
        <v>45189</v>
      </c>
      <c r="B3424" s="24" t="s">
        <v>44</v>
      </c>
      <c r="C3424" s="21">
        <f t="shared" si="53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3"/>
        <v>-31.44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27">
        <v>45190</v>
      </c>
      <c r="B3426" s="24" t="s">
        <v>113</v>
      </c>
      <c r="C3426" s="21">
        <f t="shared" si="53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74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3"/>
        <v>1450.875</v>
      </c>
      <c r="BI3427" s="74">
        <v>303.98</v>
      </c>
      <c r="BO3427" s="74">
        <v>289.64999999999998</v>
      </c>
      <c r="CG3427" s="74">
        <v>290.07499999999999</v>
      </c>
      <c r="CY3427" s="74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3"/>
        <v>-107.05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3"/>
        <v>-206.16</v>
      </c>
      <c r="BO3429" s="74">
        <v>-79.489999999999995</v>
      </c>
      <c r="BU3429" s="74">
        <v>-62.384999999999998</v>
      </c>
      <c r="CG3429" s="74">
        <v>-32.164999999999999</v>
      </c>
      <c r="CY3429" s="74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3"/>
        <v>-517.15499999999997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74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3"/>
        <v>-31.44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27">
        <v>45191</v>
      </c>
      <c r="B3432" s="24" t="s">
        <v>48</v>
      </c>
      <c r="C3432" s="21">
        <f t="shared" si="53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3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3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3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74">
        <v>-8.1</v>
      </c>
    </row>
    <row r="3436" spans="1:224" x14ac:dyDescent="0.25">
      <c r="A3436" s="127">
        <v>45191</v>
      </c>
      <c r="B3436" s="24" t="s">
        <v>79</v>
      </c>
      <c r="C3436" s="21">
        <f t="shared" si="53"/>
        <v>-33.244999999999997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3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3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27">
        <v>45191</v>
      </c>
      <c r="B3439" s="24" t="s">
        <v>50</v>
      </c>
      <c r="C3439" s="21">
        <f t="shared" si="53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3"/>
        <v>-16.59</v>
      </c>
      <c r="BU3440" s="74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4">SUM(D3441:JT3441)</f>
        <v>-31.3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4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4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4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27">
        <v>45192</v>
      </c>
      <c r="B3445" s="24" t="s">
        <v>184</v>
      </c>
      <c r="C3445" s="21">
        <f t="shared" si="54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74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4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4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4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4"/>
        <v>-48.68</v>
      </c>
      <c r="AA3449" s="42">
        <v>-16.52</v>
      </c>
      <c r="CM3449" s="74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4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4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74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4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4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74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4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27">
        <v>45195</v>
      </c>
      <c r="B3455" s="24" t="s">
        <v>113</v>
      </c>
      <c r="C3455" s="21">
        <f t="shared" si="54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4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74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4"/>
        <v>-17.73</v>
      </c>
      <c r="CA3457" s="74">
        <v>-17.73</v>
      </c>
    </row>
    <row r="3458" spans="1:221" x14ac:dyDescent="0.25">
      <c r="A3458" s="127">
        <v>45196</v>
      </c>
      <c r="B3458" s="24" t="s">
        <v>57</v>
      </c>
      <c r="C3458" s="21">
        <f t="shared" si="54"/>
        <v>-16.84</v>
      </c>
      <c r="BC3458" s="74">
        <v>-8.2100000000000009</v>
      </c>
      <c r="BI3458" s="74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4"/>
        <v>-41.435000000000002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4"/>
        <v>-1170.375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74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4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4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4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4"/>
        <v>-14.345000000000001</v>
      </c>
      <c r="BI3464" s="74">
        <v>-7.5149999999999997</v>
      </c>
      <c r="BU3464" s="74">
        <v>-6.83</v>
      </c>
    </row>
    <row r="3465" spans="1:221" x14ac:dyDescent="0.25">
      <c r="A3465" s="127">
        <v>45197</v>
      </c>
      <c r="B3465" s="24" t="s">
        <v>44</v>
      </c>
      <c r="C3465" s="21">
        <f t="shared" si="54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4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4"/>
        <v>-68.34</v>
      </c>
      <c r="BO3467" s="74">
        <v>-68.34</v>
      </c>
    </row>
    <row r="3468" spans="1:221" x14ac:dyDescent="0.25">
      <c r="A3468" s="127">
        <v>45197</v>
      </c>
      <c r="B3468" s="24" t="s">
        <v>37</v>
      </c>
      <c r="C3468" s="21">
        <f t="shared" si="54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4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4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4"/>
        <v>134.51</v>
      </c>
      <c r="AR3471" s="74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4"/>
        <v>-7.18</v>
      </c>
      <c r="CY3472" s="74">
        <v>-7.18</v>
      </c>
    </row>
    <row r="3473" spans="1:224" x14ac:dyDescent="0.25">
      <c r="A3473" s="127">
        <v>45198</v>
      </c>
      <c r="B3473" s="24" t="s">
        <v>33</v>
      </c>
      <c r="C3473" s="21">
        <f t="shared" si="54"/>
        <v>-41.99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27">
        <v>45198</v>
      </c>
      <c r="B3474" s="24" t="s">
        <v>25</v>
      </c>
      <c r="C3474" s="21">
        <f t="shared" si="54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4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4"/>
        <v>-15.15</v>
      </c>
      <c r="Z3476" s="79">
        <v>-6.67</v>
      </c>
      <c r="CA3476" s="74">
        <v>-8.48</v>
      </c>
    </row>
    <row r="3477" spans="1:224" x14ac:dyDescent="0.25">
      <c r="A3477" s="127">
        <v>45199</v>
      </c>
      <c r="B3477" s="24" t="s">
        <v>184</v>
      </c>
      <c r="C3477" s="21">
        <f t="shared" si="54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74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4"/>
        <v>-288.16500000000002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74">
        <v>-33.585000000000001</v>
      </c>
      <c r="CM3478" s="74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4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4"/>
        <v>-136.12</v>
      </c>
      <c r="CM3480" s="74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4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4"/>
        <v>-16.96</v>
      </c>
      <c r="BU3482" s="74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4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4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4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4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4"/>
        <v>-16.756</v>
      </c>
      <c r="BC3487" s="74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4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4"/>
        <v>-25</v>
      </c>
      <c r="CG3489" s="74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4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74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4"/>
        <v>-24.99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27">
        <v>45202</v>
      </c>
      <c r="B3492" s="24" t="s">
        <v>139</v>
      </c>
      <c r="C3492" s="21">
        <f t="shared" si="54"/>
        <v>-48.354999999999997</v>
      </c>
      <c r="BU3492" s="74">
        <v>-7.79</v>
      </c>
      <c r="CA3492" s="74">
        <v>-8.4049999999999994</v>
      </c>
      <c r="CG3492" s="74">
        <v>-8.0399999999999991</v>
      </c>
      <c r="CS3492" s="74">
        <v>-8.02</v>
      </c>
      <c r="CY3492" s="74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4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4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4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4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4"/>
        <v>-16.645</v>
      </c>
      <c r="CG3497" s="74">
        <v>-8.2650000000000006</v>
      </c>
      <c r="CM3497" s="74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4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4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74">
        <v>-8.75</v>
      </c>
    </row>
    <row r="3500" spans="1:137" x14ac:dyDescent="0.25">
      <c r="A3500" s="127">
        <v>45204</v>
      </c>
      <c r="B3500" s="24" t="s">
        <v>17</v>
      </c>
      <c r="C3500" s="21">
        <f t="shared" si="54"/>
        <v>-67.069999999999993</v>
      </c>
      <c r="AW3500" s="74">
        <f>-9-8.01</f>
        <v>-17.010000000000002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4"/>
        <v>-12.4</v>
      </c>
      <c r="Z3501" s="79">
        <v>-0.49</v>
      </c>
      <c r="BY3501" s="42">
        <v>-0.43</v>
      </c>
      <c r="CA3501" s="74">
        <v>-3.5</v>
      </c>
      <c r="CG3501" s="74">
        <v>-7.98</v>
      </c>
    </row>
    <row r="3502" spans="1:137" x14ac:dyDescent="0.25">
      <c r="A3502" s="127">
        <v>45204</v>
      </c>
      <c r="B3502" s="24" t="s">
        <v>48</v>
      </c>
      <c r="C3502" s="21">
        <f t="shared" si="54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4"/>
        <v>936.44500000000005</v>
      </c>
      <c r="BO3503" s="74">
        <v>149.93</v>
      </c>
      <c r="BU3503" s="74">
        <v>150.9</v>
      </c>
      <c r="CA3503" s="74">
        <v>161.30500000000001</v>
      </c>
      <c r="CG3503" s="74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4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5">SUM(D3505:JT3505)</f>
        <v>-7.835</v>
      </c>
      <c r="BI3505" s="74">
        <v>-7.835</v>
      </c>
    </row>
    <row r="3506" spans="1:235" x14ac:dyDescent="0.25">
      <c r="A3506" s="127">
        <v>45205</v>
      </c>
      <c r="B3506" s="24" t="s">
        <v>31</v>
      </c>
      <c r="C3506" s="21">
        <f t="shared" si="55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5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5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5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5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27">
        <v>45209</v>
      </c>
      <c r="B3511" s="24" t="s">
        <v>20</v>
      </c>
      <c r="C3511" s="21">
        <f t="shared" si="55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27">
        <v>45209</v>
      </c>
      <c r="B3512" s="24" t="s">
        <v>133</v>
      </c>
      <c r="C3512" s="21">
        <f t="shared" si="55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27">
        <v>45209</v>
      </c>
      <c r="B3513" s="24" t="s">
        <v>75</v>
      </c>
      <c r="C3513" s="21">
        <f t="shared" si="55"/>
        <v>-17.63</v>
      </c>
      <c r="BA3513" s="42">
        <v>-9.32</v>
      </c>
      <c r="BO3513" s="74">
        <v>-8.31</v>
      </c>
    </row>
    <row r="3514" spans="1:235" x14ac:dyDescent="0.25">
      <c r="A3514" s="127">
        <v>45209</v>
      </c>
      <c r="B3514" s="24" t="s">
        <v>29</v>
      </c>
      <c r="C3514" s="21">
        <f t="shared" si="55"/>
        <v>-16.36</v>
      </c>
      <c r="BO3514" s="74">
        <v>-8.01</v>
      </c>
      <c r="BU3514" s="74">
        <v>-8.35</v>
      </c>
    </row>
    <row r="3515" spans="1:235" x14ac:dyDescent="0.25">
      <c r="A3515" s="127">
        <v>45209</v>
      </c>
      <c r="B3515" s="24" t="s">
        <v>152</v>
      </c>
      <c r="C3515" s="21">
        <f t="shared" si="55"/>
        <v>-100.81</v>
      </c>
      <c r="BU3515" s="74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5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74">
        <v>-16.600000000000001</v>
      </c>
      <c r="CM3516" s="74">
        <v>-16.75</v>
      </c>
    </row>
    <row r="3517" spans="1:235" x14ac:dyDescent="0.25">
      <c r="A3517" s="127">
        <v>45209</v>
      </c>
      <c r="B3517" s="24" t="s">
        <v>48</v>
      </c>
      <c r="C3517" s="21">
        <f t="shared" si="55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5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5"/>
        <v>-8.11</v>
      </c>
      <c r="AR3519" s="74">
        <v>-8.11</v>
      </c>
    </row>
    <row r="3520" spans="1:235" x14ac:dyDescent="0.25">
      <c r="A3520" s="127">
        <v>45210</v>
      </c>
      <c r="B3520" s="24" t="s">
        <v>44</v>
      </c>
      <c r="C3520" s="21">
        <f t="shared" si="55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5"/>
        <v>-33.094999999999999</v>
      </c>
      <c r="BS3521" s="42">
        <v>-17.12</v>
      </c>
      <c r="CA3521" s="74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5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5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5"/>
        <v>-64.11</v>
      </c>
      <c r="BA3524" s="42">
        <v>-9.19</v>
      </c>
      <c r="BI3524" s="74">
        <v>-13.8</v>
      </c>
      <c r="BO3524" s="74">
        <v>-8.0500000000000007</v>
      </c>
      <c r="CG3524" s="74">
        <v>-16.32</v>
      </c>
      <c r="CM3524" s="74">
        <v>-16.75</v>
      </c>
    </row>
    <row r="3525" spans="1:216" x14ac:dyDescent="0.25">
      <c r="A3525" s="127">
        <v>45211</v>
      </c>
      <c r="B3525" s="24" t="s">
        <v>48</v>
      </c>
      <c r="C3525" s="21">
        <f t="shared" si="55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5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5"/>
        <v>-239.745</v>
      </c>
      <c r="AW3527" s="74">
        <v>-72.19</v>
      </c>
      <c r="BM3527" s="88">
        <v>-34.89</v>
      </c>
      <c r="CG3527" s="74">
        <v>-66.349999999999994</v>
      </c>
      <c r="CS3527" s="74">
        <v>-33.145000000000003</v>
      </c>
      <c r="CY3527" s="74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5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5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5"/>
        <v>0</v>
      </c>
    </row>
    <row r="3531" spans="1:216" x14ac:dyDescent="0.25">
      <c r="A3531" s="127">
        <v>45211</v>
      </c>
      <c r="B3531" s="29" t="s">
        <v>185</v>
      </c>
      <c r="C3531" s="21">
        <f t="shared" si="55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5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5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5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5"/>
        <v>-35.97</v>
      </c>
      <c r="BA3535" s="42">
        <v>-18.7</v>
      </c>
      <c r="BO3535" s="74">
        <v>-17.27</v>
      </c>
    </row>
    <row r="3536" spans="1:216" x14ac:dyDescent="0.25">
      <c r="A3536" s="127">
        <v>45212</v>
      </c>
      <c r="B3536" s="29" t="s">
        <v>75</v>
      </c>
      <c r="C3536" s="21">
        <f t="shared" si="55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5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5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5"/>
        <v>-124.645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5"/>
        <v>-16.93</v>
      </c>
      <c r="AW3540" s="74">
        <v>-8.69</v>
      </c>
      <c r="CY3540" s="74">
        <v>-8.24</v>
      </c>
    </row>
    <row r="3541" spans="1:221" x14ac:dyDescent="0.25">
      <c r="A3541" s="127">
        <v>45213</v>
      </c>
      <c r="B3541" s="24" t="s">
        <v>113</v>
      </c>
      <c r="C3541" s="21">
        <f t="shared" si="55"/>
        <v>1008.77</v>
      </c>
      <c r="BO3541" s="74">
        <v>167.69</v>
      </c>
      <c r="BU3541" s="74">
        <v>161.785</v>
      </c>
      <c r="CA3541" s="74">
        <v>197.35</v>
      </c>
      <c r="CG3541" s="74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5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74">
        <v>-16.66</v>
      </c>
      <c r="CM3542" s="74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5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5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5"/>
        <v>-31.12</v>
      </c>
      <c r="BU3545" s="74">
        <v>-31.12</v>
      </c>
    </row>
    <row r="3546" spans="1:221" x14ac:dyDescent="0.25">
      <c r="A3546" s="127">
        <v>45216</v>
      </c>
      <c r="B3546" s="24" t="s">
        <v>82</v>
      </c>
      <c r="C3546" s="21">
        <f t="shared" si="55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5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5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5"/>
        <v>-15.92</v>
      </c>
      <c r="BO3549" s="74">
        <v>-15.92</v>
      </c>
    </row>
    <row r="3550" spans="1:221" x14ac:dyDescent="0.25">
      <c r="A3550" s="127">
        <v>45216</v>
      </c>
      <c r="B3550" s="24" t="s">
        <v>20</v>
      </c>
      <c r="C3550" s="21">
        <f t="shared" si="55"/>
        <v>-60.35</v>
      </c>
      <c r="CA3550" s="74">
        <v>-8.3849999999999998</v>
      </c>
      <c r="CG3550" s="74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5"/>
        <v>31.27</v>
      </c>
      <c r="DG3551" s="126">
        <v>15.97</v>
      </c>
      <c r="DM3551" s="150">
        <v>15.3</v>
      </c>
    </row>
    <row r="3552" spans="1:221" x14ac:dyDescent="0.25">
      <c r="A3552" s="127">
        <v>45216</v>
      </c>
      <c r="B3552" s="24" t="s">
        <v>25</v>
      </c>
      <c r="C3552" s="21">
        <f t="shared" si="55"/>
        <v>-24.37</v>
      </c>
      <c r="DE3552" s="74">
        <v>-5.3</v>
      </c>
      <c r="DG3552" s="126">
        <v>-7.68</v>
      </c>
      <c r="DK3552" s="74">
        <v>-3.82</v>
      </c>
      <c r="DM3552" s="150">
        <v>-7.57</v>
      </c>
    </row>
    <row r="3553" spans="1:226" x14ac:dyDescent="0.25">
      <c r="A3553" s="127">
        <v>45217</v>
      </c>
      <c r="B3553" s="24" t="s">
        <v>113</v>
      </c>
      <c r="C3553" s="21">
        <f t="shared" si="55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5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5"/>
        <v>-1.37</v>
      </c>
      <c r="BU3555" s="74">
        <v>-1.37</v>
      </c>
    </row>
    <row r="3556" spans="1:226" x14ac:dyDescent="0.25">
      <c r="A3556" s="127">
        <v>45217</v>
      </c>
      <c r="B3556" s="24" t="s">
        <v>48</v>
      </c>
      <c r="C3556" s="21">
        <f t="shared" si="55"/>
        <v>-8.64</v>
      </c>
      <c r="BO3556" s="74">
        <v>-8.64</v>
      </c>
    </row>
    <row r="3557" spans="1:226" x14ac:dyDescent="0.25">
      <c r="A3557" s="127">
        <v>45218</v>
      </c>
      <c r="B3557" s="24" t="s">
        <v>161</v>
      </c>
      <c r="C3557" s="21">
        <f t="shared" si="55"/>
        <v>-31.43</v>
      </c>
      <c r="AG3557" s="106">
        <v>-17.22</v>
      </c>
      <c r="BC3557" s="74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5"/>
        <v>-437.26</v>
      </c>
      <c r="BC3558" s="74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5"/>
        <v>-65.765000000000001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5"/>
        <v>-1184.9449999999999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74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5"/>
        <v>-33.200000000000003</v>
      </c>
      <c r="BU3561" s="74">
        <v>-8.32</v>
      </c>
      <c r="CG3561" s="74">
        <v>-8.48</v>
      </c>
      <c r="CM3561" s="74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5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5"/>
        <v>-8.27</v>
      </c>
      <c r="CY3563" s="74">
        <v>-8.27</v>
      </c>
    </row>
    <row r="3564" spans="1:226" x14ac:dyDescent="0.25">
      <c r="A3564" s="127">
        <v>45219</v>
      </c>
      <c r="B3564" s="24" t="s">
        <v>20</v>
      </c>
      <c r="C3564" s="21">
        <f t="shared" si="55"/>
        <v>-6.6349999999999998</v>
      </c>
      <c r="BI3564" s="74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5"/>
        <v>-15.2</v>
      </c>
      <c r="BC3565" s="74">
        <v>-6.97</v>
      </c>
      <c r="BI3565" s="74">
        <v>-8.23</v>
      </c>
    </row>
    <row r="3566" spans="1:226" x14ac:dyDescent="0.25">
      <c r="A3566" s="127">
        <v>45219</v>
      </c>
      <c r="B3566" s="24" t="s">
        <v>17</v>
      </c>
      <c r="C3566" s="21">
        <f t="shared" si="55"/>
        <v>-33.200000000000003</v>
      </c>
      <c r="BU3566" s="74">
        <v>-8.32</v>
      </c>
      <c r="CG3566" s="74">
        <v>-8.48</v>
      </c>
      <c r="CM3566" s="74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5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5"/>
        <v>-191.66499999999999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56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74">
        <v>-25.7</v>
      </c>
    </row>
    <row r="3570" spans="1:221" x14ac:dyDescent="0.25">
      <c r="A3570" s="127">
        <v>45220</v>
      </c>
      <c r="B3570" s="24" t="s">
        <v>43</v>
      </c>
      <c r="C3570" s="21">
        <f t="shared" si="56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56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56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56"/>
        <v>-198.535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</v>
      </c>
      <c r="CG3573" s="74">
        <v>-32.28</v>
      </c>
      <c r="CM3573" s="74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56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74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56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56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56"/>
        <v>-197.58500000000001</v>
      </c>
      <c r="BU3577" s="74">
        <v>-68.234999999999999</v>
      </c>
      <c r="CY3577" s="74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56"/>
        <v>-15.68</v>
      </c>
      <c r="BI3578" s="74">
        <v>-7.91</v>
      </c>
      <c r="BO3578" s="74">
        <v>-7.77</v>
      </c>
    </row>
    <row r="3579" spans="1:221" x14ac:dyDescent="0.25">
      <c r="A3579" s="127">
        <v>45223</v>
      </c>
      <c r="B3579" s="24" t="s">
        <v>138</v>
      </c>
      <c r="C3579" s="21">
        <f t="shared" si="56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56"/>
        <v>-61.72</v>
      </c>
      <c r="AR3580" s="74">
        <v>-61.72</v>
      </c>
    </row>
    <row r="3581" spans="1:221" x14ac:dyDescent="0.25">
      <c r="A3581" s="127">
        <v>45223</v>
      </c>
      <c r="B3581" s="24" t="s">
        <v>75</v>
      </c>
      <c r="C3581" s="21">
        <f t="shared" si="56"/>
        <v>-16.72</v>
      </c>
      <c r="AC3581" s="74">
        <v>-8.15</v>
      </c>
      <c r="BI3581" s="74">
        <v>-8.57</v>
      </c>
    </row>
    <row r="3582" spans="1:221" x14ac:dyDescent="0.25">
      <c r="A3582" s="127">
        <v>45223</v>
      </c>
      <c r="B3582" s="24" t="s">
        <v>162</v>
      </c>
      <c r="C3582" s="21">
        <f t="shared" si="56"/>
        <v>-8.5</v>
      </c>
      <c r="CG3582" s="74">
        <v>-8.5</v>
      </c>
    </row>
    <row r="3583" spans="1:221" x14ac:dyDescent="0.25">
      <c r="A3583" s="127">
        <v>45223</v>
      </c>
      <c r="B3583" s="24" t="s">
        <v>20</v>
      </c>
      <c r="C3583" s="21">
        <f t="shared" si="56"/>
        <v>-28.06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27">
        <v>45223</v>
      </c>
      <c r="B3584" s="24" t="s">
        <v>113</v>
      </c>
      <c r="C3584" s="21">
        <f t="shared" si="56"/>
        <v>842.04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56"/>
        <v>-3.72</v>
      </c>
      <c r="AR3585" s="74">
        <v>-3.72</v>
      </c>
    </row>
    <row r="3586" spans="1:208" x14ac:dyDescent="0.25">
      <c r="A3586" s="127">
        <v>45224</v>
      </c>
      <c r="B3586" s="24" t="s">
        <v>184</v>
      </c>
      <c r="C3586" s="21">
        <f t="shared" si="56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74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56"/>
        <v>-258.33999999999997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56"/>
        <v>0</v>
      </c>
    </row>
    <row r="3589" spans="1:208" x14ac:dyDescent="0.25">
      <c r="A3589" s="127">
        <v>45224</v>
      </c>
      <c r="B3589" s="24" t="s">
        <v>43</v>
      </c>
      <c r="C3589" s="21">
        <f t="shared" si="56"/>
        <v>-99.094999999999999</v>
      </c>
      <c r="BO3589" s="74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56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56"/>
        <v>-73.635000000000005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56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56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56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56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56"/>
        <v>-34.155000000000001</v>
      </c>
      <c r="BS3596" s="42">
        <f>-8.8-8.79</f>
        <v>-17.59</v>
      </c>
      <c r="BU3596" s="74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56"/>
        <v>-61.23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56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27">
        <v>45226</v>
      </c>
      <c r="B3599" s="24" t="s">
        <v>20</v>
      </c>
      <c r="C3599" s="21">
        <f t="shared" si="56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74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56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56"/>
        <v>0</v>
      </c>
    </row>
    <row r="3602" spans="1:218" x14ac:dyDescent="0.25">
      <c r="A3602" s="127">
        <v>45226</v>
      </c>
      <c r="B3602" s="24" t="s">
        <v>59</v>
      </c>
      <c r="C3602" s="21">
        <f t="shared" si="56"/>
        <v>-7.8</v>
      </c>
      <c r="BU3602" s="74">
        <v>-3.48</v>
      </c>
      <c r="CY3602" s="74">
        <v>-4.32</v>
      </c>
    </row>
    <row r="3603" spans="1:218" x14ac:dyDescent="0.25">
      <c r="A3603" s="127">
        <v>45227</v>
      </c>
      <c r="B3603" s="24" t="s">
        <v>184</v>
      </c>
      <c r="C3603" s="21">
        <f t="shared" si="56"/>
        <v>-59.34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56"/>
        <v>-8.09</v>
      </c>
      <c r="CA3604" s="74">
        <v>-8.09</v>
      </c>
    </row>
    <row r="3605" spans="1:218" x14ac:dyDescent="0.25">
      <c r="A3605" s="127">
        <v>45227</v>
      </c>
      <c r="B3605" s="24" t="s">
        <v>113</v>
      </c>
      <c r="C3605" s="21">
        <f t="shared" si="56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56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56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27">
        <v>45229</v>
      </c>
      <c r="B3608" s="24" t="s">
        <v>184</v>
      </c>
      <c r="C3608" s="21">
        <f t="shared" si="56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56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56"/>
        <v>-28.315000000000001</v>
      </c>
      <c r="CA3610" s="74">
        <v>-8.1150000000000002</v>
      </c>
      <c r="CG3610" s="74">
        <v>-4.12</v>
      </c>
      <c r="CM3610" s="74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56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27">
        <v>45230</v>
      </c>
      <c r="B3612" s="24" t="s">
        <v>25</v>
      </c>
      <c r="C3612" s="21">
        <f t="shared" si="56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56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56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56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56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56"/>
        <v>1199.1199999999999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56"/>
        <v>0</v>
      </c>
    </row>
    <row r="3619" spans="1:208" x14ac:dyDescent="0.25">
      <c r="A3619" s="127">
        <v>45230</v>
      </c>
      <c r="B3619" s="24" t="s">
        <v>50</v>
      </c>
      <c r="C3619" s="21">
        <f t="shared" si="56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56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56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56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56"/>
        <v>-8.0749999999999993</v>
      </c>
      <c r="CA3623" s="74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56"/>
        <v>-17.100000000000001</v>
      </c>
      <c r="AN3624" s="74">
        <v>-8.61</v>
      </c>
      <c r="AR3624" s="74">
        <v>-8.49</v>
      </c>
    </row>
    <row r="3625" spans="1:208" x14ac:dyDescent="0.25">
      <c r="A3625" s="127">
        <v>45233</v>
      </c>
      <c r="B3625" s="24" t="s">
        <v>48</v>
      </c>
      <c r="C3625" s="21">
        <f t="shared" si="56"/>
        <v>-16.28</v>
      </c>
      <c r="CM3625" s="74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56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56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56"/>
        <v>-15.59</v>
      </c>
      <c r="CS3628" s="74">
        <v>-7.3</v>
      </c>
      <c r="CY3628" s="74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56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56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56"/>
        <v>-16.684999999999999</v>
      </c>
      <c r="BI3631" s="74">
        <v>-8.4949999999999992</v>
      </c>
      <c r="BO3631" s="74">
        <v>-8.19</v>
      </c>
    </row>
    <row r="3632" spans="1:208" x14ac:dyDescent="0.25">
      <c r="A3632" s="127">
        <v>45237</v>
      </c>
      <c r="B3632" s="24" t="s">
        <v>25</v>
      </c>
      <c r="C3632" s="21">
        <f t="shared" si="56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57">SUM(D3633:JT3633)</f>
        <v>-17.21</v>
      </c>
      <c r="BU3633" s="74">
        <v>-17.21</v>
      </c>
    </row>
    <row r="3634" spans="1:241" x14ac:dyDescent="0.25">
      <c r="A3634" s="127">
        <v>45237</v>
      </c>
      <c r="B3634" s="24" t="s">
        <v>68</v>
      </c>
      <c r="C3634" s="21">
        <f t="shared" si="57"/>
        <v>-67.63</v>
      </c>
      <c r="BI3634" s="74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57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57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57"/>
        <v>902.15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57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57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57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57"/>
        <v>-70.790000000000006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57"/>
        <v>74.875</v>
      </c>
      <c r="Z3642" s="79">
        <v>7.04</v>
      </c>
      <c r="AD3642" s="115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74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57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57"/>
        <v>-17.350000000000001</v>
      </c>
      <c r="BI3644" s="74">
        <v>-8.7249999999999996</v>
      </c>
      <c r="BU3644" s="74">
        <v>-8.625</v>
      </c>
    </row>
    <row r="3645" spans="1:241" x14ac:dyDescent="0.25">
      <c r="A3645" s="127">
        <v>45239</v>
      </c>
      <c r="B3645" s="24" t="s">
        <v>48</v>
      </c>
      <c r="C3645" s="21">
        <f t="shared" si="57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57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57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57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27">
        <v>45240</v>
      </c>
      <c r="B3649" s="24" t="s">
        <v>139</v>
      </c>
      <c r="C3649" s="21">
        <f t="shared" si="57"/>
        <v>-7.28</v>
      </c>
      <c r="CY3649" s="74">
        <v>-7.28</v>
      </c>
    </row>
    <row r="3650" spans="1:214" x14ac:dyDescent="0.25">
      <c r="A3650" s="127">
        <v>45240</v>
      </c>
      <c r="B3650" s="24" t="s">
        <v>187</v>
      </c>
      <c r="C3650" s="21">
        <f t="shared" si="57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57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57"/>
        <v>-17.145</v>
      </c>
      <c r="BI3652" s="74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57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57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57"/>
        <v>-10.06</v>
      </c>
      <c r="Z3655" s="79">
        <v>-1.52</v>
      </c>
      <c r="CA3655" s="74">
        <v>-5</v>
      </c>
      <c r="CG3655" s="74">
        <v>-3.54</v>
      </c>
    </row>
    <row r="3656" spans="1:214" x14ac:dyDescent="0.25">
      <c r="A3656" s="127">
        <v>45244</v>
      </c>
      <c r="B3656" s="24" t="s">
        <v>184</v>
      </c>
      <c r="C3656" s="21">
        <f t="shared" si="57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74">
        <v>-31.83</v>
      </c>
    </row>
    <row r="3657" spans="1:214" x14ac:dyDescent="0.25">
      <c r="A3657" s="127">
        <v>45244</v>
      </c>
      <c r="B3657" s="24" t="s">
        <v>113</v>
      </c>
      <c r="C3657" s="21">
        <f t="shared" si="57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74">
        <v>159.46</v>
      </c>
      <c r="CY3657" s="74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57"/>
        <v>-35.74</v>
      </c>
      <c r="AW3658" s="74">
        <v>-17.66</v>
      </c>
      <c r="BC3658" s="74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57"/>
        <v>-16.239999999999998</v>
      </c>
      <c r="BO3659" s="74">
        <v>-8</v>
      </c>
      <c r="BU3659" s="74">
        <v>-8.24</v>
      </c>
    </row>
    <row r="3660" spans="1:214" x14ac:dyDescent="0.25">
      <c r="A3660" s="127">
        <v>45244</v>
      </c>
      <c r="B3660" s="24" t="s">
        <v>59</v>
      </c>
      <c r="C3660" s="21">
        <f t="shared" si="57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57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74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57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57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57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57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27">
        <v>45246</v>
      </c>
      <c r="B3666" s="24" t="s">
        <v>50</v>
      </c>
      <c r="C3666" s="21">
        <f t="shared" si="57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57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57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57"/>
        <v>-58.515000000000001</v>
      </c>
      <c r="BU3669" s="74">
        <v>-8.57</v>
      </c>
      <c r="CG3669" s="74">
        <v>-15.86</v>
      </c>
      <c r="CM3669" s="74">
        <v>-16.68</v>
      </c>
      <c r="CY3669" s="74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57"/>
        <v>-572.12800000000004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-26.3</v>
      </c>
      <c r="BO3670" s="74">
        <v>-8.1300000000000008</v>
      </c>
      <c r="BU3670" s="74">
        <v>-66.8</v>
      </c>
      <c r="CA3670" s="74">
        <v>-64.314999999999998</v>
      </c>
      <c r="CG3670" s="74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57"/>
        <v>-32.104999999999997</v>
      </c>
      <c r="AC3671" s="74">
        <v>-8.3800000000000008</v>
      </c>
      <c r="AR3671" s="74">
        <v>-7.41</v>
      </c>
      <c r="CG3671" s="74">
        <v>-8.3149999999999995</v>
      </c>
      <c r="CM3671" s="74">
        <v>-8</v>
      </c>
    </row>
    <row r="3672" spans="1:156" x14ac:dyDescent="0.25">
      <c r="A3672" s="127">
        <v>45247</v>
      </c>
      <c r="B3672" s="24" t="s">
        <v>20</v>
      </c>
      <c r="C3672" s="21">
        <f t="shared" si="57"/>
        <v>-17.32</v>
      </c>
      <c r="BI3672" s="74">
        <v>-9.09</v>
      </c>
      <c r="BU3672" s="74">
        <v>-8.23</v>
      </c>
    </row>
    <row r="3673" spans="1:156" x14ac:dyDescent="0.25">
      <c r="A3673" s="127">
        <v>45250</v>
      </c>
      <c r="B3673" s="24" t="s">
        <v>48</v>
      </c>
      <c r="C3673" s="21">
        <f t="shared" si="57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57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27">
        <v>45250</v>
      </c>
      <c r="B3675" s="24" t="s">
        <v>162</v>
      </c>
      <c r="C3675" s="21">
        <f t="shared" si="57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57"/>
        <v>-17.195</v>
      </c>
      <c r="BI3676" s="74">
        <v>-9.1050000000000004</v>
      </c>
      <c r="CM3676" s="74">
        <v>-8.09</v>
      </c>
    </row>
    <row r="3677" spans="1:156" x14ac:dyDescent="0.25">
      <c r="A3677" s="127">
        <v>45251</v>
      </c>
      <c r="B3677" s="24" t="s">
        <v>151</v>
      </c>
      <c r="C3677" s="21">
        <f t="shared" si="57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57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57"/>
        <v>-25.28</v>
      </c>
      <c r="BI3679" s="74">
        <v>-9.09</v>
      </c>
      <c r="BU3679" s="74">
        <v>-8.2149999999999999</v>
      </c>
      <c r="CG3679" s="74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57"/>
        <v>-16.260000000000002</v>
      </c>
      <c r="CM3680" s="74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57"/>
        <v>-137.73500000000001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74">
        <v>-15.975</v>
      </c>
    </row>
    <row r="3682" spans="1:241" x14ac:dyDescent="0.25">
      <c r="A3682" s="127">
        <v>45252</v>
      </c>
      <c r="B3682" s="24" t="s">
        <v>17</v>
      </c>
      <c r="C3682" s="21">
        <f t="shared" si="57"/>
        <v>-42.73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27">
        <v>45252</v>
      </c>
      <c r="B3683" s="24" t="s">
        <v>50</v>
      </c>
      <c r="C3683" s="21">
        <f t="shared" si="57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57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57"/>
        <v>1032.395</v>
      </c>
      <c r="AN3685" s="74">
        <v>69</v>
      </c>
      <c r="BI3685" s="74">
        <f>89.32+35.91</f>
        <v>125.23</v>
      </c>
      <c r="BO3685" s="74">
        <v>136.6</v>
      </c>
      <c r="BU3685" s="74">
        <v>114.95</v>
      </c>
      <c r="CA3685" s="74">
        <v>81.224999999999994</v>
      </c>
      <c r="CG3685" s="74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57"/>
        <v>-201.21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74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57"/>
        <v>-5.81</v>
      </c>
      <c r="AR3687" s="74">
        <v>-5.81</v>
      </c>
    </row>
    <row r="3688" spans="1:241" x14ac:dyDescent="0.25">
      <c r="A3688" s="127">
        <v>45254</v>
      </c>
      <c r="B3688" s="24" t="s">
        <v>29</v>
      </c>
      <c r="C3688" s="21">
        <f t="shared" si="57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57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57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57"/>
        <v>0</v>
      </c>
    </row>
    <row r="3692" spans="1:241" x14ac:dyDescent="0.25">
      <c r="A3692" s="127">
        <v>45254</v>
      </c>
      <c r="B3692" s="24" t="s">
        <v>115</v>
      </c>
      <c r="C3692" s="21">
        <f t="shared" si="57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57"/>
        <v>-8.4700000000000006</v>
      </c>
      <c r="CA3693" s="74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57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57"/>
        <v>-171.22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27">
        <v>45254</v>
      </c>
      <c r="B3696" s="24" t="s">
        <v>184</v>
      </c>
      <c r="C3696" s="21">
        <f t="shared" si="57"/>
        <v>-32.35</v>
      </c>
      <c r="CA3696" s="74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58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58"/>
        <v>-42.255000000000003</v>
      </c>
      <c r="CG3698" s="74">
        <v>-17.035</v>
      </c>
      <c r="CM3698" s="74">
        <v>-25.22</v>
      </c>
    </row>
    <row r="3699" spans="1:214" x14ac:dyDescent="0.25">
      <c r="A3699" s="127">
        <v>45257</v>
      </c>
      <c r="B3699" s="24" t="s">
        <v>149</v>
      </c>
      <c r="C3699" s="21">
        <f t="shared" si="58"/>
        <v>-8.61</v>
      </c>
      <c r="AR3699" s="74">
        <v>-8.61</v>
      </c>
    </row>
    <row r="3700" spans="1:214" x14ac:dyDescent="0.25">
      <c r="A3700" s="127">
        <v>45257</v>
      </c>
      <c r="B3700" s="24" t="s">
        <v>75</v>
      </c>
      <c r="C3700" s="21">
        <f t="shared" si="58"/>
        <v>-33.64</v>
      </c>
      <c r="AR3700" s="74">
        <v>-17.22</v>
      </c>
      <c r="BU3700" s="74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58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27">
        <v>45257</v>
      </c>
      <c r="B3702" s="24" t="s">
        <v>44</v>
      </c>
      <c r="C3702" s="21">
        <f t="shared" si="58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58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74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58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74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58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58"/>
        <v>-66.415000000000006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58"/>
        <v>-228</v>
      </c>
      <c r="V3707" s="74">
        <v>-30.6</v>
      </c>
      <c r="CG3707" s="74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58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74">
        <v>-65.58</v>
      </c>
      <c r="CM3708" s="74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58"/>
        <v>-448.05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74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58"/>
        <v>-9.3350000000000009</v>
      </c>
      <c r="AR3710" s="74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58"/>
        <v>-25.465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27">
        <v>45260</v>
      </c>
      <c r="B3712" s="24" t="s">
        <v>33</v>
      </c>
      <c r="C3712" s="21">
        <f t="shared" si="58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27">
        <v>45260</v>
      </c>
      <c r="B3713" s="24" t="s">
        <v>162</v>
      </c>
      <c r="C3713" s="21">
        <f t="shared" si="58"/>
        <v>-25.64</v>
      </c>
      <c r="CS3713" s="74">
        <v>-16.925000000000001</v>
      </c>
      <c r="CY3713" s="74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58"/>
        <v>-136.35</v>
      </c>
      <c r="CG3714" s="74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58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58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58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27">
        <v>45260</v>
      </c>
      <c r="B3718" s="24" t="s">
        <v>37</v>
      </c>
      <c r="C3718" s="21">
        <f t="shared" si="58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58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58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58"/>
        <v>0</v>
      </c>
    </row>
    <row r="3722" spans="1:227" x14ac:dyDescent="0.25">
      <c r="A3722" s="127">
        <v>45264</v>
      </c>
      <c r="B3722" s="24" t="s">
        <v>184</v>
      </c>
      <c r="C3722" s="21">
        <f t="shared" si="58"/>
        <v>-81.834999999999994</v>
      </c>
      <c r="DK3722" s="74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58"/>
        <v>-91.51</v>
      </c>
      <c r="AN3723" s="74">
        <v>-17.245000000000001</v>
      </c>
      <c r="AR3723" s="74">
        <v>-18.45</v>
      </c>
      <c r="AW3723" s="74">
        <v>-23.19</v>
      </c>
      <c r="CG3723" s="74">
        <v>-16.635000000000002</v>
      </c>
      <c r="CM3723" s="74">
        <v>-15.99</v>
      </c>
    </row>
    <row r="3724" spans="1:227" x14ac:dyDescent="0.25">
      <c r="A3724" s="127">
        <v>45265</v>
      </c>
      <c r="B3724" s="24" t="s">
        <v>186</v>
      </c>
      <c r="C3724" s="21">
        <f t="shared" si="58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58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58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58"/>
        <v>-60.33</v>
      </c>
      <c r="BI3727" s="74">
        <v>-60.33</v>
      </c>
    </row>
    <row r="3728" spans="1:227" x14ac:dyDescent="0.25">
      <c r="A3728" s="127">
        <v>45265</v>
      </c>
      <c r="B3728" s="24" t="s">
        <v>174</v>
      </c>
      <c r="C3728" s="21">
        <f t="shared" si="58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58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58"/>
        <v>-49.924999999999997</v>
      </c>
      <c r="AW3730" s="74">
        <v>-8.2200000000000006</v>
      </c>
      <c r="CG3730" s="74">
        <v>-8.5150000000000006</v>
      </c>
      <c r="CM3730" s="74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58"/>
        <v>-8.34</v>
      </c>
      <c r="CG3731" s="74">
        <v>-8.34</v>
      </c>
    </row>
    <row r="3732" spans="1:233" x14ac:dyDescent="0.25">
      <c r="A3732" s="127">
        <v>45265</v>
      </c>
      <c r="B3732" s="24" t="s">
        <v>138</v>
      </c>
      <c r="C3732" s="21">
        <f t="shared" si="58"/>
        <v>-8.5050000000000008</v>
      </c>
      <c r="BO3732" s="74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58"/>
        <v>-65.995000000000005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74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58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58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58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58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58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27">
        <v>45266</v>
      </c>
      <c r="B3739" s="24" t="s">
        <v>37</v>
      </c>
      <c r="C3739" s="21">
        <f t="shared" si="58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58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58"/>
        <v>-42.77</v>
      </c>
      <c r="BI3741" s="74">
        <v>-8.8249999999999993</v>
      </c>
      <c r="CA3741" s="74">
        <v>-8.23</v>
      </c>
      <c r="CG3741" s="74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58"/>
        <v>-52.125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27">
        <v>45267</v>
      </c>
      <c r="B3743" s="24" t="s">
        <v>127</v>
      </c>
      <c r="C3743" s="21">
        <f t="shared" si="58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58"/>
        <v>-17.14</v>
      </c>
      <c r="BI3744" s="74">
        <v>-8.91</v>
      </c>
      <c r="CA3744" s="74">
        <v>-8.23</v>
      </c>
    </row>
    <row r="3745" spans="1:214" x14ac:dyDescent="0.25">
      <c r="A3745" s="127">
        <v>45267</v>
      </c>
      <c r="B3745" s="24" t="s">
        <v>20</v>
      </c>
      <c r="C3745" s="21">
        <f t="shared" si="58"/>
        <v>-8.42</v>
      </c>
      <c r="CA3745" s="74">
        <v>-8.42</v>
      </c>
    </row>
    <row r="3746" spans="1:214" x14ac:dyDescent="0.25">
      <c r="A3746" s="127">
        <v>45267</v>
      </c>
      <c r="B3746" s="24" t="s">
        <v>139</v>
      </c>
      <c r="C3746" s="21">
        <f t="shared" si="58"/>
        <v>-8.9250000000000007</v>
      </c>
      <c r="BI3746" s="74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58"/>
        <v>-26.67</v>
      </c>
      <c r="BI3747" s="74">
        <v>-26.67</v>
      </c>
    </row>
    <row r="3748" spans="1:214" x14ac:dyDescent="0.25">
      <c r="A3748" s="127">
        <v>45267</v>
      </c>
      <c r="B3748" s="24" t="s">
        <v>25</v>
      </c>
      <c r="C3748" s="21">
        <f t="shared" si="58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27">
        <v>45269</v>
      </c>
      <c r="B3749" s="24" t="s">
        <v>48</v>
      </c>
      <c r="C3749" s="21">
        <f t="shared" si="58"/>
        <v>-17.295000000000002</v>
      </c>
      <c r="CG3749" s="74">
        <v>-8.8450000000000006</v>
      </c>
      <c r="CM3749" s="74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58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58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58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27">
        <v>45271</v>
      </c>
      <c r="B3753" s="24" t="s">
        <v>44</v>
      </c>
      <c r="C3753" s="21">
        <f t="shared" si="58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58"/>
        <v>-16.984999999999999</v>
      </c>
      <c r="CM3754" s="74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58"/>
        <v>-8.5150000000000006</v>
      </c>
      <c r="CG3755" s="74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58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58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74">
        <v>-25</v>
      </c>
      <c r="CM3757" s="74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58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58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58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59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59"/>
        <v>-53.765000000000001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74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59"/>
        <v>-136.69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59"/>
        <v>-65.569999999999993</v>
      </c>
      <c r="BU3764" s="74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59"/>
        <v>-8.4600000000000009</v>
      </c>
      <c r="CM3765" s="74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59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59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59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59"/>
        <v>-54.924999999999997</v>
      </c>
      <c r="AA3769" s="42">
        <v>-8.0299999999999994</v>
      </c>
      <c r="BO3769" s="74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59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59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59"/>
        <v>-8.4450000000000003</v>
      </c>
      <c r="CM3772" s="74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59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59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59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59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59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59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59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59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59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59"/>
        <v>612.41999999999996</v>
      </c>
      <c r="BO3782" s="74">
        <v>95.515000000000001</v>
      </c>
      <c r="BU3782" s="74">
        <v>99.07</v>
      </c>
      <c r="CG3782" s="74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59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59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74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59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59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59"/>
        <v>-49.765000000000001</v>
      </c>
      <c r="BI3787" s="74">
        <v>-8.85</v>
      </c>
      <c r="BO3787" s="74">
        <v>-8.08</v>
      </c>
      <c r="CA3787" s="74">
        <v>-7.9950000000000001</v>
      </c>
      <c r="CG3787" s="74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59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59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59"/>
        <v>-82.515000000000001</v>
      </c>
      <c r="BU3790" s="74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59"/>
        <v>-8.18</v>
      </c>
      <c r="BO3791" s="74">
        <v>-8.18</v>
      </c>
    </row>
    <row r="3792" spans="1:226" x14ac:dyDescent="0.25">
      <c r="A3792" s="127">
        <v>45282</v>
      </c>
      <c r="B3792" s="24" t="s">
        <v>68</v>
      </c>
      <c r="C3792" s="21">
        <f t="shared" si="59"/>
        <v>-131.965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59"/>
        <v>-35.869999999999997</v>
      </c>
      <c r="BC3793" s="74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59"/>
        <v>0</v>
      </c>
    </row>
    <row r="3795" spans="1:208" x14ac:dyDescent="0.25">
      <c r="A3795" s="127">
        <v>45285</v>
      </c>
      <c r="B3795" s="24" t="s">
        <v>184</v>
      </c>
      <c r="C3795" s="21">
        <f t="shared" si="59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59"/>
        <v>-130.505</v>
      </c>
      <c r="BI3796" s="74">
        <v>-33.520000000000003</v>
      </c>
      <c r="BU3796" s="74">
        <v>-33.935000000000002</v>
      </c>
      <c r="CA3796" s="74">
        <v>-31.125</v>
      </c>
      <c r="CG3796" s="74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59"/>
        <v>-16.38</v>
      </c>
      <c r="BC3797" s="74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59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59"/>
        <v>1122.58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74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59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59"/>
        <v>-8.6</v>
      </c>
      <c r="BC3801" s="74">
        <v>-8.6</v>
      </c>
    </row>
    <row r="3802" spans="1:208" x14ac:dyDescent="0.25">
      <c r="A3802" s="127">
        <v>45286</v>
      </c>
      <c r="B3802" s="24" t="s">
        <v>75</v>
      </c>
      <c r="C3802" s="21">
        <f t="shared" si="59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74">
        <v>-16.079999999999998</v>
      </c>
      <c r="CM3802" s="74">
        <v>-24.78</v>
      </c>
    </row>
    <row r="3803" spans="1:208" x14ac:dyDescent="0.25">
      <c r="A3803" s="127">
        <v>45286</v>
      </c>
      <c r="B3803" s="24" t="s">
        <v>20</v>
      </c>
      <c r="C3803" s="21">
        <f t="shared" si="59"/>
        <v>-24.664999999999999</v>
      </c>
      <c r="BU3803" s="74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59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59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59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59"/>
        <v>-42.31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59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59"/>
        <v>-475.78500000000003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59"/>
        <v>-497.86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59"/>
        <v>-196.91499999999999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74">
        <v>-24.21</v>
      </c>
      <c r="CY3811" s="74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59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74">
        <v>-7.9850000000000003</v>
      </c>
      <c r="CS3812" s="74">
        <v>-8.39</v>
      </c>
      <c r="CY3812" s="74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59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59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59"/>
        <v>-16.77</v>
      </c>
      <c r="AR3815" s="74">
        <v>-9.0299999999999994</v>
      </c>
      <c r="BI3815" s="74">
        <v>-7.74</v>
      </c>
    </row>
    <row r="3816" spans="1:208" x14ac:dyDescent="0.25">
      <c r="A3816" s="127">
        <v>45289</v>
      </c>
      <c r="B3816" s="24" t="s">
        <v>84</v>
      </c>
      <c r="C3816" s="21">
        <f t="shared" si="59"/>
        <v>-88.32</v>
      </c>
      <c r="Z3816" s="79">
        <v>-7.5</v>
      </c>
      <c r="AN3816" s="74">
        <v>-26.01</v>
      </c>
      <c r="CG3816" s="74">
        <v>-24.94</v>
      </c>
      <c r="CM3816" s="74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59"/>
        <v>-56.15</v>
      </c>
      <c r="CA3817" s="74">
        <v>-7.9850000000000003</v>
      </c>
      <c r="CG3817" s="74">
        <v>-24.065000000000001</v>
      </c>
      <c r="CM3817" s="74">
        <v>-24.1</v>
      </c>
    </row>
    <row r="3818" spans="1:208" x14ac:dyDescent="0.25">
      <c r="A3818" s="127">
        <v>45289</v>
      </c>
      <c r="B3818" s="24" t="s">
        <v>138</v>
      </c>
      <c r="C3818" s="21">
        <f t="shared" si="59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74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27">
        <v>45289</v>
      </c>
      <c r="B3819" s="24" t="s">
        <v>151</v>
      </c>
      <c r="C3819" s="21">
        <f t="shared" si="59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59"/>
        <v>-116.66</v>
      </c>
      <c r="CG3820" s="74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27">
        <v>45289</v>
      </c>
      <c r="B3821" s="24" t="s">
        <v>32</v>
      </c>
      <c r="C3821" s="21">
        <f t="shared" si="59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59"/>
        <v>-34.145000000000003</v>
      </c>
      <c r="CY3822" s="74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59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59"/>
        <v>-16.25</v>
      </c>
      <c r="DK3824" s="74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0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0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0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0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0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0"/>
        <v>-40.520000000000003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27">
        <v>45296</v>
      </c>
      <c r="B3831" s="24" t="s">
        <v>65</v>
      </c>
      <c r="C3831" s="21">
        <f t="shared" si="60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0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0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0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0"/>
        <v>-8.18</v>
      </c>
      <c r="BI3835" s="74">
        <v>-8.18</v>
      </c>
    </row>
    <row r="3836" spans="1:208" x14ac:dyDescent="0.25">
      <c r="A3836" s="127">
        <v>45296</v>
      </c>
      <c r="B3836" s="24" t="s">
        <v>48</v>
      </c>
      <c r="C3836" s="21">
        <f t="shared" si="60"/>
        <v>-17.195</v>
      </c>
      <c r="BI3836" s="74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0"/>
        <v>-15.9</v>
      </c>
      <c r="CG3837" s="74">
        <v>-15.9</v>
      </c>
    </row>
    <row r="3838" spans="1:208" x14ac:dyDescent="0.25">
      <c r="A3838" s="127">
        <v>45297</v>
      </c>
      <c r="B3838" s="24" t="s">
        <v>113</v>
      </c>
      <c r="C3838" s="21">
        <f t="shared" si="60"/>
        <v>2389.2800000000002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74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0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74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0"/>
        <v>-127.375</v>
      </c>
      <c r="BC3840" s="74">
        <v>-27.89</v>
      </c>
      <c r="BU3840" s="74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0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0"/>
        <v>-52.945</v>
      </c>
      <c r="AW3842" s="74">
        <v>-18.03</v>
      </c>
      <c r="CA3842" s="74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0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-26.105</v>
      </c>
      <c r="BO3843" s="74">
        <f>-8.15-8.18-8.165</f>
        <v>-24.495000000000001</v>
      </c>
      <c r="BU3843" s="74">
        <v>-7.93</v>
      </c>
      <c r="CA3843" s="74">
        <f>-8.275-7.96</f>
        <v>-16.234999999999999</v>
      </c>
      <c r="CG3843" s="74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0"/>
        <v>-17.71</v>
      </c>
      <c r="AN3844" s="74">
        <v>-8.66</v>
      </c>
      <c r="AR3844" s="74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0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0"/>
        <v>-447.54500000000002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0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74">
        <v>-33.64</v>
      </c>
      <c r="CM3847" s="74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0"/>
        <v>-17.135000000000002</v>
      </c>
      <c r="BU3848" s="74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0"/>
        <v>-8.9700000000000006</v>
      </c>
      <c r="AR3849" s="74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0"/>
        <v>-8.1750000000000007</v>
      </c>
      <c r="BO3850" s="74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0"/>
        <v>-15.63</v>
      </c>
      <c r="CG3851" s="74">
        <v>-8.2949999999999999</v>
      </c>
      <c r="CM3851" s="74">
        <v>-7.335</v>
      </c>
    </row>
    <row r="3852" spans="1:208" x14ac:dyDescent="0.25">
      <c r="A3852" s="127">
        <v>45300</v>
      </c>
      <c r="B3852" s="24" t="s">
        <v>20</v>
      </c>
      <c r="C3852" s="21">
        <f t="shared" si="60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0"/>
        <v>0</v>
      </c>
    </row>
    <row r="3854" spans="1:208" x14ac:dyDescent="0.25">
      <c r="A3854" s="127">
        <v>45300</v>
      </c>
      <c r="B3854" s="24" t="s">
        <v>48</v>
      </c>
      <c r="C3854" s="21">
        <f t="shared" si="60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0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0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0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0"/>
        <v>-32.5</v>
      </c>
      <c r="CA3858" s="74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0"/>
        <v>-34.634999999999998</v>
      </c>
      <c r="BI3859" s="74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0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0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74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0"/>
        <v>-49.26</v>
      </c>
      <c r="CA3862" s="74">
        <v>-8.1300000000000008</v>
      </c>
      <c r="CG3862" s="74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0"/>
        <v>-241.97499999999999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74">
        <v>-8.5299999999999994</v>
      </c>
      <c r="CM3863" s="74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0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27">
        <v>45303</v>
      </c>
      <c r="B3865" s="24" t="s">
        <v>169</v>
      </c>
      <c r="C3865" s="21">
        <f t="shared" si="60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0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27">
        <v>45303</v>
      </c>
      <c r="B3867" s="24" t="s">
        <v>18</v>
      </c>
      <c r="C3867" s="21">
        <f t="shared" si="60"/>
        <v>-492.68200000000002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74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0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0"/>
        <v>-84.954999999999998</v>
      </c>
      <c r="BC3869" s="74">
        <v>-51.994999999999997</v>
      </c>
      <c r="BU3869" s="74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0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0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74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0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0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0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0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0"/>
        <v>-40.98</v>
      </c>
      <c r="BU3876" s="74">
        <v>-8.1649999999999991</v>
      </c>
      <c r="CA3876" s="74">
        <v>-16.18</v>
      </c>
      <c r="CG3876" s="74">
        <v>-8.4949999999999992</v>
      </c>
      <c r="CM3876" s="74">
        <v>-8.14</v>
      </c>
    </row>
    <row r="3877" spans="1:237" x14ac:dyDescent="0.25">
      <c r="A3877" s="127">
        <v>45307</v>
      </c>
      <c r="B3877" s="24" t="s">
        <v>169</v>
      </c>
      <c r="C3877" s="21">
        <f t="shared" si="60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0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0"/>
        <v>2404.12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74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0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0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0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0"/>
        <v>-33.83</v>
      </c>
      <c r="CG3883" s="74">
        <v>-33.83</v>
      </c>
    </row>
    <row r="3884" spans="1:237" x14ac:dyDescent="0.25">
      <c r="A3884" s="127">
        <v>45308</v>
      </c>
      <c r="B3884" s="24" t="s">
        <v>44</v>
      </c>
      <c r="C3884" s="21">
        <f t="shared" si="60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0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0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0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0"/>
        <v>-27.46</v>
      </c>
      <c r="BC3888" s="74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1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1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1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1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1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1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1"/>
        <v>-1710.34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74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1"/>
        <v>-66.495000000000005</v>
      </c>
      <c r="AW3896" s="74">
        <v>-33.47</v>
      </c>
      <c r="CG3896" s="74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1"/>
        <v>-67.75</v>
      </c>
      <c r="DK3897" s="74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1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1"/>
        <v>-99.885000000000005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1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27">
        <v>45314</v>
      </c>
      <c r="B3901" s="24" t="s">
        <v>184</v>
      </c>
      <c r="C3901" s="21">
        <f t="shared" si="61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74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1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27">
        <v>45314</v>
      </c>
      <c r="B3903" s="24" t="s">
        <v>50</v>
      </c>
      <c r="C3903" s="21">
        <f t="shared" si="61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1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27">
        <v>45314</v>
      </c>
      <c r="B3905" s="24" t="s">
        <v>178</v>
      </c>
      <c r="C3905" s="21">
        <f t="shared" si="61"/>
        <v>-122.125</v>
      </c>
      <c r="BC3905" s="74">
        <v>-56.68</v>
      </c>
      <c r="BU3905" s="74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1"/>
        <v>-8.4600000000000009</v>
      </c>
      <c r="BO3906" s="74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1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27">
        <v>45314</v>
      </c>
      <c r="B3908" s="24" t="s">
        <v>17</v>
      </c>
      <c r="C3908" s="21">
        <f t="shared" si="61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27">
        <v>45315</v>
      </c>
      <c r="B3909" s="24" t="s">
        <v>184</v>
      </c>
      <c r="C3909" s="21">
        <f t="shared" si="61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1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1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1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1"/>
        <v>2236.9050000000002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74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1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74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1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1"/>
        <v>-187.7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74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1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1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1"/>
        <v>-7.49</v>
      </c>
      <c r="BI3919" s="74">
        <v>-7.49</v>
      </c>
    </row>
    <row r="3920" spans="1:208" x14ac:dyDescent="0.25">
      <c r="A3920" s="127">
        <v>45317</v>
      </c>
      <c r="B3920" s="24" t="s">
        <v>33</v>
      </c>
      <c r="C3920" s="21">
        <f t="shared" si="61"/>
        <v>-24.385000000000002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1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1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1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74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1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1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1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1"/>
        <v>-9.0399999999999991</v>
      </c>
      <c r="CA3927" s="74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1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1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1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1"/>
        <v>-66.95</v>
      </c>
      <c r="BC3931" s="74">
        <v>-34.43</v>
      </c>
      <c r="BU3931" s="74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1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1"/>
        <v>-31.04</v>
      </c>
      <c r="AW3933" s="74">
        <v>-8.3550000000000004</v>
      </c>
      <c r="BC3933" s="74">
        <v>-6.6449999999999996</v>
      </c>
      <c r="BI3933" s="74">
        <v>-7.46</v>
      </c>
      <c r="CG3933" s="74">
        <v>-8.58</v>
      </c>
    </row>
    <row r="3934" spans="1:235" x14ac:dyDescent="0.25">
      <c r="A3934" s="127">
        <v>45321</v>
      </c>
      <c r="B3934" s="24" t="s">
        <v>167</v>
      </c>
      <c r="C3934" s="21">
        <f t="shared" si="61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1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1"/>
        <v>-5.6</v>
      </c>
      <c r="CG3936" s="74">
        <v>-3.6</v>
      </c>
      <c r="CM3936" s="74">
        <v>-2</v>
      </c>
    </row>
    <row r="3937" spans="1:167" x14ac:dyDescent="0.25">
      <c r="A3937" s="127">
        <v>45323</v>
      </c>
      <c r="B3937" s="24" t="s">
        <v>133</v>
      </c>
      <c r="C3937" s="21">
        <f t="shared" si="61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1"/>
        <v>-42.145000000000003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1"/>
        <v>-33.625</v>
      </c>
      <c r="DK3939" s="74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1"/>
        <v>-7.8849999999999998</v>
      </c>
      <c r="BO3940" s="74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1"/>
        <v>-356.71499999999997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1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1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1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27">
        <v>45327</v>
      </c>
      <c r="B3945" s="24" t="s">
        <v>184</v>
      </c>
      <c r="C3945" s="21">
        <f t="shared" si="61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1"/>
        <v>-166.29</v>
      </c>
      <c r="CM3946" s="74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1"/>
        <v>-7.71</v>
      </c>
      <c r="BO3947" s="74">
        <v>-7.71</v>
      </c>
    </row>
    <row r="3948" spans="1:167" x14ac:dyDescent="0.25">
      <c r="A3948" s="127">
        <v>45328</v>
      </c>
      <c r="B3948" s="24" t="s">
        <v>139</v>
      </c>
      <c r="C3948" s="21">
        <f t="shared" si="61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1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1"/>
        <v>-17.535</v>
      </c>
      <c r="AN3950" s="74">
        <v>-8.84</v>
      </c>
      <c r="BC3950" s="74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1"/>
        <v>-16.2</v>
      </c>
      <c r="CG3951" s="74">
        <v>-16.2</v>
      </c>
    </row>
    <row r="3952" spans="1:167" x14ac:dyDescent="0.25">
      <c r="A3952" s="127">
        <v>45328</v>
      </c>
      <c r="B3952" s="24" t="s">
        <v>156</v>
      </c>
      <c r="C3952" s="21">
        <f t="shared" si="61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2">SUM(D3953:JT3953)</f>
        <v>-67.504999999999995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2"/>
        <v>-26.26</v>
      </c>
      <c r="AW3954" s="74">
        <v>-9</v>
      </c>
      <c r="CA3954" s="74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2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74">
        <v>-26.024999999999999</v>
      </c>
      <c r="CM3955" s="74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2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2"/>
        <v>-143.05500000000001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27">
        <v>45330</v>
      </c>
      <c r="B3958" s="24" t="s">
        <v>44</v>
      </c>
      <c r="C3958" s="21">
        <f t="shared" si="62"/>
        <v>0</v>
      </c>
    </row>
    <row r="3959" spans="1:226" x14ac:dyDescent="0.25">
      <c r="A3959" s="127">
        <v>45330</v>
      </c>
      <c r="B3959" s="24" t="s">
        <v>183</v>
      </c>
      <c r="C3959" s="21">
        <f t="shared" si="62"/>
        <v>-8.1349999999999998</v>
      </c>
      <c r="CY3959" s="74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2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2"/>
        <v>0</v>
      </c>
    </row>
    <row r="3962" spans="1:226" x14ac:dyDescent="0.25">
      <c r="A3962" s="127">
        <v>45331</v>
      </c>
      <c r="B3962" s="24" t="s">
        <v>20</v>
      </c>
      <c r="C3962" s="21">
        <f t="shared" si="62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2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2"/>
        <v>-32.93</v>
      </c>
      <c r="BO3964" s="74">
        <v>-16.14</v>
      </c>
      <c r="CG3964" s="74">
        <v>-16.79</v>
      </c>
    </row>
    <row r="3965" spans="1:226" x14ac:dyDescent="0.25">
      <c r="A3965" s="127">
        <v>45331</v>
      </c>
      <c r="B3965" s="24" t="s">
        <v>18</v>
      </c>
      <c r="C3965" s="21">
        <f t="shared" si="62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74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27">
        <v>45331</v>
      </c>
      <c r="B3966" s="24" t="s">
        <v>18</v>
      </c>
      <c r="C3966" s="21">
        <f t="shared" si="62"/>
        <v>-326.87</v>
      </c>
      <c r="BO3966" s="74">
        <v>-31.48</v>
      </c>
      <c r="CA3966" s="74">
        <v>-6.53</v>
      </c>
      <c r="CG3966" s="74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2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2"/>
        <v>-263.63499999999999</v>
      </c>
      <c r="BC3968" s="74">
        <v>-32.15</v>
      </c>
      <c r="CG3968" s="74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2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2"/>
        <v>-229.07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74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2"/>
        <v>-202.04</v>
      </c>
      <c r="BC3971" s="74">
        <v>-65.424999999999997</v>
      </c>
      <c r="BO3971" s="74">
        <v>-30.19</v>
      </c>
      <c r="CG3971" s="74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2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2"/>
        <v>-41.23</v>
      </c>
      <c r="CG3973" s="74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2"/>
        <v>-88.1</v>
      </c>
      <c r="P3974" s="106">
        <v>-7.92</v>
      </c>
      <c r="Z3974" s="79">
        <v>-8.0299999999999994</v>
      </c>
      <c r="BO3974" s="74">
        <v>-8.07</v>
      </c>
      <c r="CG3974" s="74">
        <v>-33.075000000000003</v>
      </c>
      <c r="CY3974" s="74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2"/>
        <v>-8.1549999999999994</v>
      </c>
      <c r="CA3975" s="74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2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2"/>
        <v>-24.87</v>
      </c>
      <c r="CA3977" s="74">
        <v>-8.0950000000000006</v>
      </c>
      <c r="CG3977" s="74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2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2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2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2"/>
        <v>0</v>
      </c>
    </row>
    <row r="3982" spans="1:226" x14ac:dyDescent="0.25">
      <c r="A3982" s="127">
        <v>45336</v>
      </c>
      <c r="B3982" s="24" t="s">
        <v>44</v>
      </c>
      <c r="C3982" s="21">
        <f t="shared" si="62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2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2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2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2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2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2"/>
        <v>-23.17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27">
        <v>45338</v>
      </c>
      <c r="B3989" s="24" t="s">
        <v>138</v>
      </c>
      <c r="C3989" s="21">
        <f t="shared" si="62"/>
        <v>-40.08</v>
      </c>
      <c r="T3989" s="42">
        <v>-7.82</v>
      </c>
      <c r="BO3989" s="74">
        <v>-8.09</v>
      </c>
      <c r="CG3989" s="74">
        <v>-7.95</v>
      </c>
      <c r="CM3989" s="74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2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2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2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2"/>
        <v>-33.65</v>
      </c>
      <c r="AR3993" s="74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2"/>
        <v>-16.745000000000001</v>
      </c>
      <c r="CA3994" s="74">
        <v>-8.15</v>
      </c>
      <c r="CG3994" s="74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2"/>
        <v>-7.18</v>
      </c>
      <c r="CA3995" s="74">
        <v>-7.18</v>
      </c>
    </row>
    <row r="3996" spans="1:221" x14ac:dyDescent="0.25">
      <c r="A3996" s="127">
        <v>45342</v>
      </c>
      <c r="B3996" s="24" t="s">
        <v>113</v>
      </c>
      <c r="C3996" s="21">
        <f t="shared" si="62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74">
        <v>98.165000000000006</v>
      </c>
      <c r="CM3996" s="74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2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2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27">
        <v>45343</v>
      </c>
      <c r="B3999" s="24" t="s">
        <v>191</v>
      </c>
      <c r="C3999" s="21">
        <f t="shared" si="62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2"/>
        <v>-14.49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2"/>
        <v>-199.595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74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2"/>
        <v>-32.305</v>
      </c>
      <c r="BO4002" s="74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2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2"/>
        <v>-33.49</v>
      </c>
      <c r="BI4004" s="74">
        <v>-8.1950000000000003</v>
      </c>
      <c r="CA4004" s="74">
        <v>-8.7349999999999994</v>
      </c>
      <c r="CG4004" s="74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2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2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2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2"/>
        <v>-25.925000000000001</v>
      </c>
      <c r="BI4008" s="74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2"/>
        <v>-16.78</v>
      </c>
      <c r="BO4009" s="74">
        <v>-16.78</v>
      </c>
    </row>
    <row r="4010" spans="1:226" x14ac:dyDescent="0.25">
      <c r="A4010" s="127">
        <v>45405</v>
      </c>
      <c r="B4010" s="24" t="s">
        <v>79</v>
      </c>
      <c r="C4010" s="21">
        <f t="shared" si="62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2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2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2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2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2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2"/>
        <v>-114.495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3">SUM(D4017:JT4017)</f>
        <v>-16.62</v>
      </c>
      <c r="CY4017" s="74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3"/>
        <v>-98.52</v>
      </c>
      <c r="BL4018" s="115">
        <v>-33.549999999999997</v>
      </c>
      <c r="BO4018" s="74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3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3"/>
        <v>-24.76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3"/>
        <v>-16.47</v>
      </c>
      <c r="BL4021" s="115">
        <v>-8.4</v>
      </c>
      <c r="BO4021" s="74">
        <v>-8.07</v>
      </c>
    </row>
    <row r="4022" spans="1:214" x14ac:dyDescent="0.25">
      <c r="A4022" s="127">
        <v>45349</v>
      </c>
      <c r="B4022" s="24" t="s">
        <v>75</v>
      </c>
      <c r="C4022" s="21">
        <f t="shared" si="63"/>
        <v>-24.375</v>
      </c>
      <c r="BI4022" s="74">
        <v>-7.92</v>
      </c>
      <c r="BL4022" s="115">
        <v>-8.3800000000000008</v>
      </c>
      <c r="BO4022" s="74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3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3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27">
        <v>45349</v>
      </c>
      <c r="B4025" s="24" t="s">
        <v>20</v>
      </c>
      <c r="C4025" s="21">
        <f t="shared" si="63"/>
        <v>-15.914999999999999</v>
      </c>
      <c r="BI4025" s="74">
        <v>-7.9950000000000001</v>
      </c>
      <c r="BO4025" s="74">
        <v>-7.92</v>
      </c>
    </row>
    <row r="4026" spans="1:214" x14ac:dyDescent="0.25">
      <c r="A4026" s="127">
        <v>45349</v>
      </c>
      <c r="B4026" s="24" t="s">
        <v>37</v>
      </c>
      <c r="C4026" s="21">
        <f t="shared" si="63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3"/>
        <v>1065.7349999999999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74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3"/>
        <v>-1428.425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74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3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3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3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3"/>
        <v>0</v>
      </c>
    </row>
    <row r="4033" spans="1:180" x14ac:dyDescent="0.25">
      <c r="A4033" s="127">
        <v>45351</v>
      </c>
      <c r="B4033" s="24" t="s">
        <v>152</v>
      </c>
      <c r="C4033" s="21">
        <f t="shared" si="63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3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3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3"/>
        <v>-66.775000000000006</v>
      </c>
      <c r="BU4036" s="74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3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3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3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3"/>
        <v>-25.184999999999999</v>
      </c>
      <c r="AW4040" s="74">
        <v>-9.06</v>
      </c>
      <c r="BO4040" s="74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3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3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3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3"/>
        <v>-34.765000000000001</v>
      </c>
      <c r="AR4044" s="74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3"/>
        <v>-31.82</v>
      </c>
      <c r="BC4045" s="74">
        <v>-8.15</v>
      </c>
      <c r="BO4045" s="74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3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3"/>
        <v>-17.350000000000001</v>
      </c>
      <c r="CY4047" s="74">
        <v>-8.4600000000000009</v>
      </c>
      <c r="DK4047" s="74">
        <v>-8.89</v>
      </c>
    </row>
    <row r="4048" spans="1:180" x14ac:dyDescent="0.25">
      <c r="A4048" s="127">
        <v>45356</v>
      </c>
      <c r="B4048" s="24" t="s">
        <v>138</v>
      </c>
      <c r="C4048" s="21">
        <f t="shared" si="63"/>
        <v>-24.3</v>
      </c>
      <c r="BA4048" s="42">
        <v>-17.84</v>
      </c>
      <c r="CA4048" s="74">
        <v>-6.46</v>
      </c>
    </row>
    <row r="4049" spans="1:221" x14ac:dyDescent="0.25">
      <c r="A4049" s="127">
        <v>45356</v>
      </c>
      <c r="B4049" s="24" t="s">
        <v>139</v>
      </c>
      <c r="C4049" s="21">
        <f t="shared" si="63"/>
        <v>-57.4</v>
      </c>
      <c r="BS4049" s="42">
        <v>-8.2100000000000009</v>
      </c>
      <c r="CA4049" s="74">
        <v>-6.48</v>
      </c>
      <c r="CG4049" s="74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3"/>
        <v>-54.96</v>
      </c>
      <c r="BL4050" s="115">
        <v>-8.3699999999999992</v>
      </c>
      <c r="CA4050" s="74">
        <v>-6.44</v>
      </c>
      <c r="CG4050" s="74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3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3"/>
        <v>-6.58</v>
      </c>
      <c r="BI4052" s="74">
        <v>-6.58</v>
      </c>
    </row>
    <row r="4053" spans="1:221" x14ac:dyDescent="0.25">
      <c r="A4053" s="127">
        <v>45357</v>
      </c>
      <c r="B4053" s="24" t="s">
        <v>133</v>
      </c>
      <c r="C4053" s="21">
        <f t="shared" si="63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3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3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3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3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3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74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3"/>
        <v>-17.155000000000001</v>
      </c>
      <c r="BM4059" s="88">
        <v>-8.81</v>
      </c>
      <c r="BU4059" s="74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3"/>
        <v>0</v>
      </c>
    </row>
    <row r="4061" spans="1:221" x14ac:dyDescent="0.25">
      <c r="A4061" s="127">
        <v>45359</v>
      </c>
      <c r="B4061" s="24" t="s">
        <v>188</v>
      </c>
      <c r="C4061" s="21">
        <f t="shared" si="63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3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3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3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3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3"/>
        <v>0</v>
      </c>
    </row>
    <row r="4067" spans="1:224" x14ac:dyDescent="0.25">
      <c r="A4067" s="127">
        <v>45362</v>
      </c>
      <c r="B4067" s="24" t="s">
        <v>133</v>
      </c>
      <c r="C4067" s="21">
        <f t="shared" si="63"/>
        <v>-96.98</v>
      </c>
      <c r="DE4067" s="74">
        <v>-34.204999999999998</v>
      </c>
      <c r="DK4067" s="74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3"/>
        <v>-17.68</v>
      </c>
      <c r="AW4068" s="74">
        <v>-9.3450000000000006</v>
      </c>
      <c r="BU4068" s="74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3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3"/>
        <v>-101.325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3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3"/>
        <v>-25.454999999999998</v>
      </c>
      <c r="CS4072" s="74">
        <v>-16.95</v>
      </c>
      <c r="DK4072" s="74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3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3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3"/>
        <v>521.22500000000002</v>
      </c>
      <c r="BI4075" s="74">
        <v>35.155000000000001</v>
      </c>
      <c r="BO4075" s="74">
        <v>33.284999999999997</v>
      </c>
      <c r="BU4075" s="74">
        <v>32.4</v>
      </c>
      <c r="CG4075" s="74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3"/>
        <v>-693.03499999999997</v>
      </c>
      <c r="CG4076" s="74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3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3"/>
        <v>-14.57</v>
      </c>
      <c r="BC4078" s="74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3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3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4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4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4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4"/>
        <v>-16.305</v>
      </c>
      <c r="BI4084" s="74">
        <v>-7.92</v>
      </c>
      <c r="BO4084" s="74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4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4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4"/>
        <v>-15.3</v>
      </c>
      <c r="BC4087" s="74">
        <v>-7.3</v>
      </c>
      <c r="BI4087" s="74">
        <v>-8</v>
      </c>
    </row>
    <row r="4088" spans="1:231" x14ac:dyDescent="0.25">
      <c r="A4088" s="127">
        <v>45370</v>
      </c>
      <c r="B4088" s="24" t="s">
        <v>139</v>
      </c>
      <c r="C4088" s="21">
        <f t="shared" si="64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4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4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4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4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6">
        <v>-7.56</v>
      </c>
      <c r="CG4092" s="74">
        <v>-8.24</v>
      </c>
    </row>
    <row r="4093" spans="1:231" x14ac:dyDescent="0.25">
      <c r="A4093" s="127">
        <v>45372</v>
      </c>
      <c r="B4093" s="24" t="s">
        <v>183</v>
      </c>
      <c r="C4093" s="21">
        <f t="shared" si="64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4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4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4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27">
        <v>45373</v>
      </c>
      <c r="B4097" s="24" t="s">
        <v>44</v>
      </c>
      <c r="C4097" s="21">
        <f t="shared" si="64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4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4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4"/>
        <v>939.16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4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4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4"/>
        <v>-50.475000000000001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4"/>
        <v>-8.75</v>
      </c>
      <c r="BI4104" s="74">
        <v>-8.75</v>
      </c>
    </row>
    <row r="4105" spans="1:235" x14ac:dyDescent="0.25">
      <c r="A4105" s="127">
        <v>45377</v>
      </c>
      <c r="B4105" s="24" t="s">
        <v>31</v>
      </c>
      <c r="C4105" s="21">
        <f t="shared" si="64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4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4"/>
        <v>-33.155000000000001</v>
      </c>
      <c r="BI4107" s="74">
        <v>-16.5</v>
      </c>
      <c r="BU4107" s="74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4"/>
        <v>-7.8</v>
      </c>
      <c r="BI4108" s="74">
        <v>-7.8</v>
      </c>
    </row>
    <row r="4109" spans="1:235" x14ac:dyDescent="0.25">
      <c r="A4109" s="127">
        <v>45377</v>
      </c>
      <c r="B4109" s="24" t="s">
        <v>20</v>
      </c>
      <c r="C4109" s="21">
        <f t="shared" si="64"/>
        <v>-16.245000000000001</v>
      </c>
      <c r="BU4109" s="74">
        <v>-8.0549999999999997</v>
      </c>
      <c r="CA4109" s="74">
        <v>-8.19</v>
      </c>
    </row>
    <row r="4110" spans="1:235" x14ac:dyDescent="0.25">
      <c r="A4110" s="127">
        <v>45377</v>
      </c>
      <c r="B4110" s="24" t="s">
        <v>184</v>
      </c>
      <c r="C4110" s="21">
        <f t="shared" si="64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4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4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4"/>
        <v>-101.11</v>
      </c>
      <c r="CG4113" s="74">
        <v>-33.884999999999998</v>
      </c>
      <c r="CY4113" s="74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4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4"/>
        <v>-96.405000000000001</v>
      </c>
      <c r="BC4115" s="74">
        <v>-8.3149999999999995</v>
      </c>
      <c r="BI4115" s="74">
        <v>-6.5</v>
      </c>
      <c r="CG4115" s="74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4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4"/>
        <v>-198.45500000000001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4"/>
        <v>-167.77500000000001</v>
      </c>
      <c r="BO4118" s="74">
        <v>-17.149999999999999</v>
      </c>
      <c r="BU4118" s="74">
        <v>-16.684999999999999</v>
      </c>
      <c r="CA4118" s="74">
        <v>-16.324999999999999</v>
      </c>
      <c r="CG4118" s="74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4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74">
        <v>-7.98</v>
      </c>
    </row>
    <row r="4120" spans="1:231" x14ac:dyDescent="0.25">
      <c r="A4120" s="127">
        <v>45380</v>
      </c>
      <c r="B4120" s="24" t="s">
        <v>48</v>
      </c>
      <c r="C4120" s="21">
        <f t="shared" si="64"/>
        <v>10.87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4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4"/>
        <v>-24.12</v>
      </c>
      <c r="DK4122" s="74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4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4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4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4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4"/>
        <v>-16.074999999999999</v>
      </c>
      <c r="CY4127" s="74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4"/>
        <v>-10.675000000000001</v>
      </c>
      <c r="CS4128" s="74">
        <v>-2.62</v>
      </c>
      <c r="CY4128" s="74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4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4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4"/>
        <v>0</v>
      </c>
    </row>
    <row r="4132" spans="1:131" x14ac:dyDescent="0.25">
      <c r="A4132" s="127">
        <v>45385</v>
      </c>
      <c r="B4132" s="24" t="s">
        <v>17</v>
      </c>
      <c r="C4132" s="21">
        <f t="shared" si="64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4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4"/>
        <v>-8.33</v>
      </c>
      <c r="BU4134" s="74">
        <v>-8.33</v>
      </c>
    </row>
    <row r="4135" spans="1:131" x14ac:dyDescent="0.25">
      <c r="A4135" s="127">
        <v>45387</v>
      </c>
      <c r="B4135" s="24" t="s">
        <v>113</v>
      </c>
      <c r="C4135" s="21">
        <f t="shared" si="64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74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4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74">
        <v>-16.61</v>
      </c>
      <c r="CM4136" s="74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4"/>
        <v>-133.08000000000001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4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27">
        <v>45387</v>
      </c>
      <c r="B4139" s="24" t="s">
        <v>133</v>
      </c>
      <c r="C4139" s="21">
        <f t="shared" si="64"/>
        <v>-94.625</v>
      </c>
      <c r="BI4139" s="74">
        <v>-61</v>
      </c>
      <c r="BO4139" s="74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4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4"/>
        <v>-27.19</v>
      </c>
      <c r="AR4141" s="74">
        <v>-3.92</v>
      </c>
      <c r="BC4141" s="74">
        <v>-6.65</v>
      </c>
      <c r="BO4141" s="74">
        <v>-8.34</v>
      </c>
      <c r="CG4141" s="74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4"/>
        <v>-41.18</v>
      </c>
      <c r="CA4142" s="74">
        <v>-8.1150000000000002</v>
      </c>
      <c r="CG4142" s="74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4"/>
        <v>-32.204999999999998</v>
      </c>
      <c r="BI4143" s="74">
        <v>-7.34</v>
      </c>
      <c r="BL4143" s="115">
        <v>-8.3699999999999992</v>
      </c>
      <c r="BO4143" s="74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4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5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5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5"/>
        <v>-65.215000000000003</v>
      </c>
      <c r="AW4147" s="74">
        <v>-9.3849999999999998</v>
      </c>
      <c r="BC4147" s="74">
        <v>-7.98</v>
      </c>
      <c r="BJ4147" s="121">
        <v>-7.39</v>
      </c>
      <c r="BO4147" s="74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5"/>
        <v>-16.27</v>
      </c>
      <c r="AN4148" s="74">
        <v>-8.2200000000000006</v>
      </c>
      <c r="BC4148" s="74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5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5"/>
        <v>-66.364999999999995</v>
      </c>
      <c r="AW4150" s="74">
        <v>-17.29</v>
      </c>
      <c r="BC4150" s="74">
        <v>-8.0549999999999997</v>
      </c>
      <c r="CG4150" s="74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5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5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5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5"/>
        <v>-34.75</v>
      </c>
      <c r="AW4154" s="74">
        <v>-9.42</v>
      </c>
      <c r="BC4154" s="74">
        <v>-8.0350000000000001</v>
      </c>
      <c r="BQ4154" s="126">
        <v>-9</v>
      </c>
      <c r="CG4154" s="74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5"/>
        <v>-8.1449999999999996</v>
      </c>
      <c r="CA4155" s="74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5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5"/>
        <v>-8.16</v>
      </c>
      <c r="CA4157" s="74">
        <v>-8.16</v>
      </c>
    </row>
    <row r="4158" spans="1:237" x14ac:dyDescent="0.25">
      <c r="A4158" s="127">
        <v>45404</v>
      </c>
      <c r="B4158" s="24" t="s">
        <v>37</v>
      </c>
      <c r="C4158" s="21">
        <f t="shared" si="65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5"/>
        <v>-33.99</v>
      </c>
      <c r="Z4159" s="79">
        <v>-8.0350000000000001</v>
      </c>
      <c r="BQ4159" s="126">
        <v>-9.07</v>
      </c>
      <c r="CG4159" s="74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5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5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5"/>
        <v>-17.71</v>
      </c>
      <c r="AW4162" s="74">
        <v>-9.23</v>
      </c>
      <c r="CM4162" s="74">
        <v>-8.48</v>
      </c>
    </row>
    <row r="4163" spans="1:235" x14ac:dyDescent="0.25">
      <c r="A4163" s="127">
        <v>45406</v>
      </c>
      <c r="B4163" s="24" t="s">
        <v>37</v>
      </c>
      <c r="C4163" s="21">
        <f t="shared" si="65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5"/>
        <v>-32.375</v>
      </c>
      <c r="Z4164" s="79">
        <v>-16.035</v>
      </c>
      <c r="CA4164" s="74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5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5"/>
        <v>-30.805</v>
      </c>
      <c r="DE4166" s="74">
        <v>-16.38</v>
      </c>
      <c r="DK4166" s="74">
        <v>-6.6950000000000003</v>
      </c>
      <c r="DM4166" s="150">
        <v>-7.73</v>
      </c>
    </row>
    <row r="4167" spans="1:235" x14ac:dyDescent="0.25">
      <c r="A4167" s="127">
        <v>45408</v>
      </c>
      <c r="B4167" s="24" t="s">
        <v>31</v>
      </c>
      <c r="C4167" s="21">
        <f t="shared" si="65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5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5"/>
        <v>-32.375</v>
      </c>
      <c r="Z4169" s="79">
        <v>-16.035</v>
      </c>
      <c r="CA4169" s="74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5"/>
        <v>-16.57</v>
      </c>
      <c r="CG4170" s="74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5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74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5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3">
        <v>45411</v>
      </c>
      <c r="B4173" s="64" t="s">
        <v>193</v>
      </c>
      <c r="C4173" s="21">
        <f t="shared" si="65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1">
        <v>-7.59</v>
      </c>
      <c r="CA4173" s="74">
        <f>-8.185-1.34</f>
        <v>-9.5250000000000004</v>
      </c>
      <c r="CG4173" s="74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27">
        <v>45411</v>
      </c>
      <c r="B4174" s="24" t="s">
        <v>181</v>
      </c>
      <c r="C4174" s="21">
        <f t="shared" si="65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5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5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5"/>
        <v>-67.22</v>
      </c>
      <c r="CM4177" s="74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5"/>
        <v>-7.6950000000000003</v>
      </c>
      <c r="BI4178" s="74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5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5"/>
        <v>-39.905000000000001</v>
      </c>
      <c r="BI4180" s="74">
        <v>-6.82</v>
      </c>
      <c r="BO4180" s="74">
        <v>-8.5649999999999995</v>
      </c>
      <c r="CG4180" s="74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5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5"/>
        <v>-31.954999999999998</v>
      </c>
      <c r="BC4182" s="74">
        <v>-8.0850000000000009</v>
      </c>
      <c r="BI4182" s="74">
        <v>-7.36</v>
      </c>
      <c r="CA4182" s="74">
        <v>-8.2100000000000009</v>
      </c>
      <c r="CG4182" s="74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5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5"/>
        <v>-16.22</v>
      </c>
      <c r="BC4184" s="74">
        <v>-8.0749999999999993</v>
      </c>
      <c r="CA4184" s="74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5"/>
        <v>-14.574999999999999</v>
      </c>
      <c r="BI4185" s="74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5"/>
        <v>-97.91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74">
        <v>-16.605</v>
      </c>
      <c r="CM4186" s="74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5"/>
        <v>-114.12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5"/>
        <v>-426.14</v>
      </c>
      <c r="BI4188" s="74">
        <v>-29.175000000000001</v>
      </c>
      <c r="CA4188" s="74">
        <v>-65.400000000000006</v>
      </c>
      <c r="CG4188" s="74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5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5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5"/>
        <v>-7.8449999999999998</v>
      </c>
      <c r="BI4191" s="74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5"/>
        <v>-16.495000000000001</v>
      </c>
      <c r="CA4192" s="74">
        <v>-8.1750000000000007</v>
      </c>
      <c r="CM4192" s="74">
        <v>-8.32</v>
      </c>
    </row>
    <row r="4193" spans="1:199" x14ac:dyDescent="0.25">
      <c r="A4193" s="127">
        <v>45418</v>
      </c>
      <c r="B4193" s="24" t="s">
        <v>113</v>
      </c>
      <c r="C4193" s="21">
        <f t="shared" si="65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74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5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5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5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74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5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5"/>
        <v>-16.23</v>
      </c>
      <c r="BO4198" s="74">
        <v>-7.96</v>
      </c>
      <c r="CG4198" s="74">
        <v>-8.27</v>
      </c>
    </row>
    <row r="4199" spans="1:199" x14ac:dyDescent="0.25">
      <c r="A4199" s="127">
        <v>45419</v>
      </c>
      <c r="B4199" s="24" t="s">
        <v>162</v>
      </c>
      <c r="C4199" s="21">
        <f t="shared" si="65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5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5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5"/>
        <v>-16.145</v>
      </c>
      <c r="BU4202" s="74">
        <v>-8.1150000000000002</v>
      </c>
      <c r="CG4202" s="74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5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27">
        <v>45419</v>
      </c>
      <c r="B4204" s="24" t="s">
        <v>25</v>
      </c>
      <c r="C4204" s="21">
        <f t="shared" si="65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5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27">
        <v>45419</v>
      </c>
      <c r="B4206" s="24" t="s">
        <v>184</v>
      </c>
      <c r="C4206" s="21">
        <f t="shared" si="65"/>
        <v>-155.04499999999999</v>
      </c>
      <c r="BI4206" s="74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5"/>
        <v>0</v>
      </c>
    </row>
    <row r="4208" spans="1:199" x14ac:dyDescent="0.25">
      <c r="A4208" s="127">
        <v>45420</v>
      </c>
      <c r="B4208" s="24" t="s">
        <v>192</v>
      </c>
      <c r="C4208" s="21">
        <f t="shared" si="65"/>
        <v>-24.545000000000002</v>
      </c>
      <c r="BO4208" s="74">
        <v>-8.4149999999999991</v>
      </c>
      <c r="BU4208" s="74">
        <v>-8.1150000000000002</v>
      </c>
      <c r="CG4208" s="74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66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66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66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74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66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66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66"/>
        <v>0</v>
      </c>
    </row>
    <row r="4215" spans="1:208" x14ac:dyDescent="0.25">
      <c r="A4215" s="127">
        <v>45420</v>
      </c>
      <c r="B4215" s="24" t="s">
        <v>115</v>
      </c>
      <c r="C4215" s="21">
        <f t="shared" si="66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66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66"/>
        <v>0</v>
      </c>
    </row>
    <row r="4218" spans="1:208" x14ac:dyDescent="0.25">
      <c r="A4218" s="127">
        <v>45422</v>
      </c>
      <c r="B4218" s="24" t="s">
        <v>20</v>
      </c>
      <c r="C4218" s="21">
        <f t="shared" si="66"/>
        <v>-22.99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66"/>
        <v>-8.1950000000000003</v>
      </c>
      <c r="BO4219" s="74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66"/>
        <v>-16.425000000000001</v>
      </c>
      <c r="AU4220" s="42">
        <v>-8.67</v>
      </c>
      <c r="BI4220" s="74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66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66"/>
        <v>0</v>
      </c>
    </row>
    <row r="4223" spans="1:208" x14ac:dyDescent="0.25">
      <c r="A4223" s="127">
        <v>45425</v>
      </c>
      <c r="B4223" s="24" t="s">
        <v>25</v>
      </c>
      <c r="C4223" s="21">
        <f t="shared" si="66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66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66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66"/>
        <v>-33.549999999999997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66"/>
        <v>-16.605</v>
      </c>
      <c r="AR4227" s="74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66"/>
        <v>-17.614999999999998</v>
      </c>
      <c r="AR4228" s="74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66"/>
        <v>-13.375</v>
      </c>
      <c r="AR4229" s="74">
        <v>-5.7949999999999999</v>
      </c>
      <c r="BI4229" s="74">
        <v>-7.58</v>
      </c>
    </row>
    <row r="4230" spans="1:226" x14ac:dyDescent="0.25">
      <c r="A4230" s="127">
        <v>45426</v>
      </c>
      <c r="B4230" s="24" t="s">
        <v>138</v>
      </c>
      <c r="C4230" s="21">
        <f t="shared" si="66"/>
        <v>-9.23</v>
      </c>
      <c r="AR4230" s="74">
        <v>-9.23</v>
      </c>
    </row>
    <row r="4231" spans="1:226" x14ac:dyDescent="0.25">
      <c r="A4231" s="127">
        <v>45426</v>
      </c>
      <c r="B4231" s="24" t="s">
        <v>20</v>
      </c>
      <c r="C4231" s="21">
        <f t="shared" si="66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66"/>
        <v>-32.54</v>
      </c>
      <c r="DK4232" s="74">
        <v>-32.54</v>
      </c>
    </row>
    <row r="4233" spans="1:226" x14ac:dyDescent="0.25">
      <c r="A4233" s="127">
        <v>45426</v>
      </c>
      <c r="B4233" s="24" t="s">
        <v>17</v>
      </c>
      <c r="C4233" s="21">
        <f t="shared" si="66"/>
        <v>-60.8</v>
      </c>
      <c r="BO4233" s="74">
        <v>-24.885000000000002</v>
      </c>
      <c r="BU4233" s="74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66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27">
        <v>45426</v>
      </c>
      <c r="B4235" s="24" t="s">
        <v>171</v>
      </c>
      <c r="C4235" s="21">
        <f t="shared" si="66"/>
        <v>-8.01</v>
      </c>
      <c r="CG4235" s="74">
        <v>-8.01</v>
      </c>
    </row>
    <row r="4236" spans="1:226" x14ac:dyDescent="0.25">
      <c r="A4236" s="127">
        <v>45427</v>
      </c>
      <c r="B4236" s="24" t="s">
        <v>184</v>
      </c>
      <c r="C4236" s="21">
        <f t="shared" si="66"/>
        <v>-95.034999999999997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66"/>
        <v>-14.845000000000001</v>
      </c>
      <c r="CG4237" s="74">
        <v>-7.24</v>
      </c>
      <c r="CY4237" s="74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66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66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74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66"/>
        <v>-15.824999999999999</v>
      </c>
      <c r="V4240" s="74">
        <v>-7.8550000000000004</v>
      </c>
      <c r="CG4240" s="74">
        <v>-7.97</v>
      </c>
    </row>
    <row r="4241" spans="1:226" x14ac:dyDescent="0.25">
      <c r="A4241" s="127">
        <v>45428</v>
      </c>
      <c r="B4241" s="24" t="s">
        <v>79</v>
      </c>
      <c r="C4241" s="21">
        <f t="shared" si="66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66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66"/>
        <v>-92.4</v>
      </c>
      <c r="CS4243" s="74">
        <v>-57.62</v>
      </c>
      <c r="CY4243" s="74">
        <v>-34.78</v>
      </c>
    </row>
    <row r="4244" spans="1:226" x14ac:dyDescent="0.25">
      <c r="A4244" s="127">
        <v>45429</v>
      </c>
      <c r="B4244" s="24" t="s">
        <v>84</v>
      </c>
      <c r="C4244" s="21">
        <f t="shared" si="66"/>
        <v>-16.989999999999998</v>
      </c>
      <c r="AR4244" s="74">
        <v>-8.91</v>
      </c>
      <c r="BU4244" s="74">
        <v>-8.08</v>
      </c>
    </row>
    <row r="4245" spans="1:226" x14ac:dyDescent="0.25">
      <c r="A4245" s="127">
        <v>45429</v>
      </c>
      <c r="B4245" s="24" t="s">
        <v>75</v>
      </c>
      <c r="C4245" s="21">
        <f t="shared" si="66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66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66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66"/>
        <v>-15.055</v>
      </c>
      <c r="BI4248" s="74">
        <v>-6.9450000000000003</v>
      </c>
      <c r="BU4248" s="74">
        <v>-8.11</v>
      </c>
    </row>
    <row r="4249" spans="1:226" x14ac:dyDescent="0.25">
      <c r="A4249" s="127">
        <v>45433</v>
      </c>
      <c r="B4249" s="24" t="s">
        <v>113</v>
      </c>
      <c r="C4249" s="21">
        <f t="shared" si="66"/>
        <v>1106.18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74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66"/>
        <v>-362.6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66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66"/>
        <v>-15.875</v>
      </c>
      <c r="BO4252" s="74">
        <v>-15.875</v>
      </c>
    </row>
    <row r="4253" spans="1:226" x14ac:dyDescent="0.25">
      <c r="A4253" s="127">
        <v>45433</v>
      </c>
      <c r="B4253" s="24" t="s">
        <v>20</v>
      </c>
      <c r="C4253" s="21">
        <f t="shared" si="66"/>
        <v>-7.9550000000000001</v>
      </c>
      <c r="BC4253" s="74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66"/>
        <v>-33.945</v>
      </c>
      <c r="CA4254" s="74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66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66"/>
        <v>-32.935000000000002</v>
      </c>
      <c r="AW4256" s="74">
        <v>-7.7949999999999999</v>
      </c>
      <c r="BU4256" s="74">
        <v>-8.7550000000000008</v>
      </c>
      <c r="CG4256" s="74">
        <v>-8.0500000000000007</v>
      </c>
      <c r="CM4256" s="74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66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66"/>
        <v>-50.32</v>
      </c>
      <c r="BC4258" s="74">
        <v>-15.9</v>
      </c>
      <c r="CG4258" s="74">
        <v>-17.510000000000002</v>
      </c>
      <c r="CM4258" s="74">
        <v>-16.91</v>
      </c>
    </row>
    <row r="4259" spans="1:231" x14ac:dyDescent="0.25">
      <c r="A4259" s="127">
        <v>45433</v>
      </c>
      <c r="B4259" s="24" t="s">
        <v>127</v>
      </c>
      <c r="C4259" s="21">
        <f t="shared" si="66"/>
        <v>-9.35</v>
      </c>
      <c r="AR4259" s="74">
        <v>-9.35</v>
      </c>
    </row>
    <row r="4260" spans="1:231" x14ac:dyDescent="0.25">
      <c r="A4260" s="127">
        <v>45433</v>
      </c>
      <c r="B4260" s="24" t="s">
        <v>174</v>
      </c>
      <c r="C4260" s="21">
        <f t="shared" si="66"/>
        <v>-8.6999999999999993</v>
      </c>
      <c r="CY4260" s="74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66"/>
        <v>-13.77</v>
      </c>
      <c r="CG4261" s="74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66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66"/>
        <v>-111.63500000000001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66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66"/>
        <v>-67.185000000000002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66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66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66"/>
        <v>-36.4</v>
      </c>
      <c r="AN4268" s="74">
        <v>-8.9600000000000009</v>
      </c>
      <c r="AR4268" s="74">
        <v>-9.0299999999999994</v>
      </c>
      <c r="CG4268" s="74">
        <v>-8.25</v>
      </c>
      <c r="CY4268" s="74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66"/>
        <v>-160.19999999999999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66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66"/>
        <v>-24.975000000000001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66"/>
        <v>-32.744999999999997</v>
      </c>
      <c r="BI4272" s="74">
        <v>-8.0549999999999997</v>
      </c>
      <c r="BU4272" s="74">
        <v>-8.6549999999999994</v>
      </c>
      <c r="CG4272" s="74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67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67"/>
        <v>-14.785</v>
      </c>
      <c r="CG4274" s="74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67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67"/>
        <v>-16.015000000000001</v>
      </c>
      <c r="BO4276" s="74">
        <v>-7.94</v>
      </c>
      <c r="BU4276" s="74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67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67"/>
        <v>-15.795</v>
      </c>
      <c r="AW4278" s="74">
        <v>-7.9349999999999996</v>
      </c>
      <c r="BC4278" s="74">
        <v>-7.86</v>
      </c>
    </row>
    <row r="4279" spans="1:208" x14ac:dyDescent="0.25">
      <c r="A4279" s="127">
        <v>45439</v>
      </c>
      <c r="B4279" s="24" t="s">
        <v>33</v>
      </c>
      <c r="C4279" s="21">
        <f t="shared" si="67"/>
        <v>-16.315000000000001</v>
      </c>
      <c r="BC4279" s="74">
        <v>-7.8650000000000002</v>
      </c>
      <c r="BI4279" s="74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67"/>
        <v>-15.244999999999999</v>
      </c>
      <c r="BO4280" s="74">
        <v>-7.93</v>
      </c>
      <c r="BU4280" s="74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67"/>
        <v>-16.399999999999999</v>
      </c>
      <c r="CG4281" s="74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67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67"/>
        <v>-9.2200000000000006</v>
      </c>
      <c r="AR4283" s="74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67"/>
        <v>-98.114999999999995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</v>
      </c>
      <c r="CA4284" s="74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67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67"/>
        <v>-41.52</v>
      </c>
      <c r="AC4286" s="74">
        <v>-8.73</v>
      </c>
      <c r="CA4286" s="74">
        <v>-8.8800000000000008</v>
      </c>
      <c r="CG4286" s="74">
        <v>-8.0399999999999991</v>
      </c>
      <c r="CM4286" s="74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67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67"/>
        <v>-8.8800000000000008</v>
      </c>
      <c r="CA4288" s="74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67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67"/>
        <v>-30.69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67"/>
        <v>-70.28</v>
      </c>
      <c r="BU4291" s="74">
        <v>-35.134999999999998</v>
      </c>
      <c r="CA4291" s="74">
        <v>-17.824999999999999</v>
      </c>
      <c r="CG4291" s="74">
        <v>-17.32</v>
      </c>
    </row>
    <row r="4292" spans="1:208" x14ac:dyDescent="0.25">
      <c r="A4292" s="127">
        <v>45441</v>
      </c>
      <c r="B4292" s="24" t="s">
        <v>184</v>
      </c>
      <c r="C4292" s="21">
        <f t="shared" si="67"/>
        <v>-80.284999999999997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74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67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27">
        <v>45442</v>
      </c>
      <c r="B4294" s="24" t="s">
        <v>53</v>
      </c>
      <c r="C4294" s="21">
        <f t="shared" si="67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67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67"/>
        <v>-10.925000000000001</v>
      </c>
      <c r="CM4296" s="74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67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67"/>
        <v>-16.63</v>
      </c>
      <c r="AR4298" s="74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67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67"/>
        <v>-8.06</v>
      </c>
      <c r="BI4300" s="74">
        <v>-8.06</v>
      </c>
    </row>
    <row r="4301" spans="1:208" x14ac:dyDescent="0.25">
      <c r="A4301" s="127">
        <v>45448</v>
      </c>
      <c r="B4301" s="24" t="s">
        <v>193</v>
      </c>
      <c r="C4301" s="21">
        <f t="shared" si="67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67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67"/>
        <v>-43.354999999999997</v>
      </c>
      <c r="BU4303" s="74">
        <v>-8.8149999999999995</v>
      </c>
      <c r="CA4303" s="74">
        <v>-9.0050000000000008</v>
      </c>
      <c r="CH4303" s="121">
        <v>-8.33</v>
      </c>
      <c r="CM4303" s="74">
        <v>-8.49</v>
      </c>
      <c r="CY4303" s="74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67"/>
        <v>-32.33</v>
      </c>
      <c r="CH4304" s="121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67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67"/>
        <v>-8.0250000000000004</v>
      </c>
      <c r="BI4306" s="74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67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27">
        <v>45448</v>
      </c>
      <c r="B4308" s="24" t="s">
        <v>19</v>
      </c>
      <c r="C4308" s="21">
        <f t="shared" si="67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67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67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67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67"/>
        <v>-8.0250000000000004</v>
      </c>
      <c r="BI4312" s="74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67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67"/>
        <v>-89.6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67"/>
        <v>-195.45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67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67"/>
        <v>-17.015000000000001</v>
      </c>
      <c r="BA4317" s="42">
        <v>-8.85</v>
      </c>
      <c r="CY4317" s="74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67"/>
        <v>-16.625</v>
      </c>
      <c r="CS4318" s="74">
        <v>-8.24</v>
      </c>
      <c r="CY4318" s="74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67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67"/>
        <v>-8.6950000000000003</v>
      </c>
      <c r="BO4320" s="74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67"/>
        <v>1006.7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67"/>
        <v>958.15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67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67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67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67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67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67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67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67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67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67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67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67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67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67"/>
        <v>-34.119999999999997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68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68"/>
        <v>-15.97</v>
      </c>
      <c r="BO4338" s="74">
        <v>-15.97</v>
      </c>
    </row>
    <row r="4339" spans="1:208" x14ac:dyDescent="0.25">
      <c r="A4339" s="127">
        <v>45456</v>
      </c>
      <c r="B4339" s="24" t="s">
        <v>58</v>
      </c>
      <c r="C4339" s="21">
        <f t="shared" si="68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68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68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68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68"/>
        <v>-16.84</v>
      </c>
      <c r="CR4343" s="69">
        <v>-8.44</v>
      </c>
      <c r="CY4343" s="74">
        <v>-8.4</v>
      </c>
    </row>
    <row r="4344" spans="1:208" x14ac:dyDescent="0.25">
      <c r="A4344" s="127">
        <v>45464</v>
      </c>
      <c r="B4344" s="24" t="s">
        <v>197</v>
      </c>
      <c r="C4344" s="21">
        <f t="shared" si="68"/>
        <v>-122.89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68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68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27">
        <v>45468</v>
      </c>
      <c r="B4347" s="24" t="s">
        <v>184</v>
      </c>
      <c r="C4347" s="21">
        <f t="shared" si="68"/>
        <v>-100.495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68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68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68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68"/>
        <v>-39.335000000000001</v>
      </c>
      <c r="BE4351" s="126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68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27">
        <v>45469</v>
      </c>
      <c r="B4353" s="24" t="s">
        <v>198</v>
      </c>
      <c r="C4353" s="21">
        <f t="shared" si="68"/>
        <v>-42.35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68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68"/>
        <v>-17.065000000000001</v>
      </c>
      <c r="AV4355" s="69">
        <v>-8.4450000000000003</v>
      </c>
      <c r="BU4355" s="74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68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68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68"/>
        <v>-14.47</v>
      </c>
      <c r="CE4358" s="42">
        <v>-9.01</v>
      </c>
      <c r="CM4358" s="74">
        <v>-5.46</v>
      </c>
    </row>
    <row r="4359" spans="1:224" x14ac:dyDescent="0.25">
      <c r="A4359" s="127">
        <v>45470</v>
      </c>
      <c r="B4359" s="24" t="s">
        <v>33</v>
      </c>
      <c r="C4359" s="21">
        <f t="shared" si="68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68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68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68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68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68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68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27">
        <v>45471</v>
      </c>
      <c r="B4366" s="24" t="s">
        <v>20</v>
      </c>
      <c r="C4366" s="21">
        <f t="shared" si="68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68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68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68"/>
        <v>826.19500000000005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68"/>
        <v>-33.630000000000003</v>
      </c>
      <c r="BI4370" s="74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68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68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68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68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68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68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68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68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68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68"/>
        <v>-24.27</v>
      </c>
      <c r="BC4380" s="74">
        <v>-16.16</v>
      </c>
      <c r="BI4380" s="74">
        <v>-8.11</v>
      </c>
    </row>
    <row r="4381" spans="1:221" x14ac:dyDescent="0.25">
      <c r="A4381" s="127">
        <v>45475</v>
      </c>
      <c r="B4381" s="24" t="s">
        <v>75</v>
      </c>
      <c r="C4381" s="21">
        <f t="shared" si="68"/>
        <v>-16.21</v>
      </c>
      <c r="BC4381" s="74">
        <v>-8.1050000000000004</v>
      </c>
      <c r="BI4381" s="74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68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68"/>
        <v>-25.35</v>
      </c>
      <c r="BI4383" s="74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68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68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68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68"/>
        <v>-8.52</v>
      </c>
      <c r="BC4387" s="74">
        <v>-8.52</v>
      </c>
    </row>
    <row r="4388" spans="1:214" x14ac:dyDescent="0.25">
      <c r="A4388" s="127">
        <v>45476</v>
      </c>
      <c r="B4388" s="24" t="s">
        <v>127</v>
      </c>
      <c r="C4388" s="21">
        <f t="shared" si="68"/>
        <v>-33.090000000000003</v>
      </c>
      <c r="BC4388" s="74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68"/>
        <v>-24.44</v>
      </c>
      <c r="AR4389" s="74">
        <v>-7.89</v>
      </c>
      <c r="BI4389" s="74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68"/>
        <v>-16.125</v>
      </c>
      <c r="CM4390" s="74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68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68"/>
        <v>-8.8000000000000007</v>
      </c>
      <c r="BC4392" s="74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68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68"/>
        <v>-117.605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74">
        <v>-8.625</v>
      </c>
    </row>
    <row r="4395" spans="1:214" x14ac:dyDescent="0.25">
      <c r="A4395" s="127">
        <v>45478</v>
      </c>
      <c r="B4395" s="24" t="s">
        <v>39</v>
      </c>
      <c r="C4395" s="21">
        <f t="shared" si="68"/>
        <v>-41.104999999999997</v>
      </c>
      <c r="BI4395" s="74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68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68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68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5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68"/>
        <v>-32.375</v>
      </c>
      <c r="BC4399" s="74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68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69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69"/>
        <v>-33.305</v>
      </c>
      <c r="AR4402" s="74">
        <v>-7.72</v>
      </c>
      <c r="BI4402" s="74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69"/>
        <v>-16.565000000000001</v>
      </c>
      <c r="CS4403" s="74">
        <v>-8.19</v>
      </c>
      <c r="CY4403" s="74">
        <v>-8.375</v>
      </c>
    </row>
    <row r="4404" spans="1:212" x14ac:dyDescent="0.25">
      <c r="A4404" s="127">
        <v>45482</v>
      </c>
      <c r="B4404" s="24" t="s">
        <v>196</v>
      </c>
      <c r="C4404" s="21">
        <f t="shared" si="69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69"/>
        <v>0</v>
      </c>
    </row>
    <row r="4406" spans="1:212" x14ac:dyDescent="0.25">
      <c r="A4406" s="127">
        <v>45482</v>
      </c>
      <c r="B4406" s="24" t="s">
        <v>48</v>
      </c>
      <c r="C4406" s="21">
        <f t="shared" si="69"/>
        <v>-0.12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69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69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69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69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69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69"/>
        <v>0</v>
      </c>
    </row>
    <row r="4413" spans="1:212" x14ac:dyDescent="0.25">
      <c r="A4413" s="127">
        <v>45485</v>
      </c>
      <c r="B4413" s="24" t="s">
        <v>20</v>
      </c>
      <c r="C4413" s="21">
        <f t="shared" si="69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69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69"/>
        <v>907.48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74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69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27">
        <v>45489</v>
      </c>
      <c r="B4417" s="24" t="s">
        <v>25</v>
      </c>
      <c r="C4417" s="21">
        <f t="shared" si="69"/>
        <v>-16.625</v>
      </c>
      <c r="AW4417" s="74">
        <v>-8.5399999999999991</v>
      </c>
      <c r="BO4417" s="74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69"/>
        <v>-34.255000000000003</v>
      </c>
      <c r="CA4418" s="74">
        <v>-8.7349999999999994</v>
      </c>
      <c r="CG4418" s="74">
        <v>-8.34</v>
      </c>
      <c r="CM4418" s="74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69"/>
        <v>-8.1300000000000008</v>
      </c>
      <c r="BC4419" s="74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69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69"/>
        <v>-25.055</v>
      </c>
      <c r="BU4421" s="74">
        <v>-8.1999999999999993</v>
      </c>
      <c r="CA4421" s="74">
        <v>-8.5500000000000007</v>
      </c>
      <c r="CG4421" s="74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69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69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69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69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74">
        <v>-8.81</v>
      </c>
      <c r="CM4425" s="74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69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69"/>
        <v>-8.11</v>
      </c>
      <c r="CY4427" s="74">
        <v>-8.11</v>
      </c>
    </row>
    <row r="4428" spans="1:216" x14ac:dyDescent="0.25">
      <c r="A4428" s="127">
        <v>45490</v>
      </c>
      <c r="B4428" s="24" t="s">
        <v>173</v>
      </c>
      <c r="C4428" s="21">
        <f t="shared" si="69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69"/>
        <v>-33.9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74">
        <f>-8.45-8.315-8.3</f>
        <v>-25.065000000000001</v>
      </c>
      <c r="CM4429" s="74">
        <v>-17.14</v>
      </c>
      <c r="CS4429" s="74">
        <v>-16.975000000000001</v>
      </c>
      <c r="DM4429" s="150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69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69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69"/>
        <v>-116.8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74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69"/>
        <v>-25.77</v>
      </c>
      <c r="BU4433" s="74">
        <v>-8.1649999999999991</v>
      </c>
      <c r="CA4433" s="74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69"/>
        <v>-8.0150000000000006</v>
      </c>
      <c r="BC4434" s="74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69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69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69"/>
        <v>-43.034999999999997</v>
      </c>
      <c r="AL4437" s="42">
        <v>-7.98</v>
      </c>
      <c r="AW4437" s="74">
        <v>-8.5</v>
      </c>
      <c r="BO4437" s="74">
        <v>-8.2449999999999992</v>
      </c>
      <c r="BX4437" s="115">
        <v>-10.02</v>
      </c>
      <c r="CG4437" s="74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69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74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69"/>
        <v>-7.165</v>
      </c>
      <c r="BU4439" s="74">
        <v>-7.165</v>
      </c>
    </row>
    <row r="4440" spans="1:231" x14ac:dyDescent="0.25">
      <c r="A4440" s="127">
        <v>45495</v>
      </c>
      <c r="B4440" s="24" t="s">
        <v>44</v>
      </c>
      <c r="C4440" s="21">
        <f t="shared" si="69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69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69"/>
        <v>-16.64</v>
      </c>
      <c r="CA4442" s="74">
        <v>-16.64</v>
      </c>
    </row>
    <row r="4443" spans="1:231" x14ac:dyDescent="0.25">
      <c r="A4443" s="127">
        <v>45496</v>
      </c>
      <c r="B4443" s="24" t="s">
        <v>139</v>
      </c>
      <c r="C4443" s="21">
        <f t="shared" si="69"/>
        <v>-16.899999999999999</v>
      </c>
      <c r="BO4443" s="74">
        <v>-8.375</v>
      </c>
      <c r="CG4443" s="74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69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27">
        <v>45496</v>
      </c>
      <c r="B4445" s="24" t="s">
        <v>147</v>
      </c>
      <c r="C4445" s="21">
        <f t="shared" si="69"/>
        <v>-33.729999999999997</v>
      </c>
      <c r="BC4445" s="74">
        <v>-8.32</v>
      </c>
      <c r="BO4445" s="74">
        <v>-8.5299999999999994</v>
      </c>
      <c r="CG4445" s="74">
        <v>-8.2899999999999991</v>
      </c>
      <c r="CM4445" s="74">
        <v>-8.59</v>
      </c>
    </row>
    <row r="4446" spans="1:231" x14ac:dyDescent="0.25">
      <c r="A4446" s="127">
        <v>45496</v>
      </c>
      <c r="B4446" s="24" t="s">
        <v>204</v>
      </c>
      <c r="C4446" s="21">
        <f t="shared" si="69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69"/>
        <v>-16.254999999999999</v>
      </c>
      <c r="AL4447" s="42">
        <v>-8.01</v>
      </c>
      <c r="BO4447" s="74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69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69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69"/>
        <v>-33.57</v>
      </c>
      <c r="CG4450" s="74">
        <v>-33.57</v>
      </c>
    </row>
    <row r="4451" spans="1:208" x14ac:dyDescent="0.25">
      <c r="A4451" s="127">
        <v>45499</v>
      </c>
      <c r="B4451" s="24" t="s">
        <v>138</v>
      </c>
      <c r="C4451" s="21">
        <f t="shared" si="69"/>
        <v>-15.895</v>
      </c>
      <c r="AL4451" s="42">
        <v>-8.01</v>
      </c>
      <c r="AR4451" s="74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69"/>
        <v>-16.579999999999998</v>
      </c>
      <c r="AW4452" s="74">
        <v>-8.23</v>
      </c>
      <c r="BC4452" s="74">
        <v>-8.35</v>
      </c>
    </row>
    <row r="4453" spans="1:208" x14ac:dyDescent="0.25">
      <c r="A4453" s="127">
        <v>45499</v>
      </c>
      <c r="B4453" s="24" t="s">
        <v>184</v>
      </c>
      <c r="C4453" s="21">
        <f t="shared" si="69"/>
        <v>-108.1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74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69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69"/>
        <v>-33.255000000000003</v>
      </c>
      <c r="BU4455" s="74">
        <v>-8.14</v>
      </c>
      <c r="CG4455" s="74">
        <v>-8.4049999999999994</v>
      </c>
      <c r="CM4455" s="74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69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69"/>
        <v>-9.3049999999999997</v>
      </c>
      <c r="CA4457" s="74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69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69"/>
        <v>-64.965000000000003</v>
      </c>
      <c r="AC4459" s="74">
        <f>-8.515-8.545</f>
        <v>-17.059999999999999</v>
      </c>
      <c r="AW4459" s="74">
        <f>-8.365-7.125</f>
        <v>-15.49</v>
      </c>
      <c r="CA4459" s="74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69"/>
        <v>-8.4849999999999994</v>
      </c>
      <c r="BO4460" s="74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69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69"/>
        <v>-8.0950000000000006</v>
      </c>
      <c r="BU4462" s="74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69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69"/>
        <v>-24.56</v>
      </c>
      <c r="CG4464" s="74">
        <v>-8.41</v>
      </c>
      <c r="CM4464" s="74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0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74">
        <v>-8.39</v>
      </c>
      <c r="CM4465" s="74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0"/>
        <v>-8.93</v>
      </c>
      <c r="BI4466" s="74">
        <v>-8.93</v>
      </c>
    </row>
    <row r="4467" spans="1:226" x14ac:dyDescent="0.25">
      <c r="A4467" s="127">
        <v>45503</v>
      </c>
      <c r="B4467" s="24" t="s">
        <v>68</v>
      </c>
      <c r="C4467" s="21">
        <f t="shared" si="70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0"/>
        <v>-8.2449999999999992</v>
      </c>
      <c r="CG4468" s="74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0"/>
        <v>-8.25</v>
      </c>
      <c r="BO4469" s="74">
        <v>-8.25</v>
      </c>
    </row>
    <row r="4470" spans="1:226" x14ac:dyDescent="0.25">
      <c r="A4470" s="127">
        <v>45503</v>
      </c>
      <c r="B4470" s="24" t="s">
        <v>39</v>
      </c>
      <c r="C4470" s="21">
        <f t="shared" si="70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0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0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0"/>
        <v>-4.9649999999999999</v>
      </c>
      <c r="BU4473" s="74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0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74">
        <v>-33.14</v>
      </c>
      <c r="CJ4474" s="115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0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0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0"/>
        <v>-16.305</v>
      </c>
      <c r="AW4477" s="74">
        <v>-7.95</v>
      </c>
      <c r="BC4477" s="74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0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0"/>
        <v>0</v>
      </c>
    </row>
    <row r="4480" spans="1:226" x14ac:dyDescent="0.25">
      <c r="A4480" s="127">
        <v>45509</v>
      </c>
      <c r="B4480" s="24" t="s">
        <v>48</v>
      </c>
      <c r="C4480" s="21">
        <f t="shared" si="70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0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0"/>
        <v>-34.024999999999999</v>
      </c>
      <c r="AR4482" s="74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0"/>
        <v>-53.575000000000003</v>
      </c>
      <c r="CC4483" s="126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0"/>
        <v>-17.324999999999999</v>
      </c>
      <c r="BC4484" s="74">
        <v>-8.2750000000000004</v>
      </c>
      <c r="BI4484" s="74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0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0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0"/>
        <v>-59.755000000000003</v>
      </c>
      <c r="DE4487" s="74">
        <v>-43.49</v>
      </c>
      <c r="DK4487" s="74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0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0"/>
        <v>-68.900000000000006</v>
      </c>
      <c r="DK4489" s="74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0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0"/>
        <v>-16.465</v>
      </c>
      <c r="CY4491" s="74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0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0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0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0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0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27">
        <v>45512</v>
      </c>
      <c r="B4497" s="24" t="s">
        <v>44</v>
      </c>
      <c r="C4497" s="21">
        <f t="shared" si="70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0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0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27">
        <v>45512</v>
      </c>
      <c r="B4500" s="24" t="s">
        <v>48</v>
      </c>
      <c r="C4500" s="21">
        <f t="shared" si="70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0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1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0"/>
        <v>-23.88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0"/>
        <v>-8.5350000000000001</v>
      </c>
      <c r="BO4503" s="74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0"/>
        <v>-32.49</v>
      </c>
      <c r="BC4504" s="74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0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0"/>
        <v>-7.99</v>
      </c>
      <c r="BU4506" s="74">
        <v>-7.99</v>
      </c>
    </row>
    <row r="4507" spans="1:224" x14ac:dyDescent="0.25">
      <c r="A4507" s="127">
        <v>45513</v>
      </c>
      <c r="B4507" s="24" t="s">
        <v>139</v>
      </c>
      <c r="C4507" s="21">
        <f t="shared" si="70"/>
        <v>-16.765000000000001</v>
      </c>
      <c r="BU4507" s="74">
        <v>-7.99</v>
      </c>
      <c r="CA4507" s="74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0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0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0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0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0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0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0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0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0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0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0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0"/>
        <v>-40.634999999999998</v>
      </c>
      <c r="CQ4519" s="42">
        <v>-7.58</v>
      </c>
      <c r="CY4519" s="74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0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0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0"/>
        <v>-24.99</v>
      </c>
      <c r="DK4522" s="74">
        <v>-8.4</v>
      </c>
      <c r="DM4522" s="150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0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0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0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0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74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0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0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1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74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1"/>
        <v>-107.11499999999999</v>
      </c>
      <c r="Z4530" s="79">
        <v>-8.4</v>
      </c>
      <c r="AW4530" s="74">
        <f>-31.97-32.24</f>
        <v>-64.209999999999994</v>
      </c>
      <c r="BO4530" s="74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1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1"/>
        <v>-99.185000000000002</v>
      </c>
      <c r="Z4532" s="79">
        <v>-8.4</v>
      </c>
      <c r="BO4532" s="74">
        <v>-25.47</v>
      </c>
      <c r="CA4532" s="74">
        <v>-16.105</v>
      </c>
      <c r="CG4532" s="74">
        <v>-16.094999999999999</v>
      </c>
      <c r="CY4532" s="74">
        <v>-16.545000000000002</v>
      </c>
      <c r="DK4532" s="74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1"/>
        <v>-134.30000000000001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1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1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1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74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1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428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74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74"/>
      <c r="BD4537" s="179"/>
      <c r="BE4537" s="179"/>
      <c r="BF4537" s="177"/>
      <c r="BG4537" s="178"/>
      <c r="BH4537" s="69"/>
      <c r="BI4537" s="74"/>
      <c r="BJ4537" s="179"/>
      <c r="BK4537" s="179"/>
      <c r="BL4537" s="115"/>
      <c r="BM4537" s="178"/>
      <c r="BN4537" s="69"/>
      <c r="BO4537" s="74"/>
      <c r="BP4537" s="179"/>
      <c r="BQ4537" s="179"/>
      <c r="BR4537" s="115"/>
      <c r="BS4537" s="178"/>
      <c r="BT4537" s="69"/>
      <c r="BU4537" s="74"/>
      <c r="BV4537" s="179"/>
      <c r="BW4537" s="179"/>
      <c r="BX4537" s="115"/>
      <c r="BY4537" s="178"/>
      <c r="BZ4537" s="179"/>
      <c r="CA4537" s="74">
        <v>2.0299999999999998</v>
      </c>
      <c r="CB4537" s="179"/>
      <c r="CC4537" s="179"/>
      <c r="CD4537" s="182"/>
      <c r="CE4537" s="178"/>
      <c r="CF4537" s="69"/>
      <c r="CG4537" s="74">
        <v>5.0000000000000001E-3</v>
      </c>
      <c r="CH4537" s="179"/>
      <c r="CI4537" s="179"/>
      <c r="CJ4537" s="177"/>
      <c r="CK4537" s="178"/>
      <c r="CL4537" s="179"/>
      <c r="CM4537" s="74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74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74">
        <v>8.2850000000000001</v>
      </c>
      <c r="DL4537" s="179"/>
      <c r="DM4537" s="177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1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1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27">
        <v>45524</v>
      </c>
      <c r="B4540" s="24" t="s">
        <v>138</v>
      </c>
      <c r="C4540" s="21">
        <f t="shared" si="71"/>
        <v>-33.125</v>
      </c>
      <c r="AG4540" s="106">
        <v>-8.6050000000000004</v>
      </c>
      <c r="BI4540" s="74">
        <v>-16.454999999999998</v>
      </c>
      <c r="CG4540" s="74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1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1"/>
        <v>-42.67</v>
      </c>
      <c r="CM4542" s="74">
        <f>-8.24-8.255</f>
        <v>-16.495000000000001</v>
      </c>
      <c r="CQ4542" s="42">
        <v>-9</v>
      </c>
      <c r="CY4542" s="74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1"/>
        <v>-33.880000000000003</v>
      </c>
      <c r="CY4543" s="74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1"/>
        <v>-57.87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1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1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1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1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1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1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1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1"/>
        <v>698.72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74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1"/>
        <v>-198.065</v>
      </c>
      <c r="BI4553" s="74">
        <v>-33.325000000000003</v>
      </c>
      <c r="BO4553" s="74">
        <v>-65.8</v>
      </c>
      <c r="BU4553" s="74">
        <v>-66.209999999999994</v>
      </c>
      <c r="CG4553" s="74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1"/>
        <v>-606.92499999999995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1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1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1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1"/>
        <v>0</v>
      </c>
    </row>
    <row r="4559" spans="1:208" x14ac:dyDescent="0.25">
      <c r="A4559" s="127">
        <v>45500</v>
      </c>
      <c r="B4559" s="24" t="s">
        <v>138</v>
      </c>
      <c r="C4559" s="21">
        <f t="shared" si="71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1"/>
        <v>-8.31</v>
      </c>
      <c r="CA4560" s="74">
        <v>-8.31</v>
      </c>
    </row>
    <row r="4561" spans="1:212" x14ac:dyDescent="0.25">
      <c r="A4561" s="127">
        <v>45501</v>
      </c>
      <c r="B4561" s="24" t="s">
        <v>20</v>
      </c>
      <c r="C4561" s="21">
        <f t="shared" si="71"/>
        <v>-16.03</v>
      </c>
      <c r="BI4561" s="74">
        <v>-8.42</v>
      </c>
      <c r="BU4561" s="74">
        <v>-7.61</v>
      </c>
    </row>
    <row r="4562" spans="1:212" x14ac:dyDescent="0.25">
      <c r="A4562" s="127">
        <v>45501</v>
      </c>
      <c r="B4562" s="24" t="s">
        <v>197</v>
      </c>
      <c r="C4562" s="21">
        <f t="shared" si="71"/>
        <v>-34.549999999999997</v>
      </c>
      <c r="BU4562" s="74">
        <v>-16.965</v>
      </c>
      <c r="CA4562" s="74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1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1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1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1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1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1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1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1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1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1"/>
        <v>-8.24</v>
      </c>
      <c r="CM4572" s="74">
        <v>-8.24</v>
      </c>
    </row>
    <row r="4573" spans="1:212" x14ac:dyDescent="0.25">
      <c r="A4573" s="127">
        <v>45538</v>
      </c>
      <c r="B4573" s="24" t="s">
        <v>127</v>
      </c>
      <c r="C4573" s="21">
        <f t="shared" si="71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1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1"/>
        <v>-16.555</v>
      </c>
      <c r="BO4575" s="74">
        <v>-8.2100000000000009</v>
      </c>
      <c r="CA4575" s="74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1"/>
        <v>-8.1850000000000005</v>
      </c>
      <c r="BI4576" s="74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1"/>
        <v>-24.535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1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1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1"/>
        <v>-133.99</v>
      </c>
      <c r="DK4580" s="74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1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1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1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1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1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1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1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1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1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74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1"/>
        <v>0</v>
      </c>
    </row>
    <row r="4591" spans="1:221" x14ac:dyDescent="0.25">
      <c r="A4591" s="127">
        <v>45540</v>
      </c>
      <c r="B4591" s="24" t="s">
        <v>184</v>
      </c>
      <c r="C4591" s="21">
        <f t="shared" si="71"/>
        <v>-682.75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-64.334999999999994</v>
      </c>
      <c r="BN4591" s="69">
        <v>-34.200000000000003</v>
      </c>
      <c r="BU4591" s="74">
        <v>-33.435000000000002</v>
      </c>
      <c r="CA4591" s="74">
        <v>-33.32</v>
      </c>
      <c r="CG4591" s="74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1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2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2"/>
        <v>-25.38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2"/>
        <v>-16.87</v>
      </c>
      <c r="BH4595" s="69">
        <v>-8.5150000000000006</v>
      </c>
      <c r="BU4595" s="74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2"/>
        <v>-50.255000000000003</v>
      </c>
      <c r="V4596" s="74">
        <v>-7.9550000000000001</v>
      </c>
      <c r="Z4596" s="79">
        <v>-8.42</v>
      </c>
      <c r="BO4596" s="74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2"/>
        <v>-199.64</v>
      </c>
      <c r="AC4597" s="74">
        <f>-32.25-8.555-8.515-8.16-7.07</f>
        <v>-64.55</v>
      </c>
      <c r="AN4597" s="74">
        <f>-34.45-34.415</f>
        <v>-68.864999999999995</v>
      </c>
      <c r="CY4597" s="74">
        <v>-33.049999999999997</v>
      </c>
      <c r="DK4597" s="74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2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2"/>
        <v>-101.645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2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2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2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2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2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2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2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2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2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2"/>
        <v>-24.195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2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2"/>
        <v>-100.425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2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74">
        <v>102.26</v>
      </c>
      <c r="CY4612" s="74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2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2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2"/>
        <v>932.71500000000003</v>
      </c>
      <c r="AN4615" s="74">
        <v>97.745000000000005</v>
      </c>
      <c r="AR4615" s="74">
        <f>109.145+109.65</f>
        <v>218.79499999999999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2"/>
        <v>-16.285</v>
      </c>
      <c r="AC4616" s="74">
        <v>-8.1300000000000008</v>
      </c>
      <c r="AR4616" s="74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2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2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2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27">
        <v>45549</v>
      </c>
      <c r="B4620" s="24" t="s">
        <v>20</v>
      </c>
      <c r="C4620" s="21">
        <f t="shared" si="72"/>
        <v>-16.454999999999998</v>
      </c>
      <c r="BU4620" s="74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2"/>
        <v>-133.27000000000001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2"/>
        <v>-115.815</v>
      </c>
      <c r="BU4622" s="74">
        <v>-32.604999999999997</v>
      </c>
      <c r="BZ4622" s="69">
        <v>-17.100000000000001</v>
      </c>
      <c r="CG4622" s="74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2"/>
        <v>-66.260000000000005</v>
      </c>
      <c r="BU4623" s="74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2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2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2"/>
        <v>-159.04499999999999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2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2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2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2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2"/>
        <v>-58.34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74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2"/>
        <v>-24.28</v>
      </c>
      <c r="BI4632" s="74">
        <v>-16.14</v>
      </c>
      <c r="BU4632" s="74">
        <v>-8.14</v>
      </c>
    </row>
    <row r="4633" spans="1:214" x14ac:dyDescent="0.25">
      <c r="A4633" s="127">
        <v>45555</v>
      </c>
      <c r="B4633" s="24" t="s">
        <v>44</v>
      </c>
      <c r="C4633" s="21">
        <f t="shared" si="72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2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74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2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2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2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2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2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74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2"/>
        <v>-32.805</v>
      </c>
      <c r="CS4640" s="74">
        <v>-16.29</v>
      </c>
      <c r="CY4640" s="74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2"/>
        <v>-25.484999999999999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2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2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2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2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2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2"/>
        <v>-16.614999999999998</v>
      </c>
      <c r="DK4647" s="74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2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2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2"/>
        <v>-16.600000000000001</v>
      </c>
      <c r="AC4650" s="74">
        <v>-8.14</v>
      </c>
      <c r="AR4650" s="74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2"/>
        <v>-25.704999999999998</v>
      </c>
      <c r="BY4651" s="42">
        <v>-8.65</v>
      </c>
      <c r="CG4651" s="74">
        <v>-8.7750000000000004</v>
      </c>
      <c r="CY4651" s="74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2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2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2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2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2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3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3"/>
        <v>-34.625</v>
      </c>
      <c r="BY4658" s="42">
        <v>-8.5399999999999991</v>
      </c>
      <c r="CG4658" s="74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3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3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3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3"/>
        <v>-16.945</v>
      </c>
      <c r="BU4662" s="74">
        <v>-8.14</v>
      </c>
      <c r="CG4662" s="74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3"/>
        <v>-25.475000000000001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3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3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3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3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3"/>
        <v>-17.09</v>
      </c>
      <c r="BC4668" s="74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3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3"/>
        <v>-24.305</v>
      </c>
      <c r="AN4670" s="74">
        <v>-8.2050000000000001</v>
      </c>
      <c r="BC4670" s="74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3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3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3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3"/>
        <v>-8.0950000000000006</v>
      </c>
      <c r="BC4674" s="74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3"/>
        <v>0</v>
      </c>
    </row>
    <row r="4676" spans="1:199" x14ac:dyDescent="0.25">
      <c r="A4676" s="127">
        <v>45569</v>
      </c>
      <c r="B4676" s="24" t="s">
        <v>193</v>
      </c>
      <c r="C4676" s="21">
        <f t="shared" si="73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3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3"/>
        <v>0</v>
      </c>
    </row>
    <row r="4679" spans="1:199" x14ac:dyDescent="0.25">
      <c r="A4679" s="127">
        <v>45569</v>
      </c>
      <c r="B4679" s="24" t="s">
        <v>214</v>
      </c>
      <c r="C4679" s="21">
        <f t="shared" si="73"/>
        <v>-91.984999999999999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74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3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3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3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3"/>
        <v>0</v>
      </c>
    </row>
    <row r="4684" spans="1:199" x14ac:dyDescent="0.25">
      <c r="A4684" s="127">
        <v>45572</v>
      </c>
      <c r="B4684" s="24" t="s">
        <v>184</v>
      </c>
      <c r="C4684" s="21">
        <f t="shared" si="73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3"/>
        <v>-50.65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3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3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3"/>
        <v>-16.46</v>
      </c>
      <c r="BN4688" s="69">
        <v>-8.4149999999999991</v>
      </c>
      <c r="CY4688" s="74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3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3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27">
        <v>45573</v>
      </c>
      <c r="B4691" s="24" t="s">
        <v>48</v>
      </c>
      <c r="C4691" s="21">
        <f t="shared" si="73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3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3"/>
        <v>0</v>
      </c>
    </row>
    <row r="4694" spans="1:208" x14ac:dyDescent="0.25">
      <c r="A4694" s="127">
        <v>45575</v>
      </c>
      <c r="B4694" s="24" t="s">
        <v>184</v>
      </c>
      <c r="C4694" s="21">
        <f t="shared" si="73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3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3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3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3"/>
        <v>-49.45</v>
      </c>
      <c r="DK4698" s="74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3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3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3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74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3"/>
        <v>-101.545</v>
      </c>
      <c r="BC4702" s="74">
        <v>-33.534999999999997</v>
      </c>
      <c r="BO4702" s="74">
        <v>-34.505000000000003</v>
      </c>
      <c r="CG4702" s="74">
        <v>-17.32</v>
      </c>
      <c r="CM4702" s="74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3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74">
        <v>-8.7349999999999994</v>
      </c>
      <c r="CM4703" s="74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3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3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3"/>
        <v>-8.5250000000000004</v>
      </c>
      <c r="BC4706" s="74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3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3"/>
        <v>-16.655000000000001</v>
      </c>
      <c r="BC4708" s="74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3"/>
        <v>-16.875</v>
      </c>
      <c r="CG4709" s="74">
        <v>-8.7750000000000004</v>
      </c>
      <c r="CM4709" s="74">
        <v>-8.1</v>
      </c>
    </row>
    <row r="4710" spans="1:214" x14ac:dyDescent="0.25">
      <c r="A4710" s="127">
        <v>45580</v>
      </c>
      <c r="B4710" s="23" t="s">
        <v>89</v>
      </c>
      <c r="C4710" s="21">
        <f t="shared" si="73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3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3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3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3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3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3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3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3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3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3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4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4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4"/>
        <v>-99.49</v>
      </c>
      <c r="BI4723" s="74">
        <v>-32.465000000000003</v>
      </c>
      <c r="BU4723" s="74">
        <v>-32.26</v>
      </c>
      <c r="CG4723" s="74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4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4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4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4"/>
        <v>-24.305</v>
      </c>
      <c r="AN4727" s="74">
        <v>-8.0749999999999993</v>
      </c>
      <c r="BI4727" s="74">
        <v>-16.23</v>
      </c>
    </row>
    <row r="4728" spans="1:168" x14ac:dyDescent="0.25">
      <c r="A4728" s="127">
        <v>45587</v>
      </c>
      <c r="B4728" s="24" t="s">
        <v>75</v>
      </c>
      <c r="C4728" s="21">
        <f t="shared" si="74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4"/>
        <v>-8.4749999999999996</v>
      </c>
      <c r="AR4729" s="74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4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4"/>
        <v>-49.645000000000003</v>
      </c>
      <c r="DK4731" s="74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4"/>
        <v>0</v>
      </c>
    </row>
    <row r="4733" spans="1:168" x14ac:dyDescent="0.25">
      <c r="A4733" s="127">
        <v>45588</v>
      </c>
      <c r="B4733" s="24" t="s">
        <v>152</v>
      </c>
      <c r="C4733" s="21">
        <f t="shared" si="74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4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74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4"/>
        <v>-24.754999999999999</v>
      </c>
      <c r="CY4735" s="74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4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4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4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4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4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4"/>
        <v>-16.57</v>
      </c>
      <c r="CL4741" s="69">
        <v>-8.4949999999999992</v>
      </c>
      <c r="CM4741" s="74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4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4"/>
        <v>-24.565000000000001</v>
      </c>
      <c r="CG4743" s="74">
        <v>-8.7899999999999991</v>
      </c>
      <c r="CM4743" s="74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4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4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4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4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4"/>
        <v>-64.424999999999997</v>
      </c>
      <c r="BC4748" s="74">
        <v>-32.185000000000002</v>
      </c>
      <c r="BI4748" s="74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4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4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4"/>
        <v>-16.934999999999999</v>
      </c>
      <c r="BS4751" s="42">
        <v>-8.64</v>
      </c>
      <c r="CA4751" s="74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4"/>
        <v>-32.994999999999997</v>
      </c>
      <c r="BO4752" s="74">
        <v>-17.344999999999999</v>
      </c>
      <c r="CA4752" s="74">
        <v>-15.65</v>
      </c>
    </row>
    <row r="4753" spans="1:199" x14ac:dyDescent="0.25">
      <c r="A4753" s="127">
        <v>45596</v>
      </c>
      <c r="B4753" s="24" t="s">
        <v>29</v>
      </c>
      <c r="C4753" s="21">
        <f t="shared" si="74"/>
        <v>-8.7650000000000006</v>
      </c>
      <c r="CG4753" s="74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4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4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4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4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4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4"/>
        <v>-101.73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4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4"/>
        <v>-8.5549999999999997</v>
      </c>
      <c r="CA4761" s="74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4"/>
        <v>-50.05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27">
        <v>45596</v>
      </c>
      <c r="B4763" s="24" t="s">
        <v>139</v>
      </c>
      <c r="C4763" s="21">
        <f t="shared" si="74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4"/>
        <v>-119.375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4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4"/>
        <v>-25.218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27">
        <v>45596</v>
      </c>
      <c r="B4767" s="24" t="s">
        <v>200</v>
      </c>
      <c r="C4767" s="21">
        <f t="shared" si="74"/>
        <v>-16.535</v>
      </c>
      <c r="AW4767" s="74">
        <v>-8.4749999999999996</v>
      </c>
      <c r="BC4767" s="74">
        <v>-8.06</v>
      </c>
    </row>
    <row r="4768" spans="1:199" x14ac:dyDescent="0.25">
      <c r="A4768" s="127">
        <v>45596</v>
      </c>
      <c r="B4768" s="24" t="s">
        <v>214</v>
      </c>
      <c r="C4768" s="21">
        <f t="shared" si="74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4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4"/>
        <v>-33.49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4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4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4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4"/>
        <v>-25.824999999999999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4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4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4"/>
        <v>-8.1050000000000004</v>
      </c>
      <c r="BI4777" s="74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4"/>
        <v>-8.6449999999999996</v>
      </c>
      <c r="BO4778" s="74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4"/>
        <v>-24.245000000000001</v>
      </c>
      <c r="CM4779" s="74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4"/>
        <v>0</v>
      </c>
    </row>
    <row r="4781" spans="1:238" x14ac:dyDescent="0.25">
      <c r="A4781" s="127">
        <v>45602</v>
      </c>
      <c r="B4781" s="24" t="s">
        <v>113</v>
      </c>
      <c r="C4781" s="21">
        <f t="shared" si="74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74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4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4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4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5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5"/>
        <v>-817.41499999999996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-65.260000000000005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5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5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5"/>
        <v>-16.545000000000002</v>
      </c>
      <c r="BU4789" s="74">
        <v>-8.16</v>
      </c>
      <c r="CA4789" s="74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5"/>
        <v>-16.88</v>
      </c>
      <c r="CG4790" s="74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5"/>
        <v>-22.88</v>
      </c>
      <c r="AX4791" s="121">
        <v>-7.89</v>
      </c>
      <c r="BC4791" s="74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5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5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5"/>
        <v>-16.3</v>
      </c>
      <c r="BO4794" s="74">
        <v>-8.1649999999999991</v>
      </c>
      <c r="BU4794" s="74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5"/>
        <v>-16.785</v>
      </c>
      <c r="BC4795" s="74">
        <v>-8.25</v>
      </c>
      <c r="CA4795" s="74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5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5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5"/>
        <v>-49.02</v>
      </c>
      <c r="CM4798" s="74">
        <v>-49.02</v>
      </c>
    </row>
    <row r="4799" spans="1:221" x14ac:dyDescent="0.25">
      <c r="A4799" s="127">
        <v>45607</v>
      </c>
      <c r="B4799" s="24" t="s">
        <v>82</v>
      </c>
      <c r="C4799" s="21">
        <f t="shared" si="75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5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5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5"/>
        <v>-48.8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5"/>
        <v>-32.395000000000003</v>
      </c>
      <c r="AW4803" s="74">
        <v>-7.86</v>
      </c>
      <c r="BI4803" s="74">
        <v>-8.0350000000000001</v>
      </c>
      <c r="CG4803" s="74">
        <v>-8.39</v>
      </c>
      <c r="CM4803" s="74">
        <v>-8.11</v>
      </c>
    </row>
    <row r="4804" spans="1:241" x14ac:dyDescent="0.25">
      <c r="A4804" s="127">
        <v>45608</v>
      </c>
      <c r="B4804" s="24" t="s">
        <v>39</v>
      </c>
      <c r="C4804" s="21">
        <f t="shared" si="75"/>
        <v>-16.75</v>
      </c>
      <c r="BU4804" s="74">
        <v>-8.3699999999999992</v>
      </c>
      <c r="CA4804" s="74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5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74">
        <v>-31.155000000000001</v>
      </c>
      <c r="CM4805" s="74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5"/>
        <v>0</v>
      </c>
    </row>
    <row r="4807" spans="1:241" x14ac:dyDescent="0.25">
      <c r="A4807" s="127">
        <v>45609</v>
      </c>
      <c r="B4807" s="24" t="s">
        <v>212</v>
      </c>
      <c r="C4807" s="21">
        <f t="shared" si="75"/>
        <v>-8.07</v>
      </c>
      <c r="BU4807" s="74">
        <v>-8.07</v>
      </c>
    </row>
    <row r="4808" spans="1:241" x14ac:dyDescent="0.25">
      <c r="A4808" s="127">
        <v>45610</v>
      </c>
      <c r="B4808" s="24" t="s">
        <v>17</v>
      </c>
      <c r="C4808" s="21">
        <f t="shared" si="75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5"/>
        <v>-4.07</v>
      </c>
      <c r="BO4809" s="74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5"/>
        <v>8.6950000000000003</v>
      </c>
      <c r="BO4810" s="74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5"/>
        <v>-8.0500000000000007</v>
      </c>
      <c r="BI4811" s="74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5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5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5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5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5"/>
        <v>-33.064999999999998</v>
      </c>
      <c r="CG4816" s="74">
        <f>-8.335-8.21</f>
        <v>-16.545000000000002</v>
      </c>
      <c r="CM4816" s="74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5"/>
        <v>-38.545000000000002</v>
      </c>
      <c r="BI4817" s="74">
        <v>-15.82</v>
      </c>
      <c r="CG4817" s="74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5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5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5"/>
        <v>-8.49</v>
      </c>
      <c r="AR4820" s="74">
        <v>-8.49</v>
      </c>
    </row>
    <row r="4821" spans="1:214" x14ac:dyDescent="0.25">
      <c r="A4821" s="127">
        <v>45615</v>
      </c>
      <c r="B4821" s="24" t="s">
        <v>20</v>
      </c>
      <c r="C4821" s="21">
        <f t="shared" si="75"/>
        <v>-57.134999999999998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74">
        <v>-8.3800000000000008</v>
      </c>
      <c r="CM4821" s="74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5"/>
        <v>66.14</v>
      </c>
      <c r="DA4822" s="126">
        <v>9.23</v>
      </c>
      <c r="DM4822" s="150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5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5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5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5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5"/>
        <v>-24.574999999999999</v>
      </c>
      <c r="V4827" s="74">
        <v>-3.89</v>
      </c>
      <c r="Z4827" s="79">
        <v>-3.7</v>
      </c>
      <c r="CG4827" s="74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5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5"/>
        <v>995.68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74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5"/>
        <v>909.44500000000005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5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5"/>
        <v>-32.805</v>
      </c>
      <c r="BO4832" s="74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5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5"/>
        <v>-79.180000000000007</v>
      </c>
      <c r="BC4834" s="74">
        <v>-15.42</v>
      </c>
      <c r="BI4834" s="74">
        <v>-15.715</v>
      </c>
      <c r="BO4834" s="74">
        <v>-23.54</v>
      </c>
      <c r="CG4834" s="74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5"/>
        <v>-24.38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5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5"/>
        <v>-550.38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5"/>
        <v>-65.614999999999995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74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5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74">
        <v>-16.734999999999999</v>
      </c>
      <c r="CM4839" s="74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5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5"/>
        <v>-24.92</v>
      </c>
      <c r="P4841" s="106">
        <v>-8.35</v>
      </c>
      <c r="Z4841" s="79">
        <v>-8.48</v>
      </c>
      <c r="CG4841" s="74">
        <v>-8.09</v>
      </c>
    </row>
    <row r="4842" spans="1:137" x14ac:dyDescent="0.25">
      <c r="A4842" s="127">
        <v>45619</v>
      </c>
      <c r="B4842" s="24" t="s">
        <v>20</v>
      </c>
      <c r="C4842" s="21">
        <f t="shared" si="75"/>
        <v>-17.425000000000001</v>
      </c>
      <c r="BO4842" s="74">
        <v>-8.8699999999999992</v>
      </c>
      <c r="CA4842" s="74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5"/>
        <v>-16.16</v>
      </c>
      <c r="BO4843" s="74">
        <v>-8.01</v>
      </c>
      <c r="BU4843" s="74">
        <v>-8.15</v>
      </c>
    </row>
    <row r="4844" spans="1:137" x14ac:dyDescent="0.25">
      <c r="A4844" s="127">
        <v>45619</v>
      </c>
      <c r="B4844" s="24" t="s">
        <v>212</v>
      </c>
      <c r="C4844" s="21">
        <f t="shared" si="75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74">
        <v>-7.9</v>
      </c>
      <c r="CM4844" s="74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5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5"/>
        <v>-16.14</v>
      </c>
      <c r="AN4846" s="74">
        <v>-8.0649999999999995</v>
      </c>
      <c r="BI4846" s="74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5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5"/>
        <v>-15.404999999999999</v>
      </c>
      <c r="BO4848" s="74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76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74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76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76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76"/>
        <v>-688.35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76"/>
        <v>-293.92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27">
        <v>45625</v>
      </c>
      <c r="B4854" s="24" t="s">
        <v>20</v>
      </c>
      <c r="C4854" s="21">
        <f t="shared" si="76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76"/>
        <v>-57.34</v>
      </c>
      <c r="BO4855" s="74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76"/>
        <v>-33.42</v>
      </c>
      <c r="BU4856" s="74">
        <v>-16.405000000000001</v>
      </c>
      <c r="CA4856" s="74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76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76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27">
        <v>45625</v>
      </c>
      <c r="B4859" s="24" t="s">
        <v>184</v>
      </c>
      <c r="C4859" s="21">
        <f t="shared" si="76"/>
        <v>-17.055</v>
      </c>
      <c r="CA4859" s="74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76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76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76"/>
        <v>-8.35</v>
      </c>
      <c r="CG4862" s="74">
        <v>-8.35</v>
      </c>
    </row>
    <row r="4863" spans="1:221" x14ac:dyDescent="0.25">
      <c r="A4863" s="127">
        <v>45626</v>
      </c>
      <c r="B4863" s="24" t="s">
        <v>127</v>
      </c>
      <c r="C4863" s="21">
        <f t="shared" si="76"/>
        <v>-7.8849999999999998</v>
      </c>
      <c r="BI4863" s="74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76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76"/>
        <v>-16.745000000000001</v>
      </c>
      <c r="CA4865" s="74">
        <v>-8.49</v>
      </c>
      <c r="CM4865" s="74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76"/>
        <v>-8.0950000000000006</v>
      </c>
      <c r="AR4866" s="74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76"/>
        <v>-149.04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76"/>
        <v>-8.0500000000000007</v>
      </c>
      <c r="BI4868" s="74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76"/>
        <v>-8.5</v>
      </c>
      <c r="CA4869" s="74">
        <v>-8.5</v>
      </c>
    </row>
    <row r="4870" spans="1:235" x14ac:dyDescent="0.25">
      <c r="A4870" s="127">
        <v>45629</v>
      </c>
      <c r="B4870" s="24" t="s">
        <v>20</v>
      </c>
      <c r="C4870" s="21">
        <f t="shared" si="76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76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76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76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76"/>
        <v>-8.1999999999999993</v>
      </c>
      <c r="CM4874" s="74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76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76"/>
        <v>-16.329999999999998</v>
      </c>
      <c r="CM4876" s="74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76"/>
        <v>-7.835</v>
      </c>
      <c r="BI4877" s="74">
        <v>-7.835</v>
      </c>
    </row>
    <row r="4878" spans="1:235" x14ac:dyDescent="0.25">
      <c r="A4878" s="127">
        <v>45632</v>
      </c>
      <c r="B4878" s="24" t="s">
        <v>33</v>
      </c>
      <c r="C4878" s="21">
        <f t="shared" si="76"/>
        <v>-8.1649999999999991</v>
      </c>
      <c r="BU4878" s="74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76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76"/>
        <v>-33.97</v>
      </c>
      <c r="CM4880" s="74">
        <v>-8.1999999999999993</v>
      </c>
      <c r="CY4880" s="74">
        <v>-25.77</v>
      </c>
    </row>
    <row r="4881" spans="1:249" x14ac:dyDescent="0.25">
      <c r="A4881" s="127">
        <v>45633</v>
      </c>
      <c r="B4881" s="24" t="s">
        <v>188</v>
      </c>
      <c r="C4881" s="21">
        <f t="shared" si="76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76"/>
        <v>-16.295000000000002</v>
      </c>
      <c r="CG4882" s="74">
        <v>-8.1300000000000008</v>
      </c>
      <c r="CM4882" s="74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76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76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76"/>
        <v>-16.07</v>
      </c>
      <c r="V4885" s="74">
        <v>-8.01</v>
      </c>
      <c r="CY4885" s="74">
        <v>-8.06</v>
      </c>
    </row>
    <row r="4886" spans="1:249" x14ac:dyDescent="0.25">
      <c r="A4886" s="127">
        <v>45636</v>
      </c>
      <c r="B4886" s="24" t="s">
        <v>212</v>
      </c>
      <c r="C4886" s="21">
        <f t="shared" si="76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76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76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74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76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74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76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74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76"/>
        <v>-16.215</v>
      </c>
      <c r="BO4891" s="74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76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74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76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76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76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428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74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74" t="s">
        <v>216</v>
      </c>
      <c r="BD4895" s="179"/>
      <c r="BE4895" s="179"/>
      <c r="BF4895" s="177"/>
      <c r="BG4895" s="178"/>
      <c r="BH4895" s="69"/>
      <c r="BI4895" s="74" t="s">
        <v>216</v>
      </c>
      <c r="BJ4895" s="179"/>
      <c r="BK4895" s="179"/>
      <c r="BL4895" s="115"/>
      <c r="BM4895" s="178"/>
      <c r="BN4895" s="69"/>
      <c r="BO4895" s="74" t="s">
        <v>216</v>
      </c>
      <c r="BP4895" s="179"/>
      <c r="BQ4895" s="179"/>
      <c r="BR4895" s="115"/>
      <c r="BS4895" s="178"/>
      <c r="BT4895" s="69"/>
      <c r="BU4895" s="74" t="s">
        <v>216</v>
      </c>
      <c r="BV4895" s="179"/>
      <c r="BW4895" s="179"/>
      <c r="BX4895" s="115"/>
      <c r="BY4895" s="178"/>
      <c r="BZ4895" s="179"/>
      <c r="CA4895" s="74"/>
      <c r="CB4895" s="179"/>
      <c r="CC4895" s="179"/>
      <c r="CD4895" s="182"/>
      <c r="CE4895" s="178"/>
      <c r="CF4895" s="69" t="s">
        <v>216</v>
      </c>
      <c r="CG4895" s="74"/>
      <c r="CH4895" s="179"/>
      <c r="CI4895" s="179"/>
      <c r="CJ4895" s="177"/>
      <c r="CK4895" s="178"/>
      <c r="CL4895" s="179"/>
      <c r="CM4895" s="74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74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74">
        <v>-6.875</v>
      </c>
      <c r="DL4895" s="179"/>
      <c r="DM4895" s="177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76"/>
        <v>0</v>
      </c>
    </row>
    <row r="4897" spans="1:233" x14ac:dyDescent="0.25">
      <c r="A4897" s="127">
        <v>45638</v>
      </c>
      <c r="B4897" s="24" t="s">
        <v>184</v>
      </c>
      <c r="C4897" s="21">
        <f t="shared" si="76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76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76"/>
        <v>-24.62</v>
      </c>
      <c r="BU4899" s="74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76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76"/>
        <v>-15.97</v>
      </c>
      <c r="BI4901" s="74">
        <v>-7.8449999999999998</v>
      </c>
      <c r="BO4901" s="74">
        <v>-8.125</v>
      </c>
    </row>
    <row r="4902" spans="1:233" x14ac:dyDescent="0.25">
      <c r="A4902" s="127">
        <v>45642</v>
      </c>
      <c r="B4902" s="24" t="s">
        <v>115</v>
      </c>
      <c r="C4902" s="21">
        <f t="shared" si="76"/>
        <v>102.83</v>
      </c>
      <c r="BR4902" s="115">
        <v>33.945</v>
      </c>
      <c r="BX4902" s="115">
        <v>33.33</v>
      </c>
      <c r="CD4902" s="182">
        <v>35.555</v>
      </c>
    </row>
    <row r="4903" spans="1:233" x14ac:dyDescent="0.25">
      <c r="A4903" s="127">
        <v>45643</v>
      </c>
      <c r="B4903" s="24" t="s">
        <v>184</v>
      </c>
      <c r="C4903" s="21">
        <f t="shared" si="76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5">
        <v>-16.98</v>
      </c>
      <c r="BX4903" s="115">
        <v>-16.66</v>
      </c>
      <c r="CD4903" s="182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27">
        <v>45643</v>
      </c>
      <c r="B4904" s="24" t="s">
        <v>192</v>
      </c>
      <c r="C4904" s="21">
        <f t="shared" si="76"/>
        <v>-8.7550000000000008</v>
      </c>
      <c r="CD4904" s="182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76"/>
        <v>-25.164999999999999</v>
      </c>
      <c r="BR4905" s="115">
        <v>-8.49</v>
      </c>
      <c r="BU4905" s="74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76"/>
        <v>-8.93</v>
      </c>
      <c r="CD4906" s="182">
        <v>-8.93</v>
      </c>
    </row>
    <row r="4907" spans="1:233" x14ac:dyDescent="0.25">
      <c r="A4907" s="127">
        <v>45643</v>
      </c>
      <c r="B4907" s="24" t="s">
        <v>50</v>
      </c>
      <c r="C4907" s="21">
        <f t="shared" si="76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76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5">
        <v>-8.4749999999999996</v>
      </c>
      <c r="CM4908" s="74">
        <v>-16.43</v>
      </c>
    </row>
    <row r="4909" spans="1:233" x14ac:dyDescent="0.25">
      <c r="A4909" s="127">
        <v>45643</v>
      </c>
      <c r="B4909" s="24" t="s">
        <v>152</v>
      </c>
      <c r="C4909" s="21">
        <f t="shared" si="76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76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76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76"/>
        <v>435.245</v>
      </c>
      <c r="BO4912" s="74">
        <v>31.35</v>
      </c>
      <c r="CA4912" s="74">
        <v>66</v>
      </c>
      <c r="CG4912" s="74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77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77"/>
        <v>-16.559999999999999</v>
      </c>
      <c r="CA4914" s="74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77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74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77"/>
        <v>-131.26499999999999</v>
      </c>
      <c r="BC4916" s="74">
        <v>-24.19</v>
      </c>
      <c r="BI4916" s="74">
        <v>-15.94</v>
      </c>
      <c r="BO4916" s="74">
        <v>-15.965</v>
      </c>
      <c r="BX4916" s="115">
        <v>-16.670000000000002</v>
      </c>
      <c r="CA4916" s="74">
        <v>-17.27</v>
      </c>
      <c r="CG4916" s="74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77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74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77"/>
        <v>-18.295000000000002</v>
      </c>
      <c r="CG4918" s="74">
        <v>-8.4250000000000007</v>
      </c>
      <c r="CM4918" s="74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77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77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77"/>
        <v>631.94399999999996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74">
        <v>66.680000000000007</v>
      </c>
      <c r="CM4921" s="74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77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77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74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77"/>
        <v>-65.185000000000002</v>
      </c>
      <c r="BU4924" s="74">
        <v>-31.454999999999998</v>
      </c>
      <c r="CG4924" s="74">
        <f>-8.435-8.395</f>
        <v>-16.829999999999998</v>
      </c>
      <c r="CY4924" s="74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77"/>
        <v>-17.004999999999999</v>
      </c>
      <c r="CM4925" s="74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77"/>
        <v>-16.149999999999999</v>
      </c>
      <c r="CA4926" s="74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77"/>
        <v>-24.184999999999999</v>
      </c>
      <c r="AW4927" s="74">
        <v>-8.1850000000000005</v>
      </c>
      <c r="CA4927" s="74">
        <v>-7.585</v>
      </c>
      <c r="CG4927" s="74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77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77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77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77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27">
        <v>45651</v>
      </c>
      <c r="B4932" s="24" t="s">
        <v>58</v>
      </c>
      <c r="C4932" s="21">
        <f t="shared" si="77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77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77"/>
        <v>131.94</v>
      </c>
      <c r="BI4934" s="74">
        <v>32.78</v>
      </c>
      <c r="BU4934" s="74">
        <v>32.854999999999997</v>
      </c>
      <c r="CG4934" s="74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77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74">
        <v>-33.67</v>
      </c>
    </row>
    <row r="4936" spans="1:241" x14ac:dyDescent="0.25">
      <c r="A4936" s="127">
        <v>45652</v>
      </c>
      <c r="B4936" s="24" t="s">
        <v>184</v>
      </c>
      <c r="C4936" s="21">
        <f t="shared" si="77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77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77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77"/>
        <v>-57.38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77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77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77"/>
        <v>182.06</v>
      </c>
      <c r="O4942" s="428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74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77"/>
        <v>-33.729999999999997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77"/>
        <v>-34.270000000000003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77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74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77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74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77"/>
        <v>-67.260000000000005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77"/>
        <v>-163.93</v>
      </c>
      <c r="BI4948" s="74">
        <v>-65.864999999999995</v>
      </c>
      <c r="CG4948" s="74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77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77"/>
        <v>-62.354999999999997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74">
        <v>-8.43</v>
      </c>
      <c r="CM4950" s="74">
        <v>-7.58</v>
      </c>
    </row>
    <row r="4951" spans="1:199" x14ac:dyDescent="0.25">
      <c r="A4951" s="127">
        <v>45659</v>
      </c>
      <c r="B4951" s="24" t="s">
        <v>53</v>
      </c>
      <c r="C4951" s="21">
        <f t="shared" si="77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74">
        <f>-32.82-8.005-8.005-8.165</f>
        <v>-56.994999999999997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77"/>
        <v>0.19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77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77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77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77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77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77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77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77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77"/>
        <v>-102.92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77"/>
        <v>-94.93</v>
      </c>
      <c r="BC4962" s="74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77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77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77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77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77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77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77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77"/>
        <v>781.78499999999997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74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77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74">
        <v>-16.524999999999999</v>
      </c>
      <c r="CM4971" s="74">
        <v>-8.24</v>
      </c>
    </row>
    <row r="4972" spans="1:221" x14ac:dyDescent="0.25">
      <c r="A4972" s="127">
        <v>45671</v>
      </c>
      <c r="B4972" s="24" t="s">
        <v>20</v>
      </c>
      <c r="C4972" s="21">
        <f t="shared" si="77"/>
        <v>-25.13</v>
      </c>
      <c r="BC4972" s="74">
        <v>-8.08</v>
      </c>
      <c r="BU4972" s="74">
        <v>-8.6950000000000003</v>
      </c>
      <c r="CG4972" s="74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77"/>
        <v>-34.155000000000001</v>
      </c>
      <c r="BU4973" s="74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77"/>
        <v>-16.68</v>
      </c>
      <c r="CG4974" s="74">
        <v>-16.68</v>
      </c>
    </row>
    <row r="4975" spans="1:221" x14ac:dyDescent="0.25">
      <c r="A4975" s="127">
        <v>45672</v>
      </c>
      <c r="B4975" s="24" t="s">
        <v>133</v>
      </c>
      <c r="C4975" s="21">
        <f t="shared" si="77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77"/>
        <v>-82.915000000000006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78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78"/>
        <v>-8.5299999999999994</v>
      </c>
      <c r="CA4978" s="74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78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27">
        <v>45673</v>
      </c>
      <c r="B4980" s="24" t="s">
        <v>184</v>
      </c>
      <c r="C4980" s="21">
        <f t="shared" si="78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78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27">
        <v>45674</v>
      </c>
      <c r="B4982" s="24" t="s">
        <v>20</v>
      </c>
      <c r="C4982" s="21">
        <f t="shared" si="78"/>
        <v>-8.5549999999999997</v>
      </c>
      <c r="CA4982" s="74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78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74">
        <v>-8.33</v>
      </c>
      <c r="CM4983" s="74">
        <v>-16.96</v>
      </c>
      <c r="CY4983" s="74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78"/>
        <v>-91.295000000000002</v>
      </c>
      <c r="BI4984" s="74">
        <v>-16.405000000000001</v>
      </c>
      <c r="CA4984" s="74">
        <v>-8.5549999999999997</v>
      </c>
      <c r="CG4984" s="74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78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78"/>
        <v>-141.08000000000001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78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78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78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78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78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78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78"/>
        <v>-12.85</v>
      </c>
      <c r="O4993" s="428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78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27">
        <v>45680</v>
      </c>
      <c r="B4995" s="24" t="s">
        <v>152</v>
      </c>
      <c r="C4995" s="21">
        <f t="shared" si="78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78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78"/>
        <v>658.04499999999996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74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78"/>
        <v>199.38499999999999</v>
      </c>
      <c r="BI4998" s="74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78"/>
        <v>-16.045000000000002</v>
      </c>
      <c r="BI4999" s="74">
        <v>-8.0649999999999995</v>
      </c>
      <c r="BO4999" s="74">
        <v>-7.98</v>
      </c>
    </row>
    <row r="5000" spans="1:216" x14ac:dyDescent="0.25">
      <c r="A5000" s="127">
        <v>45684</v>
      </c>
      <c r="B5000" s="24" t="s">
        <v>217</v>
      </c>
      <c r="C5000" s="21">
        <f t="shared" si="78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78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78"/>
        <v>-7.41</v>
      </c>
      <c r="BI5002" s="74">
        <v>-7.41</v>
      </c>
    </row>
    <row r="5003" spans="1:216" x14ac:dyDescent="0.25">
      <c r="A5003" s="127">
        <v>45685</v>
      </c>
      <c r="B5003" s="24" t="s">
        <v>79</v>
      </c>
      <c r="C5003" s="21">
        <f t="shared" si="78"/>
        <v>-7.97</v>
      </c>
      <c r="BO5003" s="74">
        <v>-7.97</v>
      </c>
    </row>
    <row r="5004" spans="1:216" x14ac:dyDescent="0.25">
      <c r="A5004" s="127">
        <v>45685</v>
      </c>
      <c r="B5004" s="24" t="s">
        <v>188</v>
      </c>
      <c r="C5004" s="21">
        <f t="shared" si="78"/>
        <v>-7.8449999999999998</v>
      </c>
      <c r="BI5004" s="74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78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27">
        <v>45685</v>
      </c>
      <c r="B5006" s="24" t="s">
        <v>180</v>
      </c>
      <c r="C5006" s="21">
        <f t="shared" si="78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78"/>
        <v>-8.1199999999999992</v>
      </c>
      <c r="BI5007" s="74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78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78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78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78"/>
        <v>-86.39</v>
      </c>
      <c r="AN5011" s="74">
        <v>-34.024999999999999</v>
      </c>
      <c r="BU5011" s="74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78"/>
        <v>-31.855</v>
      </c>
      <c r="CA5012" s="74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78"/>
        <v>-99.224999999999994</v>
      </c>
      <c r="BC5013" s="74">
        <v>-16.614999999999998</v>
      </c>
      <c r="BU5013" s="74">
        <v>-17.324999999999999</v>
      </c>
      <c r="CG5013" s="74">
        <v>-25.355</v>
      </c>
      <c r="DA5013" s="126">
        <v>-9.23</v>
      </c>
      <c r="DD5013" s="69">
        <v>-5.8</v>
      </c>
      <c r="DK5013" s="74">
        <v>-24.9</v>
      </c>
    </row>
    <row r="5014" spans="1:230" x14ac:dyDescent="0.25">
      <c r="A5014" s="127">
        <v>45686</v>
      </c>
      <c r="B5014" s="24" t="s">
        <v>115</v>
      </c>
      <c r="C5014" s="21">
        <f t="shared" si="78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78"/>
        <v>-64.12</v>
      </c>
      <c r="CA5015" s="74">
        <v>-31.66</v>
      </c>
      <c r="CM5015" s="74">
        <v>-32.46</v>
      </c>
    </row>
    <row r="5016" spans="1:230" x14ac:dyDescent="0.25">
      <c r="A5016" s="127">
        <v>45687</v>
      </c>
      <c r="B5016" s="24" t="s">
        <v>31</v>
      </c>
      <c r="C5016" s="21">
        <f t="shared" si="78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78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78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78"/>
        <v>-16.145</v>
      </c>
      <c r="AW5019" s="74">
        <v>-8.1999999999999993</v>
      </c>
      <c r="BI5019" s="74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78"/>
        <v>-7</v>
      </c>
      <c r="BI5020" s="74">
        <v>-7</v>
      </c>
    </row>
    <row r="5021" spans="1:230" x14ac:dyDescent="0.25">
      <c r="A5021" s="127">
        <v>45688</v>
      </c>
      <c r="B5021" s="24" t="s">
        <v>192</v>
      </c>
      <c r="C5021" s="21">
        <f t="shared" si="78"/>
        <v>-8.1549999999999994</v>
      </c>
      <c r="CA5021" s="74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78"/>
        <v>-129.66499999999999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74">
        <v>-24.92</v>
      </c>
      <c r="CM5022" s="74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78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78"/>
        <v>-47.87</v>
      </c>
      <c r="AC5024" s="74">
        <v>-17.215</v>
      </c>
      <c r="CA5024" s="74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78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78"/>
        <v>-23.805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27">
        <v>45688</v>
      </c>
      <c r="B5027" s="24" t="s">
        <v>113</v>
      </c>
      <c r="C5027" s="21">
        <f t="shared" si="78"/>
        <v>902.55499999999995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74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78"/>
        <v>-15.455</v>
      </c>
      <c r="BO5028" s="74">
        <v>-8.4450000000000003</v>
      </c>
      <c r="BU5028" s="74">
        <v>-7.01</v>
      </c>
    </row>
    <row r="5029" spans="1:231" x14ac:dyDescent="0.25">
      <c r="A5029" s="127">
        <v>45691</v>
      </c>
      <c r="B5029" s="24" t="s">
        <v>212</v>
      </c>
      <c r="C5029" s="21">
        <f t="shared" si="78"/>
        <v>-8.5749999999999993</v>
      </c>
      <c r="CA5029" s="74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78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74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78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78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78"/>
        <v>-40.03</v>
      </c>
      <c r="CA5033" s="74">
        <v>-31.03</v>
      </c>
      <c r="CG5033" s="74">
        <v>-9</v>
      </c>
    </row>
    <row r="5034" spans="1:231" x14ac:dyDescent="0.25">
      <c r="A5034" s="127">
        <v>45693</v>
      </c>
      <c r="B5034" s="24" t="s">
        <v>20</v>
      </c>
      <c r="C5034" s="21">
        <f t="shared" si="78"/>
        <v>0</v>
      </c>
    </row>
    <row r="5035" spans="1:231" x14ac:dyDescent="0.25">
      <c r="A5035" s="127">
        <v>45693</v>
      </c>
      <c r="B5035" s="24" t="s">
        <v>212</v>
      </c>
      <c r="C5035" s="21">
        <f t="shared" si="78"/>
        <v>-225.61500000000001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74">
        <v>-33.119999999999997</v>
      </c>
      <c r="CM5035" s="74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78"/>
        <v>-15.285</v>
      </c>
      <c r="AJ5036" s="163">
        <v>-3</v>
      </c>
      <c r="BI5036" s="74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78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78"/>
        <v>-46.704999999999998</v>
      </c>
      <c r="BI5038" s="74">
        <f>-8.13-7.225-7.095</f>
        <v>-22.45</v>
      </c>
      <c r="CG5038" s="74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78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78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74">
        <v>-8.7100000000000009</v>
      </c>
      <c r="CM5040" s="74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79">SUM(D5041:JT5041)</f>
        <v>-16.600000000000001</v>
      </c>
      <c r="BO5041" s="74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79"/>
        <v>-9.27</v>
      </c>
      <c r="BU5042" s="74">
        <v>-9.27</v>
      </c>
    </row>
    <row r="5043" spans="1:216" x14ac:dyDescent="0.25">
      <c r="A5043" s="127">
        <v>45695</v>
      </c>
      <c r="B5043" s="24" t="s">
        <v>127</v>
      </c>
      <c r="C5043" s="21">
        <f t="shared" si="79"/>
        <v>-15.494999999999999</v>
      </c>
      <c r="BI5043" s="74">
        <v>-7.5650000000000004</v>
      </c>
      <c r="BO5043" s="74">
        <v>-7.93</v>
      </c>
    </row>
    <row r="5044" spans="1:216" x14ac:dyDescent="0.25">
      <c r="A5044" s="127">
        <v>45695</v>
      </c>
      <c r="B5044" s="24" t="s">
        <v>20</v>
      </c>
      <c r="C5044" s="21">
        <f t="shared" si="79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79"/>
        <v>-16.785</v>
      </c>
      <c r="AR5045" s="74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79"/>
        <v>758.6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79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79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74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79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79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79"/>
        <v>-15.865</v>
      </c>
      <c r="AW5051" s="74">
        <v>-8.16</v>
      </c>
      <c r="BU5051" s="74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79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79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27">
        <v>45699</v>
      </c>
      <c r="B5054" s="24" t="s">
        <v>17</v>
      </c>
      <c r="C5054" s="21">
        <f t="shared" si="79"/>
        <v>-32.024999999999999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27">
        <v>45699</v>
      </c>
      <c r="B5055" s="24" t="s">
        <v>48</v>
      </c>
      <c r="C5055" s="21">
        <f t="shared" si="79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79"/>
        <v>-16.805</v>
      </c>
      <c r="BO5056" s="74">
        <v>-8.23</v>
      </c>
      <c r="BU5056" s="74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79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74">
        <v>-8.67</v>
      </c>
      <c r="CM5057" s="74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79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79"/>
        <v>-82.805000000000007</v>
      </c>
      <c r="BO5059" s="74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79"/>
        <v>-23.42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79"/>
        <v>-16.135000000000002</v>
      </c>
      <c r="CY5061" s="74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79"/>
        <v>-16.13</v>
      </c>
      <c r="CY5062" s="74">
        <v>-16.13</v>
      </c>
    </row>
    <row r="5063" spans="1:233" x14ac:dyDescent="0.25">
      <c r="A5063" s="127">
        <v>45702</v>
      </c>
      <c r="B5063" s="24" t="s">
        <v>25</v>
      </c>
      <c r="C5063" s="21">
        <f t="shared" si="79"/>
        <v>-8.375</v>
      </c>
      <c r="BC5063" s="74">
        <v>-8.375</v>
      </c>
    </row>
    <row r="5064" spans="1:233" x14ac:dyDescent="0.25">
      <c r="A5064" s="127">
        <v>45702</v>
      </c>
      <c r="B5064" s="24" t="s">
        <v>50</v>
      </c>
      <c r="C5064" s="21">
        <f t="shared" si="79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79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79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79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79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79"/>
        <v>-79.569999999999993</v>
      </c>
      <c r="BU5069" s="74">
        <v>-15.455</v>
      </c>
      <c r="BZ5069" s="69">
        <v>-16.934999999999999</v>
      </c>
      <c r="CG5069" s="74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79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79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79"/>
        <v>-17.04</v>
      </c>
      <c r="BI5072" s="74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79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79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79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79"/>
        <v>744.62</v>
      </c>
      <c r="BC5076" s="74">
        <v>33.534999999999997</v>
      </c>
      <c r="CA5076" s="74">
        <v>73.075000000000003</v>
      </c>
      <c r="CG5076" s="74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79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27">
        <v>45707</v>
      </c>
      <c r="B5078" s="24" t="s">
        <v>213</v>
      </c>
      <c r="C5078" s="21">
        <f t="shared" si="79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79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74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79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79"/>
        <v>-32.68</v>
      </c>
      <c r="CA5081" s="74">
        <v>-5.2549999999999999</v>
      </c>
      <c r="CG5081" s="74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79"/>
        <v>-33.534999999999997</v>
      </c>
      <c r="BC5082" s="74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79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79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79"/>
        <v>-16.010000000000002</v>
      </c>
      <c r="BC5085" s="74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79"/>
        <v>-16.405000000000001</v>
      </c>
      <c r="AW5086" s="74">
        <v>-8.2149999999999999</v>
      </c>
      <c r="BO5086" s="74">
        <v>-8.19</v>
      </c>
    </row>
    <row r="5087" spans="1:242" x14ac:dyDescent="0.25">
      <c r="A5087" s="127">
        <v>45709</v>
      </c>
      <c r="B5087" s="24" t="s">
        <v>137</v>
      </c>
      <c r="C5087" s="21">
        <f t="shared" si="79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27">
        <v>45709</v>
      </c>
      <c r="B5088" s="24" t="s">
        <v>146</v>
      </c>
      <c r="C5088" s="21">
        <f t="shared" si="79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79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79"/>
        <v>-32.465000000000003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27">
        <v>45712</v>
      </c>
      <c r="B5091" s="24" t="s">
        <v>115</v>
      </c>
      <c r="C5091" s="21">
        <f t="shared" si="79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79"/>
        <v>-17.079999999999998</v>
      </c>
      <c r="BO5092" s="74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79"/>
        <v>-8.08</v>
      </c>
      <c r="BO5093" s="74">
        <v>-8.08</v>
      </c>
    </row>
    <row r="5094" spans="1:131" x14ac:dyDescent="0.25">
      <c r="A5094" s="127">
        <v>45713</v>
      </c>
      <c r="B5094" s="24" t="s">
        <v>139</v>
      </c>
      <c r="C5094" s="21">
        <f t="shared" si="79"/>
        <v>-50.354999999999997</v>
      </c>
      <c r="AN5094" s="74">
        <v>-8.7750000000000004</v>
      </c>
      <c r="BU5094" s="74">
        <v>-8.4049999999999994</v>
      </c>
      <c r="CA5094" s="74">
        <v>-7.8</v>
      </c>
      <c r="CG5094" s="74">
        <v>-8.77</v>
      </c>
      <c r="CM5094" s="74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79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79"/>
        <v>-7.62</v>
      </c>
      <c r="BO5096" s="74">
        <v>-7.62</v>
      </c>
    </row>
    <row r="5097" spans="1:131" x14ac:dyDescent="0.25">
      <c r="A5097" s="127">
        <v>45714</v>
      </c>
      <c r="B5097" s="24" t="s">
        <v>213</v>
      </c>
      <c r="C5097" s="21">
        <f t="shared" si="79"/>
        <v>-8.3849999999999998</v>
      </c>
      <c r="BI5097" s="74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79"/>
        <v>-23.184999999999999</v>
      </c>
      <c r="CA5098" s="74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79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79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79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79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79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79"/>
        <v>-126.16</v>
      </c>
      <c r="BB5104" s="69">
        <v>-8.5250000000000004</v>
      </c>
      <c r="BZ5104" s="69">
        <v>-8.0399999999999991</v>
      </c>
      <c r="CG5104" s="74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0">SUM(D5105:JT5105)</f>
        <v>-67.165000000000006</v>
      </c>
      <c r="DK5105" s="74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0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0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0"/>
        <v>-49.74</v>
      </c>
      <c r="AW5108" s="74">
        <v>-8.16</v>
      </c>
      <c r="BI5108" s="74">
        <v>-8.36</v>
      </c>
      <c r="BO5108" s="74">
        <v>-8.1850000000000005</v>
      </c>
      <c r="CG5108" s="74">
        <v>-7.73</v>
      </c>
      <c r="CM5108" s="74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0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0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0"/>
        <v>-16.260000000000002</v>
      </c>
      <c r="BZ5111" s="69">
        <v>-7.78</v>
      </c>
      <c r="CG5111" s="74">
        <v>-8.48</v>
      </c>
    </row>
    <row r="5112" spans="1:237" x14ac:dyDescent="0.25">
      <c r="A5112" s="127">
        <v>45721</v>
      </c>
      <c r="B5112" s="24" t="s">
        <v>146</v>
      </c>
      <c r="C5112" s="21">
        <f t="shared" si="80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0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0"/>
        <v>-16.77</v>
      </c>
      <c r="AN5114" s="74">
        <v>-8.52</v>
      </c>
      <c r="AR5114" s="74">
        <v>-8.25</v>
      </c>
    </row>
    <row r="5115" spans="1:237" x14ac:dyDescent="0.25">
      <c r="A5115" s="127">
        <v>45721</v>
      </c>
      <c r="B5115" s="24" t="s">
        <v>48</v>
      </c>
      <c r="C5115" s="21">
        <f t="shared" si="80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0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0"/>
        <v>-115.485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0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0"/>
        <v>-8.59</v>
      </c>
      <c r="BU5119" s="74">
        <v>-8.59</v>
      </c>
    </row>
    <row r="5120" spans="1:237" x14ac:dyDescent="0.25">
      <c r="A5120" s="127">
        <v>45722</v>
      </c>
      <c r="B5120" s="24" t="s">
        <v>188</v>
      </c>
      <c r="C5120" s="21">
        <f t="shared" si="80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0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0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0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0"/>
        <v>693.26499999999999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0"/>
        <v>-16.86</v>
      </c>
      <c r="BB5125" s="69">
        <v>-8.48</v>
      </c>
      <c r="BI5125" s="74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0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0"/>
        <v>-196.89500000000001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0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74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0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0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0"/>
        <v>-16.125</v>
      </c>
      <c r="CG5131" s="74">
        <v>-8.2349999999999994</v>
      </c>
      <c r="CM5131" s="74">
        <v>-7.89</v>
      </c>
    </row>
    <row r="5132" spans="1:199" x14ac:dyDescent="0.25">
      <c r="A5132" s="127">
        <v>45727</v>
      </c>
      <c r="B5132" s="24" t="s">
        <v>24</v>
      </c>
      <c r="C5132" s="21">
        <f t="shared" si="80"/>
        <v>-16.785</v>
      </c>
      <c r="BH5132" s="69">
        <v>-8.42</v>
      </c>
      <c r="BI5132" s="74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0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0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0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0"/>
        <v>-2.8</v>
      </c>
      <c r="AN5136" s="74">
        <v>-1.1000000000000001</v>
      </c>
      <c r="AR5136" s="74">
        <v>-1.7</v>
      </c>
    </row>
    <row r="5137" spans="1:242" x14ac:dyDescent="0.25">
      <c r="A5137" s="127">
        <v>45730</v>
      </c>
      <c r="B5137" s="24" t="s">
        <v>64</v>
      </c>
      <c r="C5137" s="21">
        <f t="shared" si="80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0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0"/>
        <v>-16.754999999999999</v>
      </c>
      <c r="CG5139" s="74">
        <v>-8.5150000000000006</v>
      </c>
      <c r="CM5139" s="74">
        <v>-8.24</v>
      </c>
    </row>
    <row r="5140" spans="1:242" x14ac:dyDescent="0.25">
      <c r="A5140" s="127">
        <v>45733</v>
      </c>
      <c r="B5140" s="24" t="s">
        <v>122</v>
      </c>
      <c r="C5140" s="21">
        <f t="shared" si="80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0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74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0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27">
        <v>45734</v>
      </c>
      <c r="B5143" s="24" t="s">
        <v>20</v>
      </c>
      <c r="C5143" s="21">
        <f t="shared" si="80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0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0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0"/>
        <v>-12.715</v>
      </c>
      <c r="BU5146" s="74">
        <v>-5.4850000000000003</v>
      </c>
      <c r="CA5146" s="74">
        <v>-7.23</v>
      </c>
    </row>
    <row r="5147" spans="1:242" x14ac:dyDescent="0.25">
      <c r="A5147" s="127">
        <v>45734</v>
      </c>
      <c r="B5147" s="24" t="s">
        <v>138</v>
      </c>
      <c r="C5147" s="21">
        <f t="shared" si="80"/>
        <v>-23.734999999999999</v>
      </c>
      <c r="Z5147" s="79">
        <v>-7.26</v>
      </c>
      <c r="BT5147" s="69">
        <v>-8.3800000000000008</v>
      </c>
      <c r="CG5147" s="74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0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0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0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0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0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0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0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0"/>
        <v>-8.5549999999999997</v>
      </c>
      <c r="CG5155" s="74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0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0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0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0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0"/>
        <v>-27.795000000000002</v>
      </c>
      <c r="CA5160" s="74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0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0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0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0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0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0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0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0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1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1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1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1"/>
        <v>-65.98</v>
      </c>
      <c r="DJ5172" s="69">
        <v>-50.284999999999997</v>
      </c>
      <c r="DK5172" s="74">
        <v>-8.2949999999999999</v>
      </c>
      <c r="DM5172" s="150">
        <v>-7.4</v>
      </c>
    </row>
    <row r="5173" spans="1:226" x14ac:dyDescent="0.25">
      <c r="A5173" s="127">
        <v>45751</v>
      </c>
      <c r="B5173" s="24" t="s">
        <v>31</v>
      </c>
      <c r="C5173" s="21">
        <f t="shared" si="81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1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1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1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1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1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1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1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1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1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1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1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1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1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1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1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1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1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1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1"/>
        <v>195.44499999999999</v>
      </c>
      <c r="BC5192" s="74">
        <v>64.025000000000006</v>
      </c>
      <c r="CA5192" s="74">
        <v>67.89</v>
      </c>
      <c r="CG5192" s="74">
        <v>63.53</v>
      </c>
    </row>
    <row r="5193" spans="1:199" x14ac:dyDescent="0.25">
      <c r="A5193" s="127">
        <v>45758</v>
      </c>
      <c r="B5193" s="24" t="s">
        <v>113</v>
      </c>
      <c r="C5193" s="21">
        <f t="shared" si="81"/>
        <v>988.98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1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1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1"/>
        <v>-23.96</v>
      </c>
      <c r="BI5196" s="74">
        <v>-8.14</v>
      </c>
      <c r="BO5196" s="74">
        <v>-8.08</v>
      </c>
      <c r="CG5196" s="74">
        <v>-7.74</v>
      </c>
    </row>
    <row r="5197" spans="1:199" x14ac:dyDescent="0.25">
      <c r="A5197" s="127">
        <v>45758</v>
      </c>
      <c r="B5197" s="24" t="s">
        <v>79</v>
      </c>
      <c r="C5197" s="21">
        <f t="shared" si="81"/>
        <v>-16.420000000000002</v>
      </c>
      <c r="AW5197" s="74">
        <v>-8.25</v>
      </c>
      <c r="BI5197" s="74">
        <v>-8.17</v>
      </c>
    </row>
    <row r="5198" spans="1:199" x14ac:dyDescent="0.25">
      <c r="A5198" s="127">
        <v>45758</v>
      </c>
      <c r="B5198" s="24" t="s">
        <v>75</v>
      </c>
      <c r="C5198" s="21">
        <f t="shared" si="81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1"/>
        <v>-97.1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1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1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1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1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74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1"/>
        <v>-8.3650000000000002</v>
      </c>
      <c r="BU5204" s="74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1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1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1"/>
        <v>877.52499999999998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74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1"/>
        <v>-51.884999999999998</v>
      </c>
      <c r="BO5208" s="74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1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1"/>
        <v>-16.739999999999998</v>
      </c>
      <c r="BU5210" s="74">
        <v>-8.31</v>
      </c>
      <c r="CA5210" s="74">
        <v>-8.43</v>
      </c>
    </row>
    <row r="5211" spans="1:216" x14ac:dyDescent="0.25">
      <c r="A5211" s="127">
        <v>45764</v>
      </c>
      <c r="B5211" s="24" t="s">
        <v>112</v>
      </c>
      <c r="C5211" s="21">
        <f t="shared" si="81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1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1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1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1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1"/>
        <v>-16.190000000000001</v>
      </c>
      <c r="CS5216" s="74">
        <v>-8.01</v>
      </c>
      <c r="CY5216" s="74">
        <v>-8.18</v>
      </c>
    </row>
    <row r="5217" spans="1:231" x14ac:dyDescent="0.25">
      <c r="A5217" s="127">
        <v>45764</v>
      </c>
      <c r="B5217" s="24" t="s">
        <v>184</v>
      </c>
      <c r="C5217" s="21">
        <f t="shared" si="81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1"/>
        <v>-8.0850000000000009</v>
      </c>
      <c r="BI5218" s="74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1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27">
        <v>45766</v>
      </c>
      <c r="B5220" s="24" t="s">
        <v>218</v>
      </c>
      <c r="C5220" s="21">
        <f t="shared" si="81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1"/>
        <v>-16.684999999999999</v>
      </c>
      <c r="AB5221" s="69">
        <v>-8.5950000000000006</v>
      </c>
      <c r="BI5221" s="74">
        <v>-8.09</v>
      </c>
    </row>
    <row r="5222" spans="1:231" x14ac:dyDescent="0.25">
      <c r="A5222" s="127">
        <v>45768</v>
      </c>
      <c r="B5222" s="24" t="s">
        <v>222</v>
      </c>
      <c r="C5222" s="21">
        <f t="shared" si="81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1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27">
        <v>45769</v>
      </c>
      <c r="B5224" s="24" t="s">
        <v>197</v>
      </c>
      <c r="C5224" s="21">
        <f t="shared" si="81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1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74">
        <v>-8.4499999999999993</v>
      </c>
      <c r="CM5225" s="74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1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74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1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1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1"/>
        <v>-25.23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27">
        <v>45769</v>
      </c>
      <c r="B5230" s="24" t="s">
        <v>50</v>
      </c>
      <c r="C5230" s="21">
        <f t="shared" si="81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1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1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2">SUM(D5233:JT5233)</f>
        <v>-25.24</v>
      </c>
      <c r="AR5233" s="74">
        <v>-8.5649999999999995</v>
      </c>
      <c r="CA5233" s="74">
        <v>-8.4</v>
      </c>
      <c r="CG5233" s="74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2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2"/>
        <v>-23.93</v>
      </c>
      <c r="BC5235" s="74">
        <v>-8.0950000000000006</v>
      </c>
      <c r="CA5235" s="74">
        <v>-8.6199999999999992</v>
      </c>
      <c r="CG5235" s="74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2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2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74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2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2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2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2"/>
        <v>-63.61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2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2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2"/>
        <v>-87.614999999999995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74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2"/>
        <v>-15.975</v>
      </c>
      <c r="AW5245" s="74">
        <v>-8.0950000000000006</v>
      </c>
      <c r="BO5245" s="74">
        <v>-7.88</v>
      </c>
    </row>
    <row r="5246" spans="1:137" x14ac:dyDescent="0.25">
      <c r="A5246" s="127">
        <v>45772</v>
      </c>
      <c r="B5246" s="24" t="s">
        <v>20</v>
      </c>
      <c r="C5246" s="21">
        <f t="shared" si="82"/>
        <v>-24.765000000000001</v>
      </c>
      <c r="BU5246" s="74">
        <v>-7.8949999999999996</v>
      </c>
      <c r="BZ5246" s="69">
        <v>-8.5399999999999991</v>
      </c>
      <c r="CG5246" s="74">
        <v>-8.33</v>
      </c>
    </row>
    <row r="5247" spans="1:137" x14ac:dyDescent="0.25">
      <c r="A5247" s="127">
        <v>45772</v>
      </c>
      <c r="B5247" s="24" t="s">
        <v>197</v>
      </c>
      <c r="C5247" s="21">
        <f t="shared" si="82"/>
        <v>-92.41</v>
      </c>
      <c r="BU5247" s="74">
        <v>-16.895</v>
      </c>
      <c r="BZ5247" s="69">
        <v>-8.52</v>
      </c>
      <c r="CG5247" s="74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2"/>
        <v>-34.18</v>
      </c>
      <c r="DK5248" s="74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2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2"/>
        <v>-8.1999999999999993</v>
      </c>
      <c r="CM5250" s="74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2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2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2"/>
        <v>-19.055</v>
      </c>
      <c r="AG5253" s="106">
        <v>-35.774999999999999</v>
      </c>
      <c r="BZ5253" s="69">
        <v>-8.58</v>
      </c>
      <c r="CA5253" s="74">
        <v>-8.6449999999999996</v>
      </c>
      <c r="CG5253" s="74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2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2"/>
        <v>-96.98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2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2"/>
        <v>-8.4450000000000003</v>
      </c>
      <c r="BU5257" s="74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2"/>
        <v>-26.97</v>
      </c>
      <c r="CY5258" s="74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2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2"/>
        <v>-17.295000000000002</v>
      </c>
      <c r="BU5260" s="74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2"/>
        <v>-136.58500000000001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2"/>
        <v>905.68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74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2"/>
        <v>-83.17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74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2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27">
        <v>45784</v>
      </c>
      <c r="B5265" s="24" t="s">
        <v>139</v>
      </c>
      <c r="C5265" s="21">
        <f t="shared" si="82"/>
        <v>-25.15</v>
      </c>
      <c r="BU5265" s="74">
        <v>-8.4649999999999999</v>
      </c>
      <c r="CA5265" s="74">
        <v>-7.88</v>
      </c>
      <c r="CG5265" s="74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2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2"/>
        <v>-133.14500000000001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74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2"/>
        <v>-57.994999999999997</v>
      </c>
      <c r="AR5268" s="74">
        <v>-8.3849999999999998</v>
      </c>
      <c r="AW5268" s="74">
        <f>-8.17-8.015-9.06</f>
        <v>-25.245000000000001</v>
      </c>
      <c r="BC5268" s="74">
        <f>-8.01-8.02</f>
        <v>-16.03</v>
      </c>
      <c r="BO5268" s="74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2"/>
        <v>-8.0850000000000009</v>
      </c>
      <c r="AR5269" s="74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2"/>
        <v>-16.364999999999998</v>
      </c>
      <c r="AR5270" s="74">
        <v>-8.3450000000000006</v>
      </c>
      <c r="BC5270" s="74">
        <v>-8.02</v>
      </c>
    </row>
    <row r="5271" spans="1:131" x14ac:dyDescent="0.25">
      <c r="A5271" s="127">
        <v>45785</v>
      </c>
      <c r="B5271" s="24" t="s">
        <v>32</v>
      </c>
      <c r="C5271" s="21">
        <f t="shared" si="82"/>
        <v>-43.71</v>
      </c>
      <c r="AR5271" s="74">
        <v>-8.3450000000000006</v>
      </c>
      <c r="CG5271" s="74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2"/>
        <v>-16.79</v>
      </c>
      <c r="AW5272" s="74">
        <v>-8.8000000000000007</v>
      </c>
      <c r="BC5272" s="74">
        <v>-7.99</v>
      </c>
    </row>
    <row r="5273" spans="1:131" x14ac:dyDescent="0.25">
      <c r="A5273" s="127">
        <v>45785</v>
      </c>
      <c r="B5273" s="24" t="s">
        <v>174</v>
      </c>
      <c r="C5273" s="21">
        <f t="shared" si="82"/>
        <v>-8.44</v>
      </c>
      <c r="BU5273" s="74">
        <v>-8.44</v>
      </c>
    </row>
    <row r="5274" spans="1:131" x14ac:dyDescent="0.25">
      <c r="A5274" s="127">
        <v>45786</v>
      </c>
      <c r="B5274" s="24" t="s">
        <v>113</v>
      </c>
      <c r="C5274" s="21">
        <f t="shared" si="82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2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2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2"/>
        <v>-26.734999999999999</v>
      </c>
      <c r="BC5277" s="74">
        <v>-8.0549999999999997</v>
      </c>
      <c r="BI5277" s="74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2"/>
        <v>-91.114999999999995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2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2"/>
        <v>-17.015000000000001</v>
      </c>
      <c r="AR5280" s="74">
        <v>-8.44</v>
      </c>
      <c r="BU5280" s="74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2"/>
        <v>-7.8949999999999996</v>
      </c>
      <c r="CA5281" s="74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2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2"/>
        <v>-31.41</v>
      </c>
      <c r="BC5283" s="74">
        <v>-8</v>
      </c>
      <c r="BI5283" s="74">
        <v>-8.3699999999999992</v>
      </c>
      <c r="BO5283" s="74">
        <v>-8.4749999999999996</v>
      </c>
      <c r="CG5283" s="74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2"/>
        <v>-15.77</v>
      </c>
      <c r="CA5284" s="74">
        <v>-15.77</v>
      </c>
    </row>
    <row r="5285" spans="1:91" x14ac:dyDescent="0.25">
      <c r="A5285" s="127">
        <v>45790</v>
      </c>
      <c r="B5285" s="24" t="s">
        <v>139</v>
      </c>
      <c r="C5285" s="21">
        <f t="shared" si="82"/>
        <v>-15.55</v>
      </c>
      <c r="CA5285" s="74">
        <v>-6.71</v>
      </c>
      <c r="CG5285" s="74">
        <v>-8.84</v>
      </c>
    </row>
    <row r="5286" spans="1:91" x14ac:dyDescent="0.25">
      <c r="A5286" s="127">
        <v>45790</v>
      </c>
      <c r="B5286" s="24" t="s">
        <v>75</v>
      </c>
      <c r="C5286" s="21">
        <f t="shared" si="82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74">
        <v>-8.875</v>
      </c>
    </row>
    <row r="5287" spans="1:91" x14ac:dyDescent="0.25">
      <c r="A5287" s="127">
        <v>45791</v>
      </c>
      <c r="B5287" s="24" t="s">
        <v>58</v>
      </c>
      <c r="C5287" s="21">
        <f t="shared" si="82"/>
        <v>-8.2550000000000008</v>
      </c>
      <c r="CM5287" s="74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2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2"/>
        <v>0</v>
      </c>
    </row>
    <row r="5290" spans="1:91" x14ac:dyDescent="0.25">
      <c r="A5290" s="127">
        <v>45792</v>
      </c>
      <c r="B5290" s="24" t="s">
        <v>202</v>
      </c>
      <c r="C5290" s="21">
        <f t="shared" si="82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2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2"/>
        <v>-14.824999999999999</v>
      </c>
      <c r="AR5292" s="74">
        <v>-7.7350000000000003</v>
      </c>
      <c r="BC5292" s="74">
        <v>-7.09</v>
      </c>
    </row>
    <row r="5293" spans="1:91" x14ac:dyDescent="0.25">
      <c r="A5293" s="127">
        <v>45796</v>
      </c>
      <c r="B5293" s="24" t="s">
        <v>213</v>
      </c>
      <c r="C5293" s="21">
        <f t="shared" si="82"/>
        <v>-36.655000000000001</v>
      </c>
      <c r="AN5293" s="74">
        <v>-3.04</v>
      </c>
      <c r="AR5293" s="74">
        <f>-4.42-4.36</f>
        <v>-8.7799999999999994</v>
      </c>
      <c r="AW5293" s="74">
        <v>-7.98</v>
      </c>
      <c r="BI5293" s="74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2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2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2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3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3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3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3"/>
        <v>935.29499999999996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74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3"/>
        <v>-497.13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74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3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27">
        <v>45799</v>
      </c>
      <c r="B5303" s="24" t="s">
        <v>218</v>
      </c>
      <c r="C5303" s="21">
        <f t="shared" si="83"/>
        <v>-72.915000000000006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3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3"/>
        <v>-8.93</v>
      </c>
      <c r="BU5305" s="74">
        <v>-8.93</v>
      </c>
    </row>
    <row r="5306" spans="1:199" x14ac:dyDescent="0.25">
      <c r="A5306" s="127">
        <v>45800</v>
      </c>
      <c r="B5306" s="24" t="s">
        <v>75</v>
      </c>
      <c r="C5306" s="21">
        <f t="shared" si="83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3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3"/>
        <v>-32.28</v>
      </c>
      <c r="BO5308" s="74">
        <v>-8.2100000000000009</v>
      </c>
      <c r="BU5308" s="74">
        <v>-8.2799999999999994</v>
      </c>
      <c r="CG5308" s="74">
        <v>-7.56</v>
      </c>
      <c r="CM5308" s="74">
        <v>-8.23</v>
      </c>
    </row>
    <row r="5309" spans="1:199" x14ac:dyDescent="0.25">
      <c r="A5309" s="127">
        <v>45800</v>
      </c>
      <c r="B5309" s="24" t="s">
        <v>139</v>
      </c>
      <c r="C5309" s="21">
        <f t="shared" si="83"/>
        <v>-23.72</v>
      </c>
      <c r="BU5309" s="74">
        <v>-8.3650000000000002</v>
      </c>
      <c r="CA5309" s="74">
        <v>-8.4550000000000001</v>
      </c>
      <c r="CG5309" s="74">
        <v>-6.9</v>
      </c>
    </row>
    <row r="5310" spans="1:199" x14ac:dyDescent="0.25">
      <c r="A5310" s="127">
        <v>45800</v>
      </c>
      <c r="B5310" s="24" t="s">
        <v>171</v>
      </c>
      <c r="C5310" s="21">
        <f t="shared" si="83"/>
        <v>-8.2050000000000001</v>
      </c>
      <c r="BI5310" s="74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3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3"/>
        <v>-143.37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3"/>
        <v>-126.795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74">
        <v>-28.9</v>
      </c>
      <c r="CY5313" s="74">
        <v>-16.21</v>
      </c>
    </row>
    <row r="5314" spans="1:208" x14ac:dyDescent="0.25">
      <c r="A5314" s="127">
        <v>45803</v>
      </c>
      <c r="B5314" s="24" t="s">
        <v>33</v>
      </c>
      <c r="C5314" s="21">
        <f t="shared" si="83"/>
        <v>-15.62</v>
      </c>
      <c r="BI5314" s="74">
        <v>-7.9</v>
      </c>
      <c r="BO5314" s="74">
        <v>-7.72</v>
      </c>
    </row>
    <row r="5315" spans="1:208" x14ac:dyDescent="0.25">
      <c r="A5315" s="127">
        <v>45803</v>
      </c>
      <c r="B5315" s="24" t="s">
        <v>192</v>
      </c>
      <c r="C5315" s="21">
        <f t="shared" si="83"/>
        <v>-5.9249999999999998</v>
      </c>
      <c r="CG5315" s="74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3"/>
        <v>-7.4450000000000003</v>
      </c>
      <c r="CG5316" s="74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3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3"/>
        <v>966.33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74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3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3"/>
        <v>100.55500000000001</v>
      </c>
      <c r="BU5320" s="74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3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3"/>
        <v>-14.4</v>
      </c>
      <c r="Z5322" s="79">
        <v>-6.31</v>
      </c>
      <c r="BO5322" s="74">
        <v>-8.09</v>
      </c>
    </row>
    <row r="5323" spans="1:208" x14ac:dyDescent="0.25">
      <c r="A5323" s="127">
        <v>45805</v>
      </c>
      <c r="B5323" s="24" t="s">
        <v>184</v>
      </c>
      <c r="C5323" s="21">
        <f t="shared" si="83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3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3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3"/>
        <v>-65.56</v>
      </c>
      <c r="BI5326" s="74">
        <v>-16.414999999999999</v>
      </c>
      <c r="BO5326" s="74">
        <v>-8.4</v>
      </c>
      <c r="BU5326" s="74">
        <v>-16.86</v>
      </c>
      <c r="CG5326" s="74">
        <v>-8.0749999999999993</v>
      </c>
      <c r="CM5326" s="74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3"/>
        <v>-53.42</v>
      </c>
      <c r="BU5327" s="74">
        <v>-8.3149999999999995</v>
      </c>
      <c r="CA5327" s="74">
        <v>-6.91</v>
      </c>
      <c r="CG5327" s="74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3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3"/>
        <v>-32.51</v>
      </c>
      <c r="CY5329" s="74">
        <v>-32.51</v>
      </c>
    </row>
    <row r="5330" spans="1:226" x14ac:dyDescent="0.25">
      <c r="A5330" s="127">
        <v>45807</v>
      </c>
      <c r="B5330" s="24" t="s">
        <v>48</v>
      </c>
      <c r="C5330" s="21">
        <f t="shared" si="83"/>
        <v>-17.015000000000001</v>
      </c>
      <c r="BO5330" s="74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3"/>
        <v>-39.119999999999997</v>
      </c>
      <c r="BI5331" s="74">
        <v>-14.545</v>
      </c>
      <c r="BQ5331" s="126">
        <v>-8.89</v>
      </c>
      <c r="CA5331" s="74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3"/>
        <v>-8.06</v>
      </c>
      <c r="CG5332" s="74">
        <v>-8.06</v>
      </c>
    </row>
    <row r="5333" spans="1:226" x14ac:dyDescent="0.25">
      <c r="A5333" s="127">
        <v>45807</v>
      </c>
      <c r="B5333" s="24" t="s">
        <v>213</v>
      </c>
      <c r="C5333" s="21">
        <f t="shared" si="83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3"/>
        <v>-25.504999999999999</v>
      </c>
      <c r="BU5334" s="74">
        <v>-16.87</v>
      </c>
      <c r="CA5334" s="74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3"/>
        <v>-7.8</v>
      </c>
      <c r="BU5335" s="74">
        <v>-7.8</v>
      </c>
    </row>
    <row r="5336" spans="1:226" x14ac:dyDescent="0.25">
      <c r="A5336" s="127">
        <v>45810</v>
      </c>
      <c r="B5336" s="24" t="s">
        <v>25</v>
      </c>
      <c r="C5336" s="21">
        <f t="shared" si="83"/>
        <v>-39.85</v>
      </c>
      <c r="BC5336" s="74">
        <v>-7.9950000000000001</v>
      </c>
      <c r="BQ5336" s="126">
        <v>-7.75</v>
      </c>
      <c r="BU5336" s="74">
        <v>-7.95</v>
      </c>
      <c r="CG5336" s="74">
        <v>-8.08</v>
      </c>
      <c r="CM5336" s="74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3"/>
        <v>-15.895</v>
      </c>
      <c r="BI5337" s="74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3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3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74">
        <v>-17.545000000000002</v>
      </c>
      <c r="CM5339" s="74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3"/>
        <v>627.62</v>
      </c>
      <c r="CU5340" s="126">
        <v>8.1999999999999993</v>
      </c>
      <c r="DA5340" s="126">
        <v>34.28</v>
      </c>
      <c r="DG5340" s="126">
        <v>8.3800000000000008</v>
      </c>
      <c r="DM5340" s="150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3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3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3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3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3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3"/>
        <v>-8.08</v>
      </c>
      <c r="CG5346" s="74">
        <v>-8.08</v>
      </c>
    </row>
    <row r="5347" spans="1:179" x14ac:dyDescent="0.25">
      <c r="A5347" s="127">
        <v>45819</v>
      </c>
      <c r="B5347" s="24" t="s">
        <v>20</v>
      </c>
      <c r="C5347" s="21">
        <f t="shared" si="83"/>
        <v>-41.305</v>
      </c>
      <c r="AW5347" s="74">
        <v>-7.98</v>
      </c>
      <c r="BC5347" s="74">
        <v>-8.0250000000000004</v>
      </c>
      <c r="CA5347" s="74">
        <v>-8.6349999999999998</v>
      </c>
      <c r="CG5347" s="74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3"/>
        <v>-8.5350000000000001</v>
      </c>
      <c r="CM5348" s="74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3"/>
        <v>-67.915000000000006</v>
      </c>
      <c r="CY5349" s="74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3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3"/>
        <v>-30.065000000000001</v>
      </c>
      <c r="AW5351" s="74">
        <v>-6</v>
      </c>
      <c r="BC5351" s="74">
        <v>-7.95</v>
      </c>
      <c r="CG5351" s="74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3"/>
        <v>-24.38</v>
      </c>
      <c r="CG5352" s="74">
        <v>-8.07</v>
      </c>
      <c r="CU5352" s="126">
        <v>-8.1999999999999993</v>
      </c>
      <c r="CY5352" s="74">
        <v>-8.11</v>
      </c>
    </row>
    <row r="5353" spans="1:179" x14ac:dyDescent="0.25">
      <c r="A5353" s="127">
        <v>45820</v>
      </c>
      <c r="B5353" s="24" t="s">
        <v>218</v>
      </c>
      <c r="C5353" s="21">
        <f t="shared" si="83"/>
        <v>-40.96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3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3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3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27">
        <v>45821</v>
      </c>
      <c r="B5357" s="24" t="s">
        <v>50</v>
      </c>
      <c r="C5357" s="21">
        <f t="shared" si="83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3"/>
        <v>-16.594999999999999</v>
      </c>
      <c r="CG5358" s="74">
        <v>-8.0749999999999993</v>
      </c>
      <c r="CM5358" s="74">
        <v>-8.52</v>
      </c>
    </row>
    <row r="5359" spans="1:179" x14ac:dyDescent="0.25">
      <c r="A5359" s="127">
        <v>45825</v>
      </c>
      <c r="B5359" s="24" t="s">
        <v>113</v>
      </c>
      <c r="C5359" s="21">
        <f t="shared" si="83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74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3"/>
        <v>-7.1</v>
      </c>
      <c r="BU5360" s="74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4">SUM(D5361:JT5361)</f>
        <v>-34.604999999999997</v>
      </c>
      <c r="BC5361" s="74">
        <v>-16.785</v>
      </c>
      <c r="BI5361" s="74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4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74">
        <v>-8.6999999999999993</v>
      </c>
      <c r="CM5362" s="74">
        <v>-25.19</v>
      </c>
    </row>
    <row r="5363" spans="1:242" x14ac:dyDescent="0.25">
      <c r="A5363" s="127">
        <v>45825</v>
      </c>
      <c r="B5363" s="24" t="s">
        <v>20</v>
      </c>
      <c r="C5363" s="21">
        <f t="shared" si="84"/>
        <v>-14.54</v>
      </c>
      <c r="BI5363" s="74">
        <v>-7.6349999999999998</v>
      </c>
      <c r="BO5363" s="74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4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74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4"/>
        <v>-8.8650000000000002</v>
      </c>
      <c r="CG5365" s="74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4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4"/>
        <v>-67.25</v>
      </c>
      <c r="CM5367" s="74">
        <v>-8.5</v>
      </c>
      <c r="DA5367" s="126">
        <v>-7.77</v>
      </c>
      <c r="DK5367" s="74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4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4"/>
        <v>-16.945</v>
      </c>
      <c r="CM5369" s="74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4"/>
        <v>341.04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74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4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4"/>
        <v>-59.185000000000002</v>
      </c>
      <c r="BU5372" s="74">
        <v>-15.875</v>
      </c>
      <c r="CM5372" s="74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4"/>
        <v>-110.685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4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4"/>
        <v>-138.33000000000001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74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4"/>
        <v>-16.559999999999999</v>
      </c>
      <c r="AN5376" s="74">
        <v>-8.56</v>
      </c>
      <c r="BO5376" s="74">
        <v>-8</v>
      </c>
    </row>
    <row r="5377" spans="1:199" x14ac:dyDescent="0.25">
      <c r="A5377" s="127">
        <v>45831</v>
      </c>
      <c r="B5377" s="24" t="s">
        <v>192</v>
      </c>
      <c r="C5377" s="21">
        <f t="shared" si="84"/>
        <v>-8.94</v>
      </c>
      <c r="CA5377" s="74">
        <v>-8.94</v>
      </c>
    </row>
    <row r="5378" spans="1:199" x14ac:dyDescent="0.25">
      <c r="A5378" s="127">
        <v>45831</v>
      </c>
      <c r="B5378" s="24" t="s">
        <v>212</v>
      </c>
      <c r="C5378" s="21">
        <f t="shared" si="84"/>
        <v>-88.944999999999993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27">
        <v>45833</v>
      </c>
      <c r="B5379" s="24" t="s">
        <v>48</v>
      </c>
      <c r="C5379" s="21">
        <f t="shared" si="84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4"/>
        <v>381.72500000000002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4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74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4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4"/>
        <v>-114.36</v>
      </c>
      <c r="AR5383" s="74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4"/>
        <v>-15.71</v>
      </c>
      <c r="CG5384" s="74">
        <v>-15.71</v>
      </c>
    </row>
    <row r="5385" spans="1:199" x14ac:dyDescent="0.25">
      <c r="A5385" s="127">
        <v>45834</v>
      </c>
      <c r="B5385" s="24" t="s">
        <v>48</v>
      </c>
      <c r="C5385" s="21">
        <f t="shared" si="84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4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27">
        <v>45834</v>
      </c>
      <c r="B5387" s="24" t="s">
        <v>152</v>
      </c>
      <c r="C5387" s="21">
        <f t="shared" si="84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4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4"/>
        <v>-117.95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4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4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4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4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27">
        <v>45835</v>
      </c>
      <c r="B5394" s="24" t="s">
        <v>127</v>
      </c>
      <c r="C5394" s="21">
        <f t="shared" si="84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4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4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4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27">
        <v>45835</v>
      </c>
      <c r="B5398" s="24" t="s">
        <v>25</v>
      </c>
      <c r="C5398" s="21">
        <f t="shared" si="84"/>
        <v>-46.24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74">
        <v>-5.6950000000000003</v>
      </c>
      <c r="CM5398" s="74">
        <v>-6.98</v>
      </c>
    </row>
    <row r="5399" spans="1:235" x14ac:dyDescent="0.25">
      <c r="A5399" s="127">
        <v>45835</v>
      </c>
      <c r="B5399" s="24" t="s">
        <v>138</v>
      </c>
      <c r="C5399" s="21">
        <f t="shared" si="84"/>
        <v>-57.395000000000003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74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4"/>
        <v>-7.8650000000000002</v>
      </c>
      <c r="BI5400" s="74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4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4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4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4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4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4"/>
        <v>-8.4450000000000003</v>
      </c>
      <c r="DK5406" s="74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4"/>
        <v>397.33</v>
      </c>
      <c r="BO5407" s="74">
        <v>95.11</v>
      </c>
      <c r="BU5407" s="74">
        <v>63.86</v>
      </c>
      <c r="CA5407" s="74">
        <v>69.165000000000006</v>
      </c>
      <c r="CG5407" s="74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4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74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4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4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4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4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4"/>
        <v>-50.98</v>
      </c>
      <c r="P5413" s="106">
        <v>-8.3450000000000006</v>
      </c>
      <c r="CG5413" s="74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4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27">
        <v>45843</v>
      </c>
      <c r="B5415" s="24" t="s">
        <v>20</v>
      </c>
      <c r="C5415" s="21">
        <f t="shared" si="84"/>
        <v>-8.26</v>
      </c>
      <c r="BO5415" s="74">
        <v>-8.26</v>
      </c>
    </row>
    <row r="5416" spans="1:214" x14ac:dyDescent="0.25">
      <c r="A5416" s="127">
        <v>45845</v>
      </c>
      <c r="B5416" s="24" t="s">
        <v>79</v>
      </c>
      <c r="C5416" s="21">
        <f t="shared" si="84"/>
        <v>-21.204999999999998</v>
      </c>
      <c r="CM5416" s="74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4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4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4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4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74">
        <v>-8.8849999999999998</v>
      </c>
      <c r="CM5420" s="74">
        <v>-7.12</v>
      </c>
    </row>
    <row r="5421" spans="1:214" x14ac:dyDescent="0.25">
      <c r="A5421" s="127">
        <v>45847</v>
      </c>
      <c r="B5421" s="24" t="s">
        <v>113</v>
      </c>
      <c r="C5421" s="21">
        <f t="shared" si="84"/>
        <v>380.88299999999998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4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4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4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5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5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74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5"/>
        <v>-17.11</v>
      </c>
      <c r="BU5427" s="74">
        <v>-8.4450000000000003</v>
      </c>
      <c r="CA5427" s="74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5"/>
        <v>-8.67</v>
      </c>
      <c r="CA5428" s="74">
        <v>-8.67</v>
      </c>
    </row>
    <row r="5429" spans="1:236" x14ac:dyDescent="0.25">
      <c r="A5429" s="127">
        <v>45848</v>
      </c>
      <c r="B5429" s="24" t="s">
        <v>127</v>
      </c>
      <c r="C5429" s="21">
        <f t="shared" si="85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5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5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5"/>
        <v>-83.745000000000005</v>
      </c>
      <c r="BO5432" s="74">
        <v>-25.52</v>
      </c>
      <c r="BU5432" s="74">
        <v>-6.69</v>
      </c>
      <c r="CA5432" s="74">
        <v>-25.125</v>
      </c>
      <c r="CG5432" s="74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5"/>
        <v>-24.23</v>
      </c>
      <c r="CM5433" s="74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5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5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5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5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74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5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74">
        <v>-16.940000000000001</v>
      </c>
      <c r="CM5438" s="74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5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74">
        <v>-8.51</v>
      </c>
      <c r="CM5439" s="74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5"/>
        <v>-115.54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74">
        <v>-16.95</v>
      </c>
      <c r="CM5440" s="74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5"/>
        <v>-8.4049999999999994</v>
      </c>
      <c r="AR5441" s="74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5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5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74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5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74">
        <v>-8.52</v>
      </c>
      <c r="CM5444" s="74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5"/>
        <v>-8.4949999999999992</v>
      </c>
      <c r="BI5445" s="74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5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27">
        <v>45854</v>
      </c>
      <c r="B5447" s="24" t="s">
        <v>173</v>
      </c>
      <c r="C5447" s="21">
        <f t="shared" si="85"/>
        <v>-15.994999999999999</v>
      </c>
      <c r="BI5447" s="74">
        <v>-7.49</v>
      </c>
      <c r="CG5447" s="74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5"/>
        <v>-34.65</v>
      </c>
      <c r="DM5448" s="150">
        <v>-34.65</v>
      </c>
    </row>
    <row r="5449" spans="1:197" x14ac:dyDescent="0.25">
      <c r="A5449" s="127">
        <v>45855</v>
      </c>
      <c r="B5449" s="24" t="s">
        <v>44</v>
      </c>
      <c r="C5449" s="21">
        <f t="shared" si="85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5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5"/>
        <v>-132.54499999999999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5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5"/>
        <v>-8.5</v>
      </c>
      <c r="CG5453" s="74">
        <v>-8.5</v>
      </c>
    </row>
    <row r="5454" spans="1:197" x14ac:dyDescent="0.25">
      <c r="A5454" s="127">
        <v>45856</v>
      </c>
      <c r="B5454" s="24" t="s">
        <v>20</v>
      </c>
      <c r="C5454" s="21">
        <f t="shared" si="85"/>
        <v>-15.88</v>
      </c>
      <c r="BI5454" s="74">
        <v>-7.5049999999999999</v>
      </c>
      <c r="BO5454" s="74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5"/>
        <v>-24.594999999999999</v>
      </c>
      <c r="CM5455" s="74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5"/>
        <v>-8.07</v>
      </c>
      <c r="CM5456" s="74">
        <v>-8.07</v>
      </c>
    </row>
    <row r="5457" spans="1:212" x14ac:dyDescent="0.25">
      <c r="A5457" s="127">
        <v>45859</v>
      </c>
      <c r="B5457" s="24" t="s">
        <v>113</v>
      </c>
      <c r="C5457" s="21">
        <f t="shared" si="85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5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74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27">
        <v>45859</v>
      </c>
      <c r="B5459" s="24" t="s">
        <v>48</v>
      </c>
      <c r="C5459" s="21">
        <f t="shared" si="85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5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5"/>
        <v>-219.79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74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5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74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5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74">
        <v>-33.994999999999997</v>
      </c>
      <c r="CM5463" s="74">
        <v>-7.34</v>
      </c>
    </row>
    <row r="5464" spans="1:212" x14ac:dyDescent="0.25">
      <c r="A5464" s="127">
        <v>45859</v>
      </c>
      <c r="B5464" s="24" t="s">
        <v>138</v>
      </c>
      <c r="C5464" s="21">
        <f t="shared" si="85"/>
        <v>-8.5549999999999997</v>
      </c>
      <c r="CM5464" s="74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5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5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5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5"/>
        <v>-15.095000000000001</v>
      </c>
      <c r="BC5468" s="74">
        <v>-7.85</v>
      </c>
      <c r="CM5468" s="74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5"/>
        <v>-8.4350000000000005</v>
      </c>
      <c r="AR5469" s="74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5"/>
        <v>-15.91</v>
      </c>
      <c r="BC5470" s="74">
        <v>-7.8049999999999997</v>
      </c>
      <c r="BI5470" s="74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5"/>
        <v>-8.09</v>
      </c>
      <c r="BC5471" s="74">
        <v>-8.09</v>
      </c>
    </row>
    <row r="5472" spans="1:212" x14ac:dyDescent="0.25">
      <c r="A5472" s="127">
        <v>45860</v>
      </c>
      <c r="B5472" s="24" t="s">
        <v>224</v>
      </c>
      <c r="C5472" s="21">
        <f t="shared" si="85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5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5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5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5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5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5"/>
        <v>-17.135000000000002</v>
      </c>
      <c r="BU5478" s="74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5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5"/>
        <v>-70.614999999999995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5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5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5"/>
        <v>-101.515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5"/>
        <v>-15.925000000000001</v>
      </c>
      <c r="AN5484" s="74">
        <v>-7.5250000000000004</v>
      </c>
      <c r="AR5484" s="74">
        <v>-8.4</v>
      </c>
    </row>
    <row r="5485" spans="1:199" x14ac:dyDescent="0.25">
      <c r="A5485" s="127">
        <v>45864</v>
      </c>
      <c r="B5485" s="24" t="s">
        <v>113</v>
      </c>
      <c r="C5485" s="21">
        <f t="shared" si="85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74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5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5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5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86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86"/>
        <v>-17.145</v>
      </c>
      <c r="BC5490" s="74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86"/>
        <v>-84.25</v>
      </c>
      <c r="BI5491" s="74">
        <v>-32.344999999999999</v>
      </c>
      <c r="BO5491" s="74">
        <v>-16.195</v>
      </c>
      <c r="CA5491" s="74">
        <v>-17.36</v>
      </c>
      <c r="CG5491" s="74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86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86"/>
        <v>-209.41499999999999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27">
        <v>45866</v>
      </c>
      <c r="B5494" s="24" t="s">
        <v>184</v>
      </c>
      <c r="C5494" s="21">
        <f t="shared" si="86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74">
        <v>-16.864999999999998</v>
      </c>
      <c r="CM5494" s="74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86"/>
        <v>-16.420000000000002</v>
      </c>
      <c r="AW5495" s="74">
        <v>-8.32</v>
      </c>
      <c r="BO5495" s="74">
        <v>-8.1</v>
      </c>
    </row>
    <row r="5496" spans="1:226" x14ac:dyDescent="0.25">
      <c r="A5496" s="127">
        <v>45867</v>
      </c>
      <c r="B5496" s="24" t="s">
        <v>33</v>
      </c>
      <c r="C5496" s="21">
        <f t="shared" si="86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86"/>
        <v>-16.675000000000001</v>
      </c>
      <c r="BC5497" s="74">
        <v>-8.56</v>
      </c>
      <c r="BI5497" s="74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86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86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86"/>
        <v>-17.059999999999999</v>
      </c>
      <c r="CG5500" s="74">
        <v>-8.5350000000000001</v>
      </c>
      <c r="CM5500" s="74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86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86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86"/>
        <v>-378.2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74">
        <v>-17.074999999999999</v>
      </c>
      <c r="CM5503" s="74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86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86"/>
        <v>-58.71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86"/>
        <v>-25.37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86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86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86"/>
        <v>-55.835000000000001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86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86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86"/>
        <v>-33.645000000000003</v>
      </c>
      <c r="AG5512" s="106">
        <v>-8.6050000000000004</v>
      </c>
      <c r="AW5512" s="74">
        <v>-8.2949999999999999</v>
      </c>
      <c r="CG5512" s="74">
        <v>-8.48</v>
      </c>
      <c r="CY5512" s="74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86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86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86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-16.995000000000001</v>
      </c>
      <c r="BU5515" s="74">
        <v>-8.66</v>
      </c>
    </row>
    <row r="5516" spans="1:171" x14ac:dyDescent="0.25">
      <c r="A5516" s="127">
        <v>45874</v>
      </c>
      <c r="B5516" s="24" t="s">
        <v>184</v>
      </c>
      <c r="C5516" s="21">
        <f t="shared" si="86"/>
        <v>-35.76</v>
      </c>
      <c r="AG5516" s="106">
        <v>-8.61</v>
      </c>
      <c r="CY5516" s="74">
        <v>-27.15</v>
      </c>
    </row>
    <row r="5517" spans="1:171" x14ac:dyDescent="0.25">
      <c r="A5517" s="127">
        <v>45874</v>
      </c>
      <c r="B5517" s="24" t="s">
        <v>184</v>
      </c>
      <c r="C5517" s="21">
        <f t="shared" si="86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86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27">
        <v>45874</v>
      </c>
      <c r="B5519" s="24" t="s">
        <v>213</v>
      </c>
      <c r="C5519" s="21">
        <f t="shared" si="86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86"/>
        <v>-24.614999999999998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86"/>
        <v>-31.41</v>
      </c>
      <c r="BC5521" s="74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86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86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86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74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86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86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86"/>
        <v>-65.375</v>
      </c>
      <c r="CA5527" s="74">
        <v>-8.36</v>
      </c>
      <c r="CG5527" s="74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86"/>
        <v>-33.61</v>
      </c>
      <c r="BU5528" s="74">
        <v>-16.855</v>
      </c>
      <c r="CA5528" s="74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86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74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86"/>
        <v>-16.265000000000001</v>
      </c>
      <c r="BU5530" s="74">
        <v>-8.01</v>
      </c>
      <c r="CG5530" s="74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86"/>
        <v>-39.435000000000002</v>
      </c>
      <c r="Z5531" s="79">
        <v>-8.27</v>
      </c>
      <c r="BC5531" s="74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86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86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86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86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86"/>
        <v>-31.795000000000002</v>
      </c>
      <c r="BI5536" s="74">
        <v>-15.035</v>
      </c>
      <c r="BU5536" s="74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86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86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86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86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86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74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86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86"/>
        <v>-201.48500000000001</v>
      </c>
      <c r="BO5543" s="74">
        <v>-48.865000000000002</v>
      </c>
      <c r="BU5543" s="74">
        <v>-32.4</v>
      </c>
      <c r="CA5543" s="74">
        <v>-68.83</v>
      </c>
      <c r="CG5543" s="74">
        <v>-51.39</v>
      </c>
    </row>
    <row r="5544" spans="1:222" x14ac:dyDescent="0.25">
      <c r="A5544" s="127">
        <v>45881</v>
      </c>
      <c r="B5544" s="24" t="s">
        <v>139</v>
      </c>
      <c r="C5544" s="21">
        <f t="shared" si="86"/>
        <v>-8.27</v>
      </c>
      <c r="CG5544" s="74">
        <v>-8.27</v>
      </c>
    </row>
    <row r="5545" spans="1:222" x14ac:dyDescent="0.25">
      <c r="A5545" s="127">
        <v>45881</v>
      </c>
      <c r="B5545" s="24" t="s">
        <v>184</v>
      </c>
      <c r="C5545" s="21">
        <f t="shared" si="86"/>
        <v>-114.79</v>
      </c>
      <c r="BU5545" s="74">
        <v>-7.9850000000000003</v>
      </c>
      <c r="CA5545" s="74">
        <v>-8.0250000000000004</v>
      </c>
      <c r="CG5545" s="74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86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86"/>
        <v>-66.765000000000001</v>
      </c>
      <c r="CY5547" s="74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86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86"/>
        <v>-81.575000000000003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74">
        <v>-17.13</v>
      </c>
    </row>
    <row r="5550" spans="1:222" x14ac:dyDescent="0.25">
      <c r="A5550" s="127">
        <v>45883</v>
      </c>
      <c r="B5550" s="24" t="s">
        <v>33</v>
      </c>
      <c r="C5550" s="21">
        <f t="shared" si="86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86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86"/>
        <v>-110.24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74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87">SUM(D5553:JT5553)</f>
        <v>-31.09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87"/>
        <v>-84.69</v>
      </c>
      <c r="AR5554" s="74">
        <v>-17.84</v>
      </c>
      <c r="BI5554" s="74">
        <v>-7.3449999999999998</v>
      </c>
      <c r="BO5554" s="74">
        <v>-8.15</v>
      </c>
      <c r="CG5554" s="74">
        <v>-8.6150000000000002</v>
      </c>
      <c r="CM5554" s="74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87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87"/>
        <v>-29.23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27">
        <v>45887</v>
      </c>
      <c r="B5557" s="24" t="s">
        <v>213</v>
      </c>
      <c r="C5557" s="21">
        <f t="shared" si="87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87"/>
        <v>-85.8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87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87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74">
        <f>8.11+5.7</f>
        <v>13.81</v>
      </c>
      <c r="AW5560" s="74">
        <v>1.34</v>
      </c>
      <c r="CG5560" s="74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87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87"/>
        <v>-16.72</v>
      </c>
      <c r="CA5562" s="74">
        <v>-16.72</v>
      </c>
    </row>
    <row r="5563" spans="1:257" x14ac:dyDescent="0.25">
      <c r="A5563" s="127">
        <v>45888</v>
      </c>
      <c r="B5563" s="24" t="s">
        <v>218</v>
      </c>
      <c r="C5563" s="21">
        <f t="shared" si="87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87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87"/>
        <v>-100.92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74">
        <v>-14.475</v>
      </c>
      <c r="CM5565" s="74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87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87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27">
        <v>45890</v>
      </c>
      <c r="B5568" s="24" t="s">
        <v>44</v>
      </c>
      <c r="C5568" s="21">
        <f t="shared" si="87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87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27">
        <v>45890</v>
      </c>
      <c r="B5570" s="29" t="s">
        <v>133</v>
      </c>
      <c r="C5570" s="21">
        <f t="shared" si="87"/>
        <v>-99.924999999999997</v>
      </c>
      <c r="CY5570" s="74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87"/>
        <v>-17.234999999999999</v>
      </c>
      <c r="CM5571" s="74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87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87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74">
        <f>68.715+42.91</f>
        <v>111.625</v>
      </c>
      <c r="CM5573" s="74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87"/>
        <v>-98.96</v>
      </c>
      <c r="BI5574" s="74">
        <v>-30.864999999999998</v>
      </c>
      <c r="BU5574" s="74">
        <v>-15.63</v>
      </c>
      <c r="CA5574" s="74">
        <v>-18.024999999999999</v>
      </c>
      <c r="CG5574" s="74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87"/>
        <v>-25.844999999999999</v>
      </c>
      <c r="BI5575" s="74">
        <v>-7.89</v>
      </c>
      <c r="CA5575" s="74">
        <v>-9.2899999999999991</v>
      </c>
      <c r="CG5575" s="74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87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27">
        <v>45892</v>
      </c>
      <c r="B5577" s="24" t="s">
        <v>20</v>
      </c>
      <c r="C5577" s="21">
        <f t="shared" si="87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87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87"/>
        <v>-16.78</v>
      </c>
      <c r="BO5579" s="74">
        <v>-16.78</v>
      </c>
    </row>
    <row r="5580" spans="1:208" x14ac:dyDescent="0.25">
      <c r="A5580" s="127">
        <v>45894</v>
      </c>
      <c r="B5580" s="24" t="s">
        <v>184</v>
      </c>
      <c r="C5580" s="21">
        <f t="shared" si="87"/>
        <v>-225.215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74">
        <v>-14.38</v>
      </c>
      <c r="CM5580" s="74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87"/>
        <v>-34.814999999999998</v>
      </c>
      <c r="AN5581" s="74">
        <v>-17.600000000000001</v>
      </c>
      <c r="CG5581" s="74">
        <v>-8.58</v>
      </c>
      <c r="CM5581" s="74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87"/>
        <v>-36.844999999999999</v>
      </c>
      <c r="DK5582" s="74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87"/>
        <v>-46.365000000000002</v>
      </c>
      <c r="CA5583" s="74">
        <v>-18.22</v>
      </c>
      <c r="CG5583" s="74">
        <v>-14.37</v>
      </c>
      <c r="CM5583" s="74">
        <v>-13.775</v>
      </c>
    </row>
    <row r="5584" spans="1:208" x14ac:dyDescent="0.25">
      <c r="A5584" s="127">
        <v>45895</v>
      </c>
      <c r="B5584" s="24" t="s">
        <v>50</v>
      </c>
      <c r="C5584" s="21">
        <f t="shared" si="87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87"/>
        <v>-17.75</v>
      </c>
      <c r="AW5585" s="74">
        <v>-9.11</v>
      </c>
      <c r="BU5585" s="74">
        <v>-8.64</v>
      </c>
    </row>
    <row r="5586" spans="1:199" x14ac:dyDescent="0.25">
      <c r="A5586" s="127">
        <v>45895</v>
      </c>
      <c r="B5586" s="24" t="s">
        <v>212</v>
      </c>
      <c r="C5586" s="21">
        <f t="shared" si="87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87"/>
        <v>-32.67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87"/>
        <v>383.41</v>
      </c>
      <c r="BC5588" s="74">
        <v>95.64</v>
      </c>
      <c r="BI5588" s="74">
        <v>97.974999999999994</v>
      </c>
      <c r="CA5588" s="74">
        <v>35.954999999999998</v>
      </c>
      <c r="CG5588" s="74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87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87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74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87"/>
        <v>-7.85</v>
      </c>
      <c r="DK5591" s="74">
        <v>-7.85</v>
      </c>
    </row>
    <row r="5592" spans="1:199" x14ac:dyDescent="0.25">
      <c r="A5592" s="127">
        <v>45897</v>
      </c>
      <c r="B5592" s="24" t="s">
        <v>193</v>
      </c>
      <c r="C5592" s="21">
        <f t="shared" si="87"/>
        <v>-32.854999999999997</v>
      </c>
      <c r="CA5592" s="74">
        <v>-8.1300000000000008</v>
      </c>
      <c r="CG5592" s="74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87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27">
        <v>45897</v>
      </c>
      <c r="B5594" s="24" t="s">
        <v>133</v>
      </c>
      <c r="C5594" s="21">
        <f t="shared" si="87"/>
        <v>-128.85</v>
      </c>
      <c r="AR5594" s="74">
        <v>-32.99</v>
      </c>
      <c r="BC5594" s="74">
        <v>-31.965</v>
      </c>
      <c r="CG5594" s="74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87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87"/>
        <v>-7.04</v>
      </c>
      <c r="BC5596" s="74">
        <v>-7.04</v>
      </c>
    </row>
    <row r="5597" spans="1:199" x14ac:dyDescent="0.25">
      <c r="A5597" s="127">
        <v>45897</v>
      </c>
      <c r="B5597" s="24" t="s">
        <v>218</v>
      </c>
      <c r="C5597" s="21">
        <f t="shared" si="87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74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87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87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87"/>
        <v>-57.9</v>
      </c>
      <c r="Z5600" s="79">
        <v>-26.67</v>
      </c>
      <c r="AN5600" s="74">
        <v>-8.2349999999999994</v>
      </c>
      <c r="AW5600" s="74">
        <v>-7.0750000000000002</v>
      </c>
      <c r="CG5600" s="74">
        <v>-7.18</v>
      </c>
      <c r="CM5600" s="74">
        <v>-8.74</v>
      </c>
    </row>
    <row r="5601" spans="1:169" x14ac:dyDescent="0.25">
      <c r="A5601" s="127">
        <v>45899</v>
      </c>
      <c r="B5601" s="24" t="s">
        <v>127</v>
      </c>
      <c r="C5601" s="21">
        <f t="shared" si="87"/>
        <v>-16.23</v>
      </c>
      <c r="BC5601" s="74">
        <v>-16.23</v>
      </c>
    </row>
    <row r="5602" spans="1:169" x14ac:dyDescent="0.25">
      <c r="A5602" s="127">
        <v>45899</v>
      </c>
      <c r="B5602" s="24" t="s">
        <v>138</v>
      </c>
      <c r="C5602" s="21">
        <f t="shared" si="87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87"/>
        <v>-33.895000000000003</v>
      </c>
      <c r="DK5603" s="74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87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87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87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87"/>
        <v>-16.215</v>
      </c>
      <c r="BC5607" s="74">
        <v>-8.1150000000000002</v>
      </c>
      <c r="BI5607" s="74">
        <v>-8.1</v>
      </c>
    </row>
    <row r="5608" spans="1:169" x14ac:dyDescent="0.25">
      <c r="A5608" s="127">
        <v>45902</v>
      </c>
      <c r="B5608" s="24" t="s">
        <v>188</v>
      </c>
      <c r="C5608" s="21">
        <f t="shared" si="87"/>
        <v>-31.76</v>
      </c>
      <c r="BI5608" s="74">
        <v>-7.7649999999999997</v>
      </c>
      <c r="BO5608" s="74">
        <v>-8.0350000000000001</v>
      </c>
      <c r="CG5608" s="74">
        <v>-7.1749999999999998</v>
      </c>
      <c r="CM5608" s="74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87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87"/>
        <v>-8.57</v>
      </c>
      <c r="CG5610" s="74">
        <v>-8.57</v>
      </c>
    </row>
    <row r="5611" spans="1:169" x14ac:dyDescent="0.25">
      <c r="A5611" s="127">
        <v>45904</v>
      </c>
      <c r="B5611" s="24" t="s">
        <v>17</v>
      </c>
      <c r="C5611" s="21">
        <f t="shared" si="87"/>
        <v>-42.48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87"/>
        <v>-8.125</v>
      </c>
      <c r="BC5612" s="74">
        <v>-8.125</v>
      </c>
    </row>
    <row r="5613" spans="1:169" x14ac:dyDescent="0.25">
      <c r="A5613" s="127">
        <v>45904</v>
      </c>
      <c r="B5613" s="24" t="s">
        <v>48</v>
      </c>
      <c r="C5613" s="21">
        <f t="shared" si="87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87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27">
        <v>45905</v>
      </c>
      <c r="B5615" s="24" t="s">
        <v>68</v>
      </c>
      <c r="C5615" s="21">
        <f t="shared" si="87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87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88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88"/>
        <v>-8.5</v>
      </c>
      <c r="CA5618" s="74">
        <v>-8.5</v>
      </c>
    </row>
    <row r="5619" spans="1:212" x14ac:dyDescent="0.25">
      <c r="A5619" s="127">
        <v>45909</v>
      </c>
      <c r="B5619" s="24" t="s">
        <v>50</v>
      </c>
      <c r="C5619" s="21">
        <f t="shared" si="88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88"/>
        <v>-41.865000000000002</v>
      </c>
      <c r="CM5620" s="74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88"/>
        <v>-25.33</v>
      </c>
      <c r="BO5621" s="74">
        <v>-8.0950000000000006</v>
      </c>
      <c r="CG5621" s="74">
        <v>-8.5350000000000001</v>
      </c>
      <c r="CM5621" s="74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88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74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88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88"/>
        <v>-8</v>
      </c>
      <c r="BU5624" s="74">
        <v>-8</v>
      </c>
    </row>
    <row r="5625" spans="1:212" x14ac:dyDescent="0.25">
      <c r="A5625" s="127">
        <v>45910</v>
      </c>
      <c r="B5625" s="24" t="s">
        <v>48</v>
      </c>
      <c r="C5625" s="21">
        <f t="shared" si="88"/>
        <v>-8.5500000000000007</v>
      </c>
      <c r="AR5625" s="74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88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74">
        <v>-15.3</v>
      </c>
      <c r="CM5626" s="74">
        <v>-16.2</v>
      </c>
    </row>
    <row r="5627" spans="1:212" x14ac:dyDescent="0.25">
      <c r="A5627" s="127">
        <v>45910</v>
      </c>
      <c r="B5627" s="24" t="s">
        <v>197</v>
      </c>
      <c r="C5627" s="21">
        <f t="shared" si="88"/>
        <v>-16.600000000000001</v>
      </c>
      <c r="CG5627" s="74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88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74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88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27">
        <v>45910</v>
      </c>
      <c r="B5630" s="24" t="s">
        <v>133</v>
      </c>
      <c r="C5630" s="21">
        <f t="shared" si="88"/>
        <v>-164.745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88"/>
        <v>-64.03</v>
      </c>
      <c r="BI5631" s="74">
        <f>-7.4-7.7</f>
        <v>-15.1</v>
      </c>
      <c r="BU5631" s="74">
        <f>-8.45-7.8</f>
        <v>-16.25</v>
      </c>
      <c r="CA5631" s="74">
        <v>-32.68</v>
      </c>
    </row>
    <row r="5632" spans="1:212" x14ac:dyDescent="0.25">
      <c r="A5632" s="127">
        <v>45911</v>
      </c>
      <c r="B5632" s="24" t="s">
        <v>171</v>
      </c>
      <c r="C5632" s="21">
        <f t="shared" si="88"/>
        <v>-34.435000000000002</v>
      </c>
      <c r="CG5632" s="74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88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27">
        <v>45911</v>
      </c>
      <c r="B5634" s="24" t="s">
        <v>48</v>
      </c>
      <c r="C5634" s="21">
        <f t="shared" si="88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88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27">
        <v>45911</v>
      </c>
      <c r="B5636" s="24" t="s">
        <v>192</v>
      </c>
      <c r="C5636" s="21">
        <f t="shared" si="88"/>
        <v>-51.56</v>
      </c>
      <c r="BU5636" s="74">
        <v>-8.65</v>
      </c>
      <c r="CA5636" s="74">
        <v>-34.659999999999997</v>
      </c>
      <c r="CG5636" s="74">
        <v>-8.25</v>
      </c>
    </row>
    <row r="5637" spans="1:131" x14ac:dyDescent="0.25">
      <c r="A5637" s="127">
        <v>45911</v>
      </c>
      <c r="B5637" s="24" t="s">
        <v>171</v>
      </c>
      <c r="C5637" s="21">
        <f t="shared" si="88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88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88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88"/>
        <v>-8.35</v>
      </c>
      <c r="CM5640" s="74">
        <v>-8.35</v>
      </c>
    </row>
    <row r="5641" spans="1:131" x14ac:dyDescent="0.25">
      <c r="A5641" s="127">
        <v>45912</v>
      </c>
      <c r="B5641" s="24" t="s">
        <v>218</v>
      </c>
      <c r="C5641" s="21">
        <f t="shared" si="88"/>
        <v>-39.244999999999997</v>
      </c>
      <c r="AZ5641" s="115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88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88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74">
        <v>-8.65</v>
      </c>
      <c r="CM5643" s="74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88"/>
        <v>-8.25</v>
      </c>
      <c r="CG5644" s="74">
        <v>-8.25</v>
      </c>
    </row>
    <row r="5645" spans="1:131" x14ac:dyDescent="0.25">
      <c r="A5645" s="127">
        <v>45916</v>
      </c>
      <c r="B5645" s="24" t="s">
        <v>113</v>
      </c>
      <c r="C5645" s="21">
        <f t="shared" si="88"/>
        <v>271.95</v>
      </c>
      <c r="BC5645" s="74">
        <v>28.2</v>
      </c>
      <c r="CA5645" s="74">
        <v>36.299999999999997</v>
      </c>
      <c r="CG5645" s="74">
        <v>31.6</v>
      </c>
      <c r="CY5645" s="74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88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27">
        <v>45916</v>
      </c>
      <c r="B5647" s="24" t="s">
        <v>48</v>
      </c>
      <c r="C5647" s="21">
        <f t="shared" si="88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88"/>
        <v>-126.35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27">
        <v>45916</v>
      </c>
      <c r="B5649" s="24" t="s">
        <v>133</v>
      </c>
      <c r="C5649" s="21">
        <f t="shared" si="88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88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88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74">
        <v>-14.25</v>
      </c>
    </row>
    <row r="5652" spans="1:199" x14ac:dyDescent="0.25">
      <c r="A5652" s="127">
        <v>45917</v>
      </c>
      <c r="B5652" s="24" t="s">
        <v>44</v>
      </c>
      <c r="C5652" s="21">
        <f t="shared" si="88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88"/>
        <v>-8.75</v>
      </c>
      <c r="CM5653" s="74">
        <v>-8.75</v>
      </c>
    </row>
    <row r="5654" spans="1:199" x14ac:dyDescent="0.25">
      <c r="A5654" s="127">
        <v>45917</v>
      </c>
      <c r="B5654" s="24" t="s">
        <v>39</v>
      </c>
      <c r="C5654" s="21">
        <f t="shared" si="88"/>
        <v>-32.625</v>
      </c>
      <c r="AZ5654" s="115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88"/>
        <v>-8.8000000000000007</v>
      </c>
      <c r="CG5655" s="74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88"/>
        <v>-8.2799999999999994</v>
      </c>
      <c r="CG5656" s="74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88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88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27">
        <v>45918</v>
      </c>
      <c r="B5659" s="24" t="s">
        <v>218</v>
      </c>
      <c r="C5659" s="21">
        <f t="shared" si="88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150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88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88"/>
        <v>-41.44</v>
      </c>
      <c r="DA5661" s="126">
        <v>-7.89</v>
      </c>
      <c r="DK5661" s="74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88"/>
        <v>-74.805000000000007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88"/>
        <v>-8.85</v>
      </c>
      <c r="CM5663" s="74">
        <v>-8.85</v>
      </c>
    </row>
    <row r="5664" spans="1:199" x14ac:dyDescent="0.25">
      <c r="A5664" s="127">
        <v>45920</v>
      </c>
      <c r="B5664" s="24" t="s">
        <v>33</v>
      </c>
      <c r="C5664" s="21">
        <f t="shared" si="88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88"/>
        <v>-24.2</v>
      </c>
      <c r="BC5665" s="74">
        <v>-24.2</v>
      </c>
    </row>
    <row r="5666" spans="1:154" x14ac:dyDescent="0.25">
      <c r="A5666" s="127">
        <v>45923</v>
      </c>
      <c r="B5666" s="24" t="s">
        <v>188</v>
      </c>
      <c r="C5666" s="21">
        <f t="shared" si="88"/>
        <v>-15.45</v>
      </c>
      <c r="BC5666" s="74">
        <v>-6.85</v>
      </c>
      <c r="BU5666" s="74">
        <v>-8.6</v>
      </c>
    </row>
    <row r="5667" spans="1:154" x14ac:dyDescent="0.25">
      <c r="A5667" s="127">
        <v>45923</v>
      </c>
      <c r="B5667" s="24" t="s">
        <v>113</v>
      </c>
      <c r="C5667" s="21">
        <f t="shared" si="88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74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88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88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74">
        <v>-8.15</v>
      </c>
    </row>
    <row r="5670" spans="1:154" x14ac:dyDescent="0.25">
      <c r="A5670" s="127">
        <v>45924</v>
      </c>
      <c r="B5670" s="24" t="s">
        <v>193</v>
      </c>
      <c r="C5670" s="21">
        <f t="shared" si="88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88"/>
        <v>-25.72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88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88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27">
        <v>45924</v>
      </c>
      <c r="B5674" s="24" t="s">
        <v>48</v>
      </c>
      <c r="C5674" s="21">
        <f t="shared" si="88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74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88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74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88"/>
        <v>-115.85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74">
        <v>-6.8</v>
      </c>
      <c r="DK5676" s="74">
        <v>-26.56</v>
      </c>
    </row>
    <row r="5677" spans="1:154" x14ac:dyDescent="0.25">
      <c r="A5677" s="127">
        <v>45925</v>
      </c>
      <c r="B5677" s="24" t="s">
        <v>48</v>
      </c>
      <c r="C5677" s="21">
        <f t="shared" si="88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74">
        <v>-8.6999999999999993</v>
      </c>
      <c r="DK5677" s="74">
        <v>-17.125</v>
      </c>
    </row>
    <row r="5678" spans="1:154" x14ac:dyDescent="0.25">
      <c r="A5678" s="127">
        <v>45925</v>
      </c>
      <c r="B5678" s="24" t="s">
        <v>48</v>
      </c>
      <c r="C5678" s="21">
        <f t="shared" si="88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74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88"/>
        <v>-17.399999999999999</v>
      </c>
      <c r="CG5679" s="74">
        <v>-8.6</v>
      </c>
      <c r="CM5679" s="74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88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89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89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89"/>
        <v>-35.195</v>
      </c>
      <c r="CA5683" s="74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89"/>
        <v>-14.734999999999999</v>
      </c>
      <c r="BU5684" s="74">
        <v>-6.65</v>
      </c>
      <c r="CA5684" s="74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89"/>
        <v>-85.575000000000003</v>
      </c>
      <c r="BI5685" s="74">
        <v>-28.225000000000001</v>
      </c>
      <c r="BO5685" s="74">
        <v>-17.5</v>
      </c>
      <c r="BU5685" s="74">
        <v>-16.7</v>
      </c>
      <c r="CG5685" s="74">
        <v>-23.15</v>
      </c>
    </row>
    <row r="5686" spans="1:134" x14ac:dyDescent="0.25">
      <c r="A5686" s="127">
        <v>45926</v>
      </c>
      <c r="B5686" s="24" t="s">
        <v>213</v>
      </c>
      <c r="C5686" s="21">
        <f t="shared" si="89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89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89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89"/>
        <v>-8.25</v>
      </c>
      <c r="AR5689" s="74">
        <v>-8.25</v>
      </c>
    </row>
    <row r="5690" spans="1:134" x14ac:dyDescent="0.25">
      <c r="A5690" s="127">
        <v>45927</v>
      </c>
      <c r="B5690" s="24" t="s">
        <v>48</v>
      </c>
      <c r="C5690" s="21">
        <f t="shared" si="89"/>
        <v>-32.880000000000003</v>
      </c>
      <c r="AC5690" s="74">
        <v>-8.51</v>
      </c>
      <c r="AI5690" s="126">
        <v>-7.36</v>
      </c>
      <c r="AR5690" s="74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89"/>
        <v>736.94500000000005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89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89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89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27">
        <v>45929</v>
      </c>
      <c r="B5695" s="29" t="s">
        <v>48</v>
      </c>
      <c r="C5695" s="21">
        <f t="shared" si="89"/>
        <v>-35.25</v>
      </c>
      <c r="CA5695" s="74">
        <v>-35.25</v>
      </c>
    </row>
    <row r="5696" spans="1:134" x14ac:dyDescent="0.25">
      <c r="A5696" s="127">
        <v>45929</v>
      </c>
      <c r="B5696" s="29" t="s">
        <v>218</v>
      </c>
      <c r="C5696" s="21">
        <f t="shared" si="89"/>
        <v>-67.034999999999997</v>
      </c>
      <c r="AN5696" s="74">
        <v>-8.4700000000000006</v>
      </c>
      <c r="AR5696" s="74">
        <v>-8.58</v>
      </c>
      <c r="AZ5696" s="115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89"/>
        <v>-166.92500000000001</v>
      </c>
      <c r="CA5697" s="74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89"/>
        <v>-16</v>
      </c>
      <c r="AW5698" s="74">
        <v>-7.6</v>
      </c>
      <c r="CA5698" s="74">
        <v>-8.4</v>
      </c>
    </row>
    <row r="5699" spans="1:208" x14ac:dyDescent="0.25">
      <c r="A5699" s="127">
        <v>45930</v>
      </c>
      <c r="B5699" s="24" t="s">
        <v>58</v>
      </c>
      <c r="C5699" s="21">
        <f t="shared" si="89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89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89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89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89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89"/>
        <v>-51.46</v>
      </c>
      <c r="CM5704" s="74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89"/>
        <v>-8.3249999999999993</v>
      </c>
      <c r="BC5705" s="74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89"/>
        <v>-32.265000000000001</v>
      </c>
      <c r="CY5706" s="74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89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89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89"/>
        <v>-64.174999999999997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27">
        <v>45931</v>
      </c>
      <c r="B5710" s="24" t="s">
        <v>193</v>
      </c>
      <c r="C5710" s="21">
        <f t="shared" si="89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89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150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89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89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89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89"/>
        <v>-6.75</v>
      </c>
      <c r="CG5715" s="74">
        <v>-6.75</v>
      </c>
    </row>
    <row r="5716" spans="1:214" x14ac:dyDescent="0.25">
      <c r="A5716" s="127">
        <v>45933</v>
      </c>
      <c r="B5716" s="24" t="s">
        <v>79</v>
      </c>
      <c r="C5716" s="21">
        <f t="shared" si="89"/>
        <v>-33.505000000000003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89"/>
        <v>-8.6999999999999993</v>
      </c>
      <c r="CM5717" s="74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0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0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0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0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0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0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0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89"/>
        <v>-72.790000000000006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89"/>
        <v>-24.79</v>
      </c>
      <c r="CM5727" s="74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89"/>
        <v>-14.595000000000001</v>
      </c>
      <c r="AZ5728" s="115">
        <v>-7.1950000000000003</v>
      </c>
      <c r="BC5728" s="74">
        <v>-7.4</v>
      </c>
    </row>
    <row r="5729" spans="1:233" x14ac:dyDescent="0.25">
      <c r="A5729" s="127">
        <v>45940</v>
      </c>
      <c r="B5729" s="24" t="s">
        <v>138</v>
      </c>
      <c r="C5729" s="21">
        <f t="shared" si="89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89"/>
        <v>-33.53</v>
      </c>
      <c r="P5730" s="106">
        <v>-8.7100000000000009</v>
      </c>
      <c r="AR5730" s="74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89"/>
        <v>-16.84</v>
      </c>
      <c r="AN5731" s="74">
        <v>-8.5399999999999991</v>
      </c>
      <c r="AR5731" s="74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89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89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74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89"/>
        <v>-57.045000000000002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74">
        <v>-8.6</v>
      </c>
      <c r="CM5734" s="74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1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27">
        <v>45944</v>
      </c>
      <c r="B5736" s="24" t="s">
        <v>205</v>
      </c>
      <c r="C5736" s="21">
        <f t="shared" si="91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1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74">
        <v>-17.23</v>
      </c>
      <c r="CM5737" s="74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1"/>
        <v>-128.44</v>
      </c>
      <c r="BO5738" s="74">
        <v>-30.03</v>
      </c>
      <c r="BU5738" s="74">
        <v>-31.914999999999999</v>
      </c>
      <c r="CA5738" s="74">
        <v>-31.77</v>
      </c>
      <c r="CG5738" s="74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1"/>
        <v>-33.975000000000001</v>
      </c>
      <c r="BI5739" s="74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1"/>
        <v>-31.614999999999998</v>
      </c>
      <c r="W5740" s="163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27">
        <v>45945</v>
      </c>
      <c r="B5741" s="24" t="s">
        <v>113</v>
      </c>
      <c r="C5741" s="21">
        <f t="shared" si="91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1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1"/>
        <v>-24.49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27">
        <v>45945</v>
      </c>
      <c r="B5744" s="24" t="s">
        <v>33</v>
      </c>
      <c r="C5744" s="21">
        <f t="shared" si="91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27">
        <v>45945</v>
      </c>
      <c r="B5745" s="24" t="s">
        <v>229</v>
      </c>
      <c r="C5745" s="21">
        <f t="shared" si="91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74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1"/>
        <v>-17.715</v>
      </c>
      <c r="AG5746" s="106">
        <v>-8.5449999999999999</v>
      </c>
      <c r="BO5746" s="74">
        <v>-9.17</v>
      </c>
    </row>
    <row r="5747" spans="1:235" x14ac:dyDescent="0.25">
      <c r="A5747" s="127">
        <v>45945</v>
      </c>
      <c r="B5747" s="24" t="s">
        <v>138</v>
      </c>
      <c r="C5747" s="21">
        <f t="shared" si="91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1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2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2"/>
        <v>-65.3</v>
      </c>
      <c r="CY5750" s="74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2"/>
        <v>-23.355</v>
      </c>
      <c r="AW5751" s="74">
        <v>-6.5</v>
      </c>
      <c r="CG5751" s="74">
        <v>-8.6050000000000004</v>
      </c>
      <c r="CM5751" s="74">
        <v>-8.25</v>
      </c>
    </row>
    <row r="5752" spans="1:235" x14ac:dyDescent="0.25">
      <c r="A5752" s="127">
        <v>45947</v>
      </c>
      <c r="B5752" s="24" t="s">
        <v>192</v>
      </c>
      <c r="C5752" s="21">
        <f t="shared" si="92"/>
        <v>-24.32</v>
      </c>
      <c r="BO5752" s="74">
        <v>-8.1199999999999992</v>
      </c>
      <c r="CM5752" s="74">
        <v>-16.2</v>
      </c>
    </row>
    <row r="5753" spans="1:235" x14ac:dyDescent="0.25">
      <c r="A5753" s="127">
        <v>45947</v>
      </c>
      <c r="B5753" s="24" t="s">
        <v>75</v>
      </c>
      <c r="C5753" s="21">
        <f t="shared" si="92"/>
        <v>-24.67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2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74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2"/>
        <v>-17.37</v>
      </c>
      <c r="CG5760" s="74">
        <v>-8.4700000000000006</v>
      </c>
      <c r="CM5760" s="74">
        <v>-8.9</v>
      </c>
    </row>
    <row r="5761" spans="1:131" x14ac:dyDescent="0.25">
      <c r="A5761" s="127">
        <v>45951</v>
      </c>
      <c r="B5761" s="24" t="s">
        <v>202</v>
      </c>
      <c r="C5761" s="21">
        <f t="shared" si="92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2"/>
        <v>-16.504999999999999</v>
      </c>
      <c r="BI5762" s="74">
        <v>-8.5150000000000006</v>
      </c>
      <c r="BU5762" s="74">
        <v>-7.99</v>
      </c>
    </row>
    <row r="5763" spans="1:131" x14ac:dyDescent="0.25">
      <c r="A5763" s="127">
        <v>45951</v>
      </c>
      <c r="B5763" s="24" t="s">
        <v>20</v>
      </c>
      <c r="C5763" s="21">
        <f t="shared" si="92"/>
        <v>-8.06</v>
      </c>
      <c r="AR5763" s="74">
        <v>-8.06</v>
      </c>
    </row>
    <row r="5764" spans="1:131" x14ac:dyDescent="0.25">
      <c r="A5764" s="127">
        <v>45951</v>
      </c>
      <c r="B5764" s="24" t="s">
        <v>184</v>
      </c>
      <c r="C5764" s="21">
        <f t="shared" si="92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2"/>
        <v>-8.3800000000000008</v>
      </c>
      <c r="BC5765" s="74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2"/>
        <v>-17.25</v>
      </c>
      <c r="CM5766" s="74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2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2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74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2"/>
        <v>329.53</v>
      </c>
      <c r="BI5769" s="74">
        <v>95.155000000000001</v>
      </c>
      <c r="BU5769" s="74">
        <v>32.335000000000001</v>
      </c>
      <c r="CA5769" s="74">
        <v>34.645000000000003</v>
      </c>
      <c r="CG5769" s="74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27">
        <v>45953</v>
      </c>
      <c r="B5770" s="24" t="s">
        <v>20</v>
      </c>
      <c r="C5770" s="21">
        <f t="shared" si="92"/>
        <v>-16.864999999999998</v>
      </c>
      <c r="AG5770" s="106">
        <v>-8.625</v>
      </c>
      <c r="CA5770" s="74">
        <v>-8.24</v>
      </c>
    </row>
    <row r="5771" spans="1:131" x14ac:dyDescent="0.25">
      <c r="A5771" s="127">
        <v>45953</v>
      </c>
      <c r="B5771" s="24" t="s">
        <v>133</v>
      </c>
      <c r="C5771" s="21">
        <f t="shared" si="92"/>
        <v>-437.59500000000003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74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2"/>
        <v>-65.25</v>
      </c>
      <c r="BU5772" s="74">
        <v>-32.299999999999997</v>
      </c>
      <c r="CA5772" s="74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2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27">
        <v>45953</v>
      </c>
      <c r="B5774" s="24" t="s">
        <v>75</v>
      </c>
      <c r="C5774" s="21">
        <f t="shared" si="92"/>
        <v>-16.2</v>
      </c>
      <c r="BI5774" s="74">
        <v>-8.11</v>
      </c>
      <c r="BU5774" s="74">
        <v>-8.09</v>
      </c>
    </row>
    <row r="5775" spans="1:131" x14ac:dyDescent="0.25">
      <c r="A5775" s="127">
        <v>45953</v>
      </c>
      <c r="B5775" s="24" t="s">
        <v>174</v>
      </c>
      <c r="C5775" s="21">
        <f t="shared" si="92"/>
        <v>-17.46</v>
      </c>
      <c r="CG5775" s="74">
        <v>-17.46</v>
      </c>
    </row>
    <row r="5776" spans="1:131" x14ac:dyDescent="0.25">
      <c r="A5776" s="127">
        <v>45953</v>
      </c>
      <c r="B5776" s="24" t="s">
        <v>48</v>
      </c>
      <c r="C5776" s="21">
        <f t="shared" si="92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2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2"/>
        <v>-49.81</v>
      </c>
      <c r="BI5778" s="74">
        <v>-16.004999999999999</v>
      </c>
      <c r="CG5778" s="74">
        <v>-16.835000000000001</v>
      </c>
      <c r="CM5778" s="74">
        <v>-16.97</v>
      </c>
    </row>
    <row r="5779" spans="1:248" x14ac:dyDescent="0.25">
      <c r="A5779" s="127">
        <v>45953</v>
      </c>
      <c r="B5779" s="24" t="s">
        <v>20</v>
      </c>
      <c r="C5779" s="21">
        <f t="shared" si="92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3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3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3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3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3"/>
        <v>902.96500000000003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74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3"/>
        <v>-122.98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74">
        <v>-15.99</v>
      </c>
      <c r="CM5785" s="74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3"/>
        <v>-107.87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74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27">
        <v>45958</v>
      </c>
      <c r="B5787" s="24" t="s">
        <v>138</v>
      </c>
      <c r="C5787" s="21">
        <f t="shared" si="93"/>
        <v>-40.700000000000003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3"/>
        <v>-8.0250000000000004</v>
      </c>
      <c r="CG5788" s="74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3"/>
        <v>-16.914999999999999</v>
      </c>
      <c r="V5789" s="74">
        <v>-8.8699999999999992</v>
      </c>
      <c r="CG5789" s="74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3"/>
        <v>-24.204999999999998</v>
      </c>
      <c r="BC5790" s="74">
        <v>-16.045000000000002</v>
      </c>
      <c r="BU5790" s="74">
        <v>-8.16</v>
      </c>
    </row>
    <row r="5791" spans="1:248" x14ac:dyDescent="0.25">
      <c r="A5791" s="127">
        <v>45958</v>
      </c>
      <c r="B5791" s="24" t="s">
        <v>225</v>
      </c>
      <c r="C5791" s="21">
        <f t="shared" si="93"/>
        <v>-32.83</v>
      </c>
      <c r="BC5791" s="74">
        <v>-15.85</v>
      </c>
      <c r="BU5791" s="74">
        <v>-16.98</v>
      </c>
    </row>
    <row r="5792" spans="1:248" x14ac:dyDescent="0.25">
      <c r="A5792" s="127">
        <v>45958</v>
      </c>
      <c r="B5792" s="24" t="s">
        <v>48</v>
      </c>
      <c r="C5792" s="21">
        <f t="shared" si="93"/>
        <v>-97.685000000000002</v>
      </c>
      <c r="AG5792" s="106">
        <v>-34.685000000000002</v>
      </c>
      <c r="BC5792" s="74">
        <v>-63</v>
      </c>
    </row>
    <row r="5793" spans="1:248" x14ac:dyDescent="0.25">
      <c r="A5793" s="127">
        <v>45958</v>
      </c>
      <c r="B5793" s="24" t="s">
        <v>162</v>
      </c>
      <c r="C5793" s="21">
        <f t="shared" si="93"/>
        <v>-8.01</v>
      </c>
      <c r="CG5793" s="74">
        <v>-8.01</v>
      </c>
    </row>
    <row r="5794" spans="1:248" x14ac:dyDescent="0.25">
      <c r="A5794" s="127">
        <v>45958</v>
      </c>
      <c r="B5794" s="24" t="s">
        <v>184</v>
      </c>
      <c r="C5794" s="21">
        <f t="shared" si="93"/>
        <v>-68.334999999999994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3"/>
        <v>-69.114999999999995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3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3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3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3"/>
        <v>-66.3</v>
      </c>
      <c r="BU5799" s="74">
        <v>-17.920000000000002</v>
      </c>
      <c r="CG5799" s="74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74">
        <v>-64.02</v>
      </c>
      <c r="CM5802" s="74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74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2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2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2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2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2"/>
        <v>-8.43</v>
      </c>
      <c r="CM5809" s="74">
        <v>-8.43</v>
      </c>
    </row>
    <row r="5810" spans="1:235" x14ac:dyDescent="0.25">
      <c r="A5810" s="127">
        <v>45965</v>
      </c>
      <c r="B5810" s="24" t="s">
        <v>197</v>
      </c>
      <c r="C5810" s="21">
        <f t="shared" si="92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4">SUM(D5811:JT5811)</f>
        <v>-8</v>
      </c>
      <c r="BI5811" s="74">
        <v>-8</v>
      </c>
    </row>
    <row r="5812" spans="1:235" x14ac:dyDescent="0.25">
      <c r="A5812" s="127">
        <v>45965</v>
      </c>
      <c r="B5812" s="24" t="s">
        <v>48</v>
      </c>
      <c r="C5812" s="21">
        <f t="shared" si="94"/>
        <v>-8.4450000000000003</v>
      </c>
      <c r="CM5812" s="74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4"/>
        <v>-8.49</v>
      </c>
      <c r="BO5813" s="74">
        <v>-8.49</v>
      </c>
    </row>
    <row r="5814" spans="1:235" x14ac:dyDescent="0.25">
      <c r="A5814" s="127">
        <v>45966</v>
      </c>
      <c r="B5814" s="24" t="s">
        <v>192</v>
      </c>
      <c r="C5814" s="21">
        <f t="shared" si="94"/>
        <v>-16.635000000000002</v>
      </c>
      <c r="BO5814" s="74">
        <v>-8.19</v>
      </c>
      <c r="BU5814" s="74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4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4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4"/>
        <v>-40.145000000000003</v>
      </c>
      <c r="CA5817" s="74">
        <v>-8.5350000000000001</v>
      </c>
      <c r="CG5817" s="74">
        <v>-23.305</v>
      </c>
      <c r="CM5817" s="74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4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4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4"/>
        <v>-8.49</v>
      </c>
      <c r="BO5820" s="74">
        <v>-8.49</v>
      </c>
    </row>
    <row r="5821" spans="1:235" x14ac:dyDescent="0.25">
      <c r="A5821" s="127">
        <v>45968</v>
      </c>
      <c r="B5821" s="24" t="s">
        <v>48</v>
      </c>
      <c r="C5821" s="21">
        <f t="shared" si="94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4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4"/>
        <v>-9.1</v>
      </c>
      <c r="CG5823" s="74">
        <v>-9.1</v>
      </c>
    </row>
    <row r="5824" spans="1:235" x14ac:dyDescent="0.25">
      <c r="A5824" s="127">
        <v>45971</v>
      </c>
      <c r="B5824" s="24" t="s">
        <v>213</v>
      </c>
      <c r="C5824" s="21">
        <f t="shared" si="94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4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4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4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4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4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5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0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5"/>
        <v>611.83000000000004</v>
      </c>
      <c r="BD5831" s="121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74">
        <v>98.545000000000002</v>
      </c>
      <c r="CM5831" s="74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5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74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5"/>
        <v>-73.040000000000006</v>
      </c>
      <c r="BD5833" s="121">
        <v>-24.515000000000001</v>
      </c>
      <c r="BI5833" s="74">
        <v>-24.49</v>
      </c>
      <c r="BU5833" s="74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5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5"/>
        <v>-41.29</v>
      </c>
      <c r="AW5835" s="74">
        <v>-7.98</v>
      </c>
      <c r="BD5835" s="121">
        <v>-16.46</v>
      </c>
      <c r="BO5835" s="74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5"/>
        <v>-32.825000000000003</v>
      </c>
      <c r="BI5836" s="74">
        <v>-8.3849999999999998</v>
      </c>
      <c r="BO5836" s="74">
        <v>-8.4949999999999992</v>
      </c>
      <c r="CG5836" s="74">
        <v>-7.9</v>
      </c>
      <c r="CM5836" s="74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5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5"/>
        <v>-41.87</v>
      </c>
      <c r="BD5838" s="121">
        <v>-7.9649999999999999</v>
      </c>
      <c r="BO5838" s="74">
        <v>-8.5</v>
      </c>
      <c r="CG5838" s="74">
        <v>-17.355</v>
      </c>
      <c r="CM5838" s="74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5"/>
        <v>-33.229999999999997</v>
      </c>
      <c r="AN5839" s="74">
        <v>-7.665</v>
      </c>
      <c r="BD5839" s="121">
        <v>-8.875</v>
      </c>
      <c r="BI5839" s="74">
        <v>-8.35</v>
      </c>
      <c r="CA5839" s="74">
        <v>-8.34</v>
      </c>
    </row>
    <row r="5840" spans="1:191" x14ac:dyDescent="0.25">
      <c r="A5840" s="127">
        <v>45974</v>
      </c>
      <c r="B5840" s="24" t="s">
        <v>218</v>
      </c>
      <c r="C5840" s="21">
        <f t="shared" si="95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5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5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5"/>
        <v>-24.565000000000001</v>
      </c>
      <c r="CG5843" s="74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5"/>
        <v>-8.4700000000000006</v>
      </c>
      <c r="BO5844" s="74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96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96"/>
        <v>-8.3800000000000008</v>
      </c>
      <c r="AR5846" s="74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96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96"/>
        <v>-48.534999999999997</v>
      </c>
      <c r="BU5848" s="74">
        <v>-15.935</v>
      </c>
      <c r="CA5848" s="74">
        <v>-16.32</v>
      </c>
      <c r="CG5848" s="74">
        <v>-16.28</v>
      </c>
    </row>
    <row r="5849" spans="1:226" x14ac:dyDescent="0.25">
      <c r="A5849" s="127">
        <v>45979</v>
      </c>
      <c r="B5849" s="24" t="s">
        <v>171</v>
      </c>
      <c r="C5849" s="21">
        <f t="shared" si="96"/>
        <v>-42.75</v>
      </c>
      <c r="DK5849" s="74">
        <v>-42.75</v>
      </c>
    </row>
    <row r="5850" spans="1:226" x14ac:dyDescent="0.25">
      <c r="A5850" s="127">
        <v>45980</v>
      </c>
      <c r="B5850" s="24" t="s">
        <v>25</v>
      </c>
      <c r="C5850" s="21">
        <f t="shared" si="96"/>
        <v>-33.244999999999997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96"/>
        <v>741.87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74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96"/>
        <v>-74.984999999999999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74">
        <v>-7.9450000000000003</v>
      </c>
      <c r="CM5852" s="74">
        <v>-8.06</v>
      </c>
    </row>
    <row r="5853" spans="1:226" x14ac:dyDescent="0.25">
      <c r="A5853" s="127">
        <v>45980</v>
      </c>
      <c r="B5853" s="24" t="s">
        <v>184</v>
      </c>
      <c r="C5853" s="21">
        <f t="shared" si="96"/>
        <v>-269.89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74">
        <v>-34.744999999999997</v>
      </c>
      <c r="CM5853" s="74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96"/>
        <v>-35.26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96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96"/>
        <v>-8.25</v>
      </c>
      <c r="BC5856" s="74">
        <v>-8.25</v>
      </c>
    </row>
    <row r="5857" spans="1:208" x14ac:dyDescent="0.25">
      <c r="A5857" s="127">
        <v>45980</v>
      </c>
      <c r="B5857" s="24" t="s">
        <v>192</v>
      </c>
      <c r="C5857" s="21">
        <f t="shared" si="96"/>
        <v>-8.3650000000000002</v>
      </c>
      <c r="BC5857" s="74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96"/>
        <v>-16.97</v>
      </c>
      <c r="AG5858" s="106">
        <v>-8.65</v>
      </c>
      <c r="AR5858" s="74">
        <v>-8.32</v>
      </c>
    </row>
    <row r="5859" spans="1:208" x14ac:dyDescent="0.25">
      <c r="A5859" s="127">
        <v>45981</v>
      </c>
      <c r="B5859" s="24" t="s">
        <v>174</v>
      </c>
      <c r="C5859" s="21">
        <f t="shared" si="96"/>
        <v>-16.094999999999999</v>
      </c>
      <c r="CM5859" s="74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97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97"/>
        <v>-48.85</v>
      </c>
      <c r="DA5861" s="126">
        <v>-15.03</v>
      </c>
      <c r="DE5861" s="74">
        <v>-17.260000000000002</v>
      </c>
      <c r="DM5861" s="150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97"/>
        <v>-116.92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74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97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97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97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97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98">SUM(D5867:JT5867)</f>
        <v>-8.4849999999999994</v>
      </c>
      <c r="BI5867" s="74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98"/>
        <v>833.69500000000005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74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98"/>
        <v>-101.32</v>
      </c>
      <c r="CG5869" s="74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98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99">SUM(D5871:JT5871)</f>
        <v>-84.76</v>
      </c>
      <c r="BU5871" s="74">
        <v>-17.2</v>
      </c>
      <c r="CA5871" s="74">
        <v>-17.375</v>
      </c>
      <c r="CG5871" s="74">
        <v>-17.375</v>
      </c>
      <c r="CM5871" s="74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99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99"/>
        <v>-42.69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27">
        <v>45986</v>
      </c>
      <c r="B5874" s="24" t="s">
        <v>138</v>
      </c>
      <c r="C5874" s="21">
        <f t="shared" si="99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99"/>
        <v>-51.585000000000001</v>
      </c>
      <c r="BC5875" s="74">
        <f>-9.035-9.345-8.12</f>
        <v>-26.5</v>
      </c>
      <c r="BO5875" s="74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99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99"/>
        <v>-17.375</v>
      </c>
      <c r="CA5877" s="74">
        <v>-8.68</v>
      </c>
      <c r="CG5877" s="74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99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99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74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99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99"/>
        <v>-34.534999999999997</v>
      </c>
      <c r="BO5881" s="74">
        <v>-8.57</v>
      </c>
      <c r="BU5881" s="74">
        <v>-8.58</v>
      </c>
      <c r="CA5881" s="74">
        <v>-8.6950000000000003</v>
      </c>
      <c r="CG5881" s="74">
        <v>-8.69</v>
      </c>
    </row>
    <row r="5882" spans="1:249" x14ac:dyDescent="0.25">
      <c r="A5882" s="127">
        <v>45988</v>
      </c>
      <c r="B5882" s="24" t="s">
        <v>152</v>
      </c>
      <c r="C5882" s="21">
        <f t="shared" si="99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74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99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74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0">SUM(D5884:JT5884)</f>
        <v>-136.16499999999999</v>
      </c>
      <c r="P5884" s="106">
        <v>-8</v>
      </c>
      <c r="Z5884" s="79">
        <f>-8.935-35.935</f>
        <v>-44.87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0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0"/>
        <v>-27.79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27">
        <v>45989</v>
      </c>
      <c r="B5887" s="24" t="s">
        <v>213</v>
      </c>
      <c r="C5887" s="21">
        <f t="shared" si="100"/>
        <v>-30.355</v>
      </c>
      <c r="BI5887" s="74">
        <f>-4.3-8.645-8.665</f>
        <v>-21.61</v>
      </c>
      <c r="CG5887" s="74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0"/>
        <v>-64.364999999999995</v>
      </c>
      <c r="BO5888" s="74">
        <v>-25.32</v>
      </c>
      <c r="CA5888" s="74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0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0"/>
        <v>-16.93</v>
      </c>
      <c r="AR5890" s="74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0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0"/>
        <v>-24.95</v>
      </c>
      <c r="AN5892" s="74">
        <v>-8.0850000000000009</v>
      </c>
      <c r="CM5892" s="74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0"/>
        <v>-58.92</v>
      </c>
      <c r="AC5893" s="74">
        <v>-8.6</v>
      </c>
      <c r="DE5893" s="74">
        <f>-8.64-8.62</f>
        <v>-17.260000000000002</v>
      </c>
      <c r="DK5893" s="74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0"/>
        <v>-42.744999999999997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0"/>
        <v>-58.46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0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1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1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1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1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1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1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1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1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1"/>
        <v>415.15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1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1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1"/>
        <v>-50.08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1"/>
        <v>-39.164999999999999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1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1"/>
        <v>-15.85</v>
      </c>
      <c r="AN5911" s="74">
        <v>-7.8150000000000004</v>
      </c>
      <c r="AR5911" s="74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1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1"/>
        <v>-34.784999999999997</v>
      </c>
      <c r="CY5913" s="74">
        <v>-8.1850000000000005</v>
      </c>
      <c r="DA5913" s="126">
        <v>-8.57</v>
      </c>
      <c r="DE5913" s="74">
        <v>-8.6300000000000008</v>
      </c>
      <c r="DM5913" s="150">
        <v>-9.4</v>
      </c>
    </row>
    <row r="5914" spans="1:199" x14ac:dyDescent="0.25">
      <c r="A5914" s="127">
        <v>45999</v>
      </c>
      <c r="B5914" s="24" t="s">
        <v>171</v>
      </c>
      <c r="C5914" s="21">
        <f t="shared" si="101"/>
        <v>-14.765000000000001</v>
      </c>
      <c r="BC5914" s="74">
        <v>-7.88</v>
      </c>
      <c r="BI5914" s="74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1"/>
        <v>-8.7149999999999999</v>
      </c>
      <c r="DK5915" s="74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1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1"/>
        <v>-7.8949999999999996</v>
      </c>
      <c r="BC5917" s="74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1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74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1"/>
        <v>-365.27</v>
      </c>
      <c r="CG5919" s="74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1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-24.504999999999999</v>
      </c>
      <c r="CG5920" s="74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1"/>
        <v>-9.0850000000000009</v>
      </c>
      <c r="BI5921" s="74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1"/>
        <v>-8.8949999999999996</v>
      </c>
      <c r="BI5922" s="74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1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1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1"/>
        <v>-24.71</v>
      </c>
      <c r="DA5925" s="126">
        <v>-8.09</v>
      </c>
      <c r="DK5925" s="74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1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1"/>
        <v>-16.82</v>
      </c>
      <c r="AW5927" s="74">
        <v>-8.7750000000000004</v>
      </c>
      <c r="BC5927" s="74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1"/>
        <v>-49.625</v>
      </c>
      <c r="BU5928" s="74">
        <v>-15.83</v>
      </c>
      <c r="CG5928" s="74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1"/>
        <v>-34.4</v>
      </c>
      <c r="CG5929" s="74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1"/>
        <v>-62.34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1"/>
        <v>-25.52</v>
      </c>
      <c r="BO5931" s="74">
        <v>-17.285</v>
      </c>
      <c r="BU5931" s="74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1"/>
        <v>-50.414999999999999</v>
      </c>
      <c r="CM5932" s="74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1"/>
        <v>-7</v>
      </c>
      <c r="BO5933" s="74">
        <v>-7</v>
      </c>
    </row>
    <row r="5934" spans="1:182" x14ac:dyDescent="0.25">
      <c r="A5934" s="127">
        <v>46006</v>
      </c>
      <c r="B5934" s="24" t="s">
        <v>113</v>
      </c>
      <c r="C5934" s="21">
        <f t="shared" si="101"/>
        <v>506.77</v>
      </c>
      <c r="BU5934" s="74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1"/>
        <v>0</v>
      </c>
      <c r="AW5935" s="74">
        <v>-8.68</v>
      </c>
      <c r="AY5935" s="126">
        <v>8.68</v>
      </c>
      <c r="BU5935" s="74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2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2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2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2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3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3"/>
        <v>-16.84</v>
      </c>
      <c r="AR5941" s="74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3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3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3"/>
        <v>-25.27</v>
      </c>
      <c r="BI5944" s="74">
        <v>-8.9</v>
      </c>
      <c r="BW5944" s="126">
        <v>-7.03</v>
      </c>
      <c r="CA5944" s="74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3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3"/>
        <v>-29.68</v>
      </c>
      <c r="BW5946" s="126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27">
        <v>46008</v>
      </c>
      <c r="B5947" s="24" t="s">
        <v>39</v>
      </c>
      <c r="C5947" s="21">
        <f t="shared" si="103"/>
        <v>-67.105000000000004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-25.395</v>
      </c>
      <c r="CM5947" s="74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3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3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2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74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2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2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2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2"/>
        <v>-15.36</v>
      </c>
      <c r="CM5954" s="74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2"/>
        <v>-31.885000000000002</v>
      </c>
      <c r="CG5955" s="74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2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2"/>
        <v>-30.855</v>
      </c>
      <c r="BC5957" s="74">
        <v>-7.9850000000000003</v>
      </c>
      <c r="BI5957" s="74">
        <v>-7.7750000000000004</v>
      </c>
      <c r="BW5957" s="126">
        <v>-6.65</v>
      </c>
      <c r="CA5957" s="74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2"/>
        <v>-24.47</v>
      </c>
      <c r="BW5958" s="126">
        <v>-15.89</v>
      </c>
      <c r="CG5958" s="74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2"/>
        <v>-154.72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6">
        <v>-21.01</v>
      </c>
      <c r="CA5959" s="74">
        <v>-16.844999999999999</v>
      </c>
      <c r="CM5959" s="74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2"/>
        <v>-17.059999999999999</v>
      </c>
      <c r="CG5960" s="74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2"/>
        <v>-14.305</v>
      </c>
      <c r="AN5961" s="74">
        <v>-7.7149999999999999</v>
      </c>
      <c r="AR5961" s="74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2"/>
        <v>-24.45</v>
      </c>
      <c r="BC5962" s="74">
        <v>-7.89</v>
      </c>
      <c r="CA5962" s="74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2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2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2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2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2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2"/>
        <v>-25.1</v>
      </c>
      <c r="CM5968" s="74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2"/>
        <v>-15.664999999999999</v>
      </c>
      <c r="AW5969" s="74">
        <v>-8.16</v>
      </c>
      <c r="BC5969" s="74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2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2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2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74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4">SUM(D5973:JT5973)</f>
        <v>-41.914999999999999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5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5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-66.989999999999995</v>
      </c>
      <c r="CG5975" s="74">
        <f>-34.555-34.735</f>
        <v>-69.290000000000006</v>
      </c>
      <c r="CM5975" s="74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5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5"/>
        <v>-166.465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5"/>
        <v>-8.5</v>
      </c>
      <c r="CY5978" s="74">
        <v>-8.5</v>
      </c>
    </row>
    <row r="5979" spans="1:253" x14ac:dyDescent="0.25">
      <c r="A5979" s="127">
        <v>46016</v>
      </c>
      <c r="B5979" s="24" t="s">
        <v>44</v>
      </c>
      <c r="C5979" s="21">
        <f t="shared" si="105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5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06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06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06"/>
        <v>-62.884999999999998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06"/>
        <v>-13.68</v>
      </c>
      <c r="AC5984" s="74">
        <v>-5.22</v>
      </c>
      <c r="CA5984" s="74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06"/>
        <v>-7.2249999999999996</v>
      </c>
      <c r="BO5985" s="74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06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06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06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0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07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07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07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07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07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07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07"/>
        <v>-31.14</v>
      </c>
      <c r="BC5995" s="74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07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07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07"/>
        <v>-33.15</v>
      </c>
      <c r="BO5998" s="74">
        <v>-17.16</v>
      </c>
      <c r="CA5998" s="74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07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07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07"/>
        <v>-8.59</v>
      </c>
      <c r="BO6001" s="74">
        <v>-8.59</v>
      </c>
    </row>
    <row r="6002" spans="1:214" x14ac:dyDescent="0.25">
      <c r="A6002" s="127">
        <v>46024</v>
      </c>
      <c r="B6002" s="24" t="s">
        <v>20</v>
      </c>
      <c r="C6002" s="21">
        <f t="shared" si="107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27">
        <v>46024</v>
      </c>
      <c r="B6003" s="24" t="s">
        <v>24</v>
      </c>
      <c r="C6003" s="21">
        <f t="shared" si="107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07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07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07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07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07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07"/>
        <v>-15.2</v>
      </c>
      <c r="CF6009" s="69">
        <v>-8.42</v>
      </c>
      <c r="CM6009" s="74">
        <v>-6.78</v>
      </c>
    </row>
    <row r="6010" spans="1:214" x14ac:dyDescent="0.25">
      <c r="A6010" s="127">
        <v>46028</v>
      </c>
      <c r="B6010" s="24" t="s">
        <v>225</v>
      </c>
      <c r="C6010" s="21">
        <f t="shared" si="107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08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08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08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08"/>
        <v>892.51499999999999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08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08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08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27">
        <v>46029</v>
      </c>
      <c r="B6018" s="24" t="s">
        <v>152</v>
      </c>
      <c r="C6018" s="21">
        <f t="shared" si="107"/>
        <v>-202.64500000000001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07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07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07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07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07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07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07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07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07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07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07"/>
        <v>-28.975000000000001</v>
      </c>
      <c r="CM6029" s="74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07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07"/>
        <v>1699.28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74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07"/>
        <v>-1719.4849999999999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74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07"/>
        <v>-132.46</v>
      </c>
      <c r="AW6033" s="74">
        <v>-32.795000000000002</v>
      </c>
      <c r="CG6033" s="74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07"/>
        <v>-63.15</v>
      </c>
      <c r="BC6034" s="74">
        <v>-30.02</v>
      </c>
      <c r="CA6034" s="74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07"/>
        <v>-95.21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07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07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07"/>
        <v>-32.04</v>
      </c>
      <c r="BC6038" s="74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07"/>
        <v>-15.12</v>
      </c>
      <c r="BC6039" s="74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07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07"/>
        <v>-32.215000000000003</v>
      </c>
      <c r="AW6041" s="74">
        <v>-7.95</v>
      </c>
      <c r="BU6041" s="74">
        <v>-15.95</v>
      </c>
      <c r="CG6041" s="74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07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07"/>
        <v>-8.57</v>
      </c>
      <c r="CM6043" s="74">
        <v>-8.57</v>
      </c>
    </row>
    <row r="6044" spans="1:131" x14ac:dyDescent="0.25">
      <c r="A6044" s="127">
        <v>46037</v>
      </c>
      <c r="B6044" s="24" t="s">
        <v>24</v>
      </c>
      <c r="C6044" s="21">
        <f t="shared" si="107"/>
        <v>-17.75</v>
      </c>
      <c r="BU6044" s="74">
        <v>-9.76</v>
      </c>
      <c r="CY6044" s="74">
        <v>-7.99</v>
      </c>
    </row>
    <row r="6045" spans="1:131" x14ac:dyDescent="0.25">
      <c r="A6045" s="127">
        <v>46037</v>
      </c>
      <c r="B6045" s="24" t="s">
        <v>48</v>
      </c>
      <c r="C6045" s="21">
        <f t="shared" si="107"/>
        <v>-0.185</v>
      </c>
      <c r="BU6045" s="74">
        <v>-8.125</v>
      </c>
      <c r="BZ6045" s="69">
        <v>16.829999999999998</v>
      </c>
      <c r="DM6045" s="150">
        <v>-8.89</v>
      </c>
    </row>
    <row r="6046" spans="1:131" x14ac:dyDescent="0.25">
      <c r="A6046" s="127">
        <v>46038</v>
      </c>
      <c r="B6046" s="24" t="s">
        <v>138</v>
      </c>
      <c r="C6046" s="21">
        <f t="shared" si="107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07"/>
        <v>-9.23</v>
      </c>
      <c r="BU6047" s="74">
        <v>-9.23</v>
      </c>
    </row>
    <row r="6048" spans="1:131" x14ac:dyDescent="0.25">
      <c r="A6048" s="127">
        <v>46041</v>
      </c>
      <c r="B6048" s="24" t="s">
        <v>133</v>
      </c>
      <c r="C6048" s="21">
        <f t="shared" si="107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07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07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74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07"/>
        <v>110.145</v>
      </c>
      <c r="BC6051" s="74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07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07"/>
        <v>-8.89</v>
      </c>
      <c r="AR6053" s="74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09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27">
        <v>46042</v>
      </c>
      <c r="B6055" s="24" t="s">
        <v>138</v>
      </c>
      <c r="C6055" s="21">
        <f t="shared" si="109"/>
        <v>-23.065000000000001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09"/>
        <v>-16.254999999999999</v>
      </c>
      <c r="AW6056" s="74">
        <v>-9.4450000000000003</v>
      </c>
      <c r="BC6056" s="74">
        <v>-6.81</v>
      </c>
    </row>
    <row r="6057" spans="1:208" x14ac:dyDescent="0.25">
      <c r="A6057" s="127">
        <v>46042</v>
      </c>
      <c r="B6057" s="24" t="s">
        <v>17</v>
      </c>
      <c r="C6057" s="21">
        <f t="shared" si="109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09"/>
        <v>-25.42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09"/>
        <v>-32.200000000000003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27">
        <v>46042</v>
      </c>
      <c r="B6060" s="24" t="s">
        <v>133</v>
      </c>
      <c r="C6060" s="21">
        <f t="shared" si="109"/>
        <v>-123.08499999999999</v>
      </c>
      <c r="BI6060" s="74">
        <v>-32.594999999999999</v>
      </c>
      <c r="BO6060" s="74">
        <v>-24.15</v>
      </c>
      <c r="BU6060" s="74">
        <v>-8.17</v>
      </c>
      <c r="CG6060" s="74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09"/>
        <v>-99.415000000000006</v>
      </c>
      <c r="AN6061" s="74">
        <v>-6.7649999999999997</v>
      </c>
      <c r="AW6061" s="74">
        <v>-7.99</v>
      </c>
      <c r="BO6061" s="74">
        <v>-17.75</v>
      </c>
      <c r="CG6061" s="74">
        <v>-32.369999999999997</v>
      </c>
      <c r="CM6061" s="74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09"/>
        <v>-65.064999999999998</v>
      </c>
      <c r="BI6062" s="74">
        <v>-32.844999999999999</v>
      </c>
      <c r="CA6062" s="74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09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09"/>
        <v>-8.7449999999999992</v>
      </c>
      <c r="CM6064" s="74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09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27">
        <v>46043</v>
      </c>
      <c r="B6066" s="24" t="s">
        <v>218</v>
      </c>
      <c r="C6066" s="21">
        <f t="shared" si="109"/>
        <v>-15.67</v>
      </c>
      <c r="CA6066" s="74">
        <v>-8.4149999999999991</v>
      </c>
      <c r="CM6066" s="74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09"/>
        <v>-14.61</v>
      </c>
      <c r="AG6067" s="106">
        <v>-6.71</v>
      </c>
      <c r="BU6067" s="74">
        <v>-7.9</v>
      </c>
    </row>
    <row r="6068" spans="1:248" x14ac:dyDescent="0.25">
      <c r="A6068" s="127">
        <v>46043</v>
      </c>
      <c r="B6068" s="24" t="s">
        <v>48</v>
      </c>
      <c r="C6068" s="21">
        <f t="shared" si="109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09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09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09"/>
        <v>-32.869999999999997</v>
      </c>
      <c r="BU6071" s="74">
        <v>-15.78</v>
      </c>
      <c r="CA6071" s="74">
        <v>-8.75</v>
      </c>
      <c r="CG6071" s="74">
        <v>-8.34</v>
      </c>
    </row>
    <row r="6072" spans="1:248" x14ac:dyDescent="0.25">
      <c r="A6072" s="127">
        <v>46044</v>
      </c>
      <c r="B6072" s="24" t="s">
        <v>225</v>
      </c>
      <c r="C6072" s="21">
        <f t="shared" si="109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09"/>
        <v>898.07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74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09"/>
        <v>81.41</v>
      </c>
      <c r="BU6074" s="74">
        <v>81.41</v>
      </c>
    </row>
    <row r="6075" spans="1:248" x14ac:dyDescent="0.25">
      <c r="A6075" s="127">
        <v>46046</v>
      </c>
      <c r="B6075" s="24" t="s">
        <v>183</v>
      </c>
      <c r="C6075" s="21">
        <f t="shared" si="109"/>
        <v>-73.06</v>
      </c>
      <c r="CS6075" s="74">
        <v>-17.305</v>
      </c>
      <c r="CY6075" s="74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09"/>
        <v>-16.3</v>
      </c>
      <c r="BU6076" s="74">
        <v>-16.3</v>
      </c>
    </row>
    <row r="6077" spans="1:248" x14ac:dyDescent="0.25">
      <c r="A6077" s="127">
        <v>46048</v>
      </c>
      <c r="B6077" s="24" t="s">
        <v>239</v>
      </c>
      <c r="C6077" s="21">
        <f t="shared" si="109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09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09"/>
        <v>-82.71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09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74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09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09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09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09"/>
        <v>-39.625</v>
      </c>
      <c r="BI6084" s="74">
        <v>-16.434999999999999</v>
      </c>
      <c r="BO6084" s="74">
        <v>-8.65</v>
      </c>
      <c r="CG6084" s="74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09"/>
        <v>-8.0449999999999999</v>
      </c>
      <c r="CA6085" s="74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09"/>
        <v>-99.27</v>
      </c>
      <c r="AW6086" s="74">
        <v>-16.02</v>
      </c>
      <c r="BC6086" s="74">
        <v>-16.215</v>
      </c>
      <c r="BU6086" s="74">
        <v>-16.335000000000001</v>
      </c>
      <c r="CG6086" s="74">
        <v>-16.11</v>
      </c>
      <c r="CM6086" s="74">
        <v>-25.875</v>
      </c>
      <c r="CY6086" s="74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09"/>
        <v>-34.29</v>
      </c>
      <c r="BO6087" s="74">
        <v>-17.975000000000001</v>
      </c>
      <c r="BU6087" s="74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09"/>
        <v>-61.305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09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09"/>
        <v>-16.114999999999998</v>
      </c>
      <c r="BC6090" s="74">
        <v>-7.9349999999999996</v>
      </c>
      <c r="BU6090" s="74">
        <v>-8.18</v>
      </c>
    </row>
    <row r="6091" spans="1:137" x14ac:dyDescent="0.25">
      <c r="A6091" s="127">
        <v>46049</v>
      </c>
      <c r="B6091" s="24" t="s">
        <v>138</v>
      </c>
      <c r="C6091" s="21">
        <f t="shared" si="109"/>
        <v>-8.0850000000000009</v>
      </c>
      <c r="CG6091" s="74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09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09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09"/>
        <v>-597.66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5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09"/>
        <v>-16.895</v>
      </c>
      <c r="CM6095" s="74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09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09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09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0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0"/>
        <v>-21.78</v>
      </c>
      <c r="BR6100" s="115">
        <v>-13.37</v>
      </c>
      <c r="BU6100" s="74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0"/>
        <v>-26.19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0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0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0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0"/>
        <v>-8.25</v>
      </c>
      <c r="CM6105" s="74">
        <v>-8.25</v>
      </c>
    </row>
    <row r="6106" spans="1:163" x14ac:dyDescent="0.25">
      <c r="A6106" s="127">
        <v>46053</v>
      </c>
      <c r="B6106" s="24" t="s">
        <v>113</v>
      </c>
      <c r="C6106" s="21">
        <f t="shared" si="109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09"/>
        <v>-16.05</v>
      </c>
      <c r="AW6107" s="74">
        <v>-8.0950000000000006</v>
      </c>
      <c r="BC6107" s="74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09"/>
        <v>-93</v>
      </c>
      <c r="AN6108" s="74">
        <v>-7.915</v>
      </c>
      <c r="AR6108" s="74">
        <v>-8.6199999999999992</v>
      </c>
      <c r="AW6108" s="74">
        <f>-8.045-8.145</f>
        <v>-16.190000000000001</v>
      </c>
      <c r="BC6108" s="74">
        <v>-7.915</v>
      </c>
      <c r="CS6108" s="74">
        <f>-8.645-8.67</f>
        <v>-17.315000000000001</v>
      </c>
      <c r="CY6108" s="74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09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09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09"/>
        <v>-8.5050000000000008</v>
      </c>
      <c r="BO6111" s="74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09"/>
        <v>-25.08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09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09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09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09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09"/>
        <v>-60.05</v>
      </c>
      <c r="DK6117" s="74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09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09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09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4" si="111">SUM(D6121:JT6121)</f>
        <v>265.5</v>
      </c>
      <c r="BL6121" s="115">
        <v>32.494999999999997</v>
      </c>
      <c r="BR6121" s="115">
        <v>33.57</v>
      </c>
      <c r="BX6121" s="115">
        <v>66.63</v>
      </c>
      <c r="CD6121" s="182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1"/>
        <v>-66.290000000000006</v>
      </c>
      <c r="BX6122" s="115">
        <v>-16.62</v>
      </c>
      <c r="CD6122" s="182">
        <v>-16.635000000000002</v>
      </c>
      <c r="CJ6122" s="115">
        <v>-16.59</v>
      </c>
      <c r="CM6122" s="74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1"/>
        <v>-83.245000000000005</v>
      </c>
      <c r="V6123" s="74">
        <v>-8.2100000000000009</v>
      </c>
      <c r="BX6123" s="115">
        <v>-16.670000000000002</v>
      </c>
      <c r="CD6123" s="182">
        <v>-16.594999999999999</v>
      </c>
      <c r="CJ6123" s="115">
        <v>-16.63</v>
      </c>
      <c r="CM6123" s="74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1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82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1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1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1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1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1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1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1"/>
        <v>615.49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74">
        <v>69.745000000000005</v>
      </c>
      <c r="CM6131" s="74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1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1"/>
        <v>-67.62</v>
      </c>
      <c r="AN6133" s="74">
        <v>-8.5350000000000001</v>
      </c>
      <c r="AW6133" s="74">
        <f>-8.51-7.93</f>
        <v>-16.440000000000001</v>
      </c>
      <c r="BC6133" s="74">
        <v>-8.58</v>
      </c>
      <c r="BI6133" s="74">
        <f>-8.62-8.595</f>
        <v>-17.215</v>
      </c>
      <c r="BO6133" s="74">
        <v>-8.58</v>
      </c>
      <c r="CD6133" s="182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1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74">
        <v>-8.7100000000000009</v>
      </c>
      <c r="CM6134" s="74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1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1"/>
        <v>-16.91</v>
      </c>
      <c r="AW6136" s="74">
        <v>-8.19</v>
      </c>
      <c r="BC6136" s="74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1"/>
        <v>-34.024999999999999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1"/>
        <v>-33.445</v>
      </c>
      <c r="AN6138" s="74">
        <v>-8.5350000000000001</v>
      </c>
      <c r="AW6138" s="74">
        <v>-8.11</v>
      </c>
      <c r="BC6138" s="74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1"/>
        <v>-175.83</v>
      </c>
      <c r="CA6139" s="74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1"/>
        <v>-130.005</v>
      </c>
      <c r="BI6140" s="74">
        <v>-25.844999999999999</v>
      </c>
      <c r="CG6140" s="74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1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1"/>
        <v>-26.315000000000001</v>
      </c>
      <c r="CG6142" s="74">
        <v>-8.7449999999999992</v>
      </c>
      <c r="CY6142" s="74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27">
        <v>46073</v>
      </c>
      <c r="B6147" s="24" t="s">
        <v>24</v>
      </c>
      <c r="C6147" s="21">
        <f t="shared" si="111"/>
        <v>-16.8</v>
      </c>
      <c r="BU6147" s="74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1"/>
        <v>-70.944999999999993</v>
      </c>
      <c r="BC6148" s="74">
        <v>-8.57</v>
      </c>
      <c r="BO6148" s="74">
        <v>-9.85</v>
      </c>
      <c r="CG6148" s="74">
        <v>-17.405000000000001</v>
      </c>
      <c r="CM6148" s="74">
        <v>-17.38</v>
      </c>
      <c r="CY6148" s="74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1"/>
        <v>-61.005000000000003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1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27">
        <v>46074</v>
      </c>
      <c r="B6151" s="24" t="s">
        <v>48</v>
      </c>
      <c r="C6151" s="21">
        <f t="shared" si="111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1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1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1"/>
        <v>-24.785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1"/>
        <v>-7.24</v>
      </c>
      <c r="D6155" s="145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1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1"/>
        <v>103.25</v>
      </c>
      <c r="BI6157" s="74">
        <v>34.42</v>
      </c>
      <c r="BO6157" s="74">
        <v>33.869999999999997</v>
      </c>
      <c r="CG6157" s="74">
        <v>34.96</v>
      </c>
    </row>
    <row r="6158" spans="1:230" x14ac:dyDescent="0.25">
      <c r="A6158" s="127">
        <v>46078</v>
      </c>
      <c r="B6158" s="24" t="s">
        <v>113</v>
      </c>
      <c r="C6158" s="21">
        <f t="shared" si="111"/>
        <v>367.52</v>
      </c>
      <c r="AR6158" s="74">
        <v>31.48</v>
      </c>
      <c r="AW6158" s="74">
        <v>33.685000000000002</v>
      </c>
      <c r="BC6158" s="74">
        <v>31.385000000000002</v>
      </c>
      <c r="BI6158" s="74">
        <v>34.56</v>
      </c>
      <c r="CA6158" s="74">
        <v>135.16499999999999</v>
      </c>
      <c r="CM6158" s="74">
        <v>34.909999999999997</v>
      </c>
      <c r="CY6158" s="74">
        <v>34.15</v>
      </c>
      <c r="DU6158" s="106">
        <v>32.185000000000002</v>
      </c>
    </row>
    <row r="6159" spans="1:230" x14ac:dyDescent="0.25">
      <c r="A6159" s="127">
        <v>46078</v>
      </c>
      <c r="B6159" s="24" t="s">
        <v>184</v>
      </c>
      <c r="C6159" s="21">
        <f t="shared" si="111"/>
        <v>-456.59</v>
      </c>
      <c r="AR6159" s="74">
        <v>-15.715</v>
      </c>
      <c r="AW6159" s="74">
        <v>-33.685000000000002</v>
      </c>
      <c r="BC6159" s="74">
        <v>-31.385000000000002</v>
      </c>
      <c r="BI6159" s="74">
        <v>-34.56</v>
      </c>
      <c r="CA6159" s="74">
        <v>-101.47499999999999</v>
      </c>
      <c r="CM6159" s="74">
        <v>-34.909999999999997</v>
      </c>
      <c r="CS6159" s="74">
        <v>-34.615000000000002</v>
      </c>
      <c r="CY6159" s="74">
        <v>-34.15</v>
      </c>
      <c r="DE6159" s="74">
        <v>-34.880000000000003</v>
      </c>
      <c r="DK6159" s="74">
        <v>-69.03</v>
      </c>
      <c r="DU6159" s="106">
        <v>-32.185000000000002</v>
      </c>
    </row>
    <row r="6160" spans="1:230" x14ac:dyDescent="0.25">
      <c r="A6160" s="127">
        <v>46078</v>
      </c>
      <c r="B6160" s="24" t="s">
        <v>184</v>
      </c>
      <c r="C6160" s="21">
        <f t="shared" si="111"/>
        <v>-15.765000000000001</v>
      </c>
      <c r="AR6160" s="74">
        <v>-15.765000000000001</v>
      </c>
    </row>
    <row r="6161" spans="1:131" x14ac:dyDescent="0.25">
      <c r="A6161" s="127">
        <v>46078</v>
      </c>
      <c r="B6161" s="24" t="s">
        <v>218</v>
      </c>
      <c r="C6161" s="21">
        <f t="shared" si="111"/>
        <v>-43.14</v>
      </c>
      <c r="AN6161" s="74">
        <v>-8.5250000000000004</v>
      </c>
      <c r="BI6161" s="74">
        <v>-8.61</v>
      </c>
      <c r="BO6161" s="74">
        <v>-8.48</v>
      </c>
      <c r="CG6161" s="74">
        <v>-8.77</v>
      </c>
      <c r="CS6161" s="74">
        <v>-8.7550000000000008</v>
      </c>
    </row>
    <row r="6162" spans="1:131" x14ac:dyDescent="0.25">
      <c r="A6162" s="127">
        <v>46079</v>
      </c>
      <c r="B6162" s="24" t="s">
        <v>192</v>
      </c>
      <c r="C6162" s="21">
        <f t="shared" si="111"/>
        <v>-8.625</v>
      </c>
      <c r="BI6162" s="74">
        <v>-8.625</v>
      </c>
    </row>
    <row r="6163" spans="1:131" x14ac:dyDescent="0.25">
      <c r="A6163" s="127">
        <v>46079</v>
      </c>
      <c r="B6163" s="24" t="s">
        <v>48</v>
      </c>
      <c r="C6163" s="21">
        <f t="shared" si="111"/>
        <v>17.274999999999999</v>
      </c>
      <c r="O6163" s="428">
        <f>8.66+8.615</f>
        <v>17.274999999999999</v>
      </c>
    </row>
    <row r="6164" spans="1:131" x14ac:dyDescent="0.25">
      <c r="A6164" s="127">
        <v>46080</v>
      </c>
      <c r="B6164" s="24" t="s">
        <v>48</v>
      </c>
      <c r="C6164" s="21">
        <f t="shared" si="111"/>
        <v>-16.93</v>
      </c>
      <c r="AN6164" s="74">
        <v>-16.93</v>
      </c>
    </row>
    <row r="6165" spans="1:131" x14ac:dyDescent="0.25">
      <c r="A6165" s="127">
        <v>46080</v>
      </c>
      <c r="B6165" s="24" t="s">
        <v>184</v>
      </c>
      <c r="C6165" s="21">
        <f t="shared" si="111"/>
        <v>-112.515</v>
      </c>
      <c r="CY6165" s="74">
        <v>-8.8049999999999997</v>
      </c>
      <c r="DE6165" s="74">
        <v>-35.075000000000003</v>
      </c>
      <c r="DK6165" s="74">
        <v>-25.91</v>
      </c>
      <c r="DM6165" s="150">
        <v>-8.9</v>
      </c>
      <c r="EA6165" s="74">
        <v>-33.825000000000003</v>
      </c>
    </row>
    <row r="6166" spans="1:131" x14ac:dyDescent="0.25">
      <c r="A6166" s="127">
        <v>46080</v>
      </c>
      <c r="B6166" s="24" t="s">
        <v>213</v>
      </c>
      <c r="C6166" s="21">
        <f t="shared" si="111"/>
        <v>-41.44</v>
      </c>
      <c r="O6166" s="428">
        <v>-7.68</v>
      </c>
      <c r="BI6166" s="74">
        <v>-8.6</v>
      </c>
      <c r="BU6166" s="74">
        <v>-8.5</v>
      </c>
      <c r="CG6166" s="74">
        <v>-8.7050000000000001</v>
      </c>
      <c r="CM6166" s="74">
        <v>-7.9550000000000001</v>
      </c>
    </row>
    <row r="6167" spans="1:131" x14ac:dyDescent="0.25">
      <c r="A6167" s="127">
        <v>46080</v>
      </c>
      <c r="B6167" s="24" t="s">
        <v>184</v>
      </c>
      <c r="C6167" s="21">
        <f t="shared" si="111"/>
        <v>-65.795000000000002</v>
      </c>
      <c r="S6167" s="74">
        <v>-13.62</v>
      </c>
      <c r="AN6167" s="74">
        <v>-16.55</v>
      </c>
      <c r="BO6167" s="74">
        <v>-8.42</v>
      </c>
      <c r="CA6167" s="74">
        <v>-9.5649999999999995</v>
      </c>
      <c r="CG6167" s="74">
        <v>-8.7750000000000004</v>
      </c>
      <c r="DE6167" s="74">
        <v>-8.8650000000000002</v>
      </c>
    </row>
    <row r="6168" spans="1:131" x14ac:dyDescent="0.25">
      <c r="A6168" s="127">
        <v>46080</v>
      </c>
      <c r="B6168" s="24" t="s">
        <v>301</v>
      </c>
      <c r="C6168" s="21">
        <f t="shared" si="111"/>
        <v>-0.98</v>
      </c>
      <c r="O6168" s="428">
        <v>-0.98</v>
      </c>
    </row>
    <row r="6169" spans="1:131" x14ac:dyDescent="0.25">
      <c r="C6169" s="21">
        <f t="shared" si="111"/>
        <v>0</v>
      </c>
    </row>
    <row r="6170" spans="1:131" x14ac:dyDescent="0.25">
      <c r="C6170" s="21">
        <f t="shared" si="111"/>
        <v>0</v>
      </c>
    </row>
    <row r="6171" spans="1:131" x14ac:dyDescent="0.25">
      <c r="C6171" s="21">
        <f t="shared" si="111"/>
        <v>0</v>
      </c>
    </row>
    <row r="6172" spans="1:131" x14ac:dyDescent="0.25">
      <c r="C6172" s="21">
        <f t="shared" si="111"/>
        <v>0</v>
      </c>
    </row>
    <row r="6173" spans="1:131" x14ac:dyDescent="0.25">
      <c r="C6173" s="21">
        <f t="shared" si="111"/>
        <v>0</v>
      </c>
    </row>
    <row r="6174" spans="1:131" x14ac:dyDescent="0.25">
      <c r="C6174" s="21">
        <f t="shared" si="111"/>
        <v>0</v>
      </c>
    </row>
    <row r="6175" spans="1:131" x14ac:dyDescent="0.25">
      <c r="C6175" s="21">
        <f t="shared" si="111"/>
        <v>0</v>
      </c>
    </row>
    <row r="6176" spans="1:131" x14ac:dyDescent="0.25">
      <c r="C6176" s="21">
        <f t="shared" si="111"/>
        <v>0</v>
      </c>
    </row>
    <row r="6177" spans="3:3" x14ac:dyDescent="0.25">
      <c r="C6177" s="21">
        <f t="shared" si="111"/>
        <v>0</v>
      </c>
    </row>
    <row r="6178" spans="3:3" x14ac:dyDescent="0.25">
      <c r="C6178" s="21">
        <f t="shared" si="111"/>
        <v>0</v>
      </c>
    </row>
    <row r="6179" spans="3:3" x14ac:dyDescent="0.25">
      <c r="C6179" s="21">
        <f t="shared" si="111"/>
        <v>0</v>
      </c>
    </row>
    <row r="6180" spans="3:3" x14ac:dyDescent="0.25">
      <c r="C6180" s="21">
        <f t="shared" si="111"/>
        <v>0</v>
      </c>
    </row>
    <row r="6181" spans="3:3" x14ac:dyDescent="0.25">
      <c r="C6181" s="21">
        <f t="shared" si="111"/>
        <v>0</v>
      </c>
    </row>
    <row r="6182" spans="3:3" x14ac:dyDescent="0.25">
      <c r="C6182" s="21">
        <f t="shared" si="111"/>
        <v>0</v>
      </c>
    </row>
    <row r="6183" spans="3:3" x14ac:dyDescent="0.25">
      <c r="C6183" s="21">
        <f t="shared" si="111"/>
        <v>0</v>
      </c>
    </row>
    <row r="6184" spans="3:3" x14ac:dyDescent="0.25">
      <c r="C6184" s="21">
        <f t="shared" si="111"/>
        <v>0</v>
      </c>
    </row>
    <row r="6185" spans="3:3" x14ac:dyDescent="0.25">
      <c r="C6185" s="21">
        <f t="shared" ref="C6185:C6248" si="112">SUM(D6185:JT6185)</f>
        <v>0</v>
      </c>
    </row>
    <row r="6186" spans="3:3" x14ac:dyDescent="0.25">
      <c r="C6186" s="21">
        <f t="shared" si="112"/>
        <v>0</v>
      </c>
    </row>
    <row r="6187" spans="3:3" x14ac:dyDescent="0.25">
      <c r="C6187" s="21">
        <f t="shared" si="112"/>
        <v>0</v>
      </c>
    </row>
    <row r="6188" spans="3:3" x14ac:dyDescent="0.25">
      <c r="C6188" s="21">
        <f t="shared" si="112"/>
        <v>0</v>
      </c>
    </row>
    <row r="6189" spans="3:3" x14ac:dyDescent="0.25">
      <c r="C6189" s="21">
        <f t="shared" si="112"/>
        <v>0</v>
      </c>
    </row>
    <row r="6190" spans="3:3" x14ac:dyDescent="0.25">
      <c r="C6190" s="21">
        <f t="shared" si="112"/>
        <v>0</v>
      </c>
    </row>
    <row r="6191" spans="3:3" x14ac:dyDescent="0.25">
      <c r="C6191" s="21">
        <f t="shared" si="112"/>
        <v>0</v>
      </c>
    </row>
    <row r="6192" spans="3:3" x14ac:dyDescent="0.25">
      <c r="C6192" s="21">
        <f t="shared" si="112"/>
        <v>0</v>
      </c>
    </row>
    <row r="6193" spans="3:3" x14ac:dyDescent="0.25">
      <c r="C6193" s="21">
        <f t="shared" si="112"/>
        <v>0</v>
      </c>
    </row>
    <row r="6194" spans="3:3" x14ac:dyDescent="0.25">
      <c r="C6194" s="21">
        <f t="shared" si="112"/>
        <v>0</v>
      </c>
    </row>
    <row r="6195" spans="3:3" x14ac:dyDescent="0.25">
      <c r="C6195" s="21">
        <f t="shared" si="112"/>
        <v>0</v>
      </c>
    </row>
    <row r="6196" spans="3:3" x14ac:dyDescent="0.25">
      <c r="C6196" s="21">
        <f t="shared" si="112"/>
        <v>0</v>
      </c>
    </row>
    <row r="6197" spans="3:3" x14ac:dyDescent="0.25">
      <c r="C6197" s="21">
        <f t="shared" si="112"/>
        <v>0</v>
      </c>
    </row>
    <row r="6198" spans="3:3" x14ac:dyDescent="0.25">
      <c r="C6198" s="21">
        <f t="shared" si="112"/>
        <v>0</v>
      </c>
    </row>
    <row r="6199" spans="3:3" x14ac:dyDescent="0.25">
      <c r="C6199" s="21">
        <f t="shared" si="112"/>
        <v>0</v>
      </c>
    </row>
    <row r="6200" spans="3:3" x14ac:dyDescent="0.25">
      <c r="C6200" s="21">
        <f t="shared" si="112"/>
        <v>0</v>
      </c>
    </row>
    <row r="6201" spans="3:3" x14ac:dyDescent="0.25">
      <c r="C6201" s="21">
        <f t="shared" si="112"/>
        <v>0</v>
      </c>
    </row>
    <row r="6202" spans="3:3" x14ac:dyDescent="0.25">
      <c r="C6202" s="21">
        <f t="shared" si="112"/>
        <v>0</v>
      </c>
    </row>
    <row r="6203" spans="3:3" x14ac:dyDescent="0.25">
      <c r="C6203" s="21">
        <f t="shared" si="112"/>
        <v>0</v>
      </c>
    </row>
    <row r="6204" spans="3:3" x14ac:dyDescent="0.25">
      <c r="C6204" s="21">
        <f t="shared" si="112"/>
        <v>0</v>
      </c>
    </row>
    <row r="6205" spans="3:3" x14ac:dyDescent="0.25">
      <c r="C6205" s="21">
        <f t="shared" si="112"/>
        <v>0</v>
      </c>
    </row>
    <row r="6206" spans="3:3" x14ac:dyDescent="0.25">
      <c r="C6206" s="21">
        <f t="shared" si="112"/>
        <v>0</v>
      </c>
    </row>
    <row r="6207" spans="3:3" x14ac:dyDescent="0.25">
      <c r="C6207" s="21">
        <f t="shared" si="112"/>
        <v>0</v>
      </c>
    </row>
    <row r="6208" spans="3:3" x14ac:dyDescent="0.25">
      <c r="C6208" s="21">
        <f t="shared" si="112"/>
        <v>0</v>
      </c>
    </row>
    <row r="6209" spans="3:3" x14ac:dyDescent="0.25">
      <c r="C6209" s="21">
        <f t="shared" si="112"/>
        <v>0</v>
      </c>
    </row>
    <row r="6210" spans="3:3" x14ac:dyDescent="0.25">
      <c r="C6210" s="21">
        <f t="shared" si="112"/>
        <v>0</v>
      </c>
    </row>
    <row r="6211" spans="3:3" x14ac:dyDescent="0.25">
      <c r="C6211" s="21">
        <f t="shared" si="112"/>
        <v>0</v>
      </c>
    </row>
    <row r="6212" spans="3:3" x14ac:dyDescent="0.25">
      <c r="C6212" s="21">
        <f t="shared" si="112"/>
        <v>0</v>
      </c>
    </row>
    <row r="6213" spans="3:3" x14ac:dyDescent="0.25">
      <c r="C6213" s="21">
        <f t="shared" si="112"/>
        <v>0</v>
      </c>
    </row>
    <row r="6214" spans="3:3" x14ac:dyDescent="0.25">
      <c r="C6214" s="21">
        <f t="shared" si="112"/>
        <v>0</v>
      </c>
    </row>
    <row r="6215" spans="3:3" x14ac:dyDescent="0.25">
      <c r="C6215" s="21">
        <f t="shared" si="112"/>
        <v>0</v>
      </c>
    </row>
    <row r="6216" spans="3:3" x14ac:dyDescent="0.25">
      <c r="C6216" s="21">
        <f t="shared" si="112"/>
        <v>0</v>
      </c>
    </row>
    <row r="6217" spans="3:3" x14ac:dyDescent="0.25">
      <c r="C6217" s="21">
        <f t="shared" si="112"/>
        <v>0</v>
      </c>
    </row>
    <row r="6218" spans="3:3" x14ac:dyDescent="0.25">
      <c r="C6218" s="21">
        <f t="shared" si="112"/>
        <v>0</v>
      </c>
    </row>
    <row r="6219" spans="3:3" x14ac:dyDescent="0.25">
      <c r="C6219" s="21">
        <f t="shared" si="112"/>
        <v>0</v>
      </c>
    </row>
    <row r="6220" spans="3:3" x14ac:dyDescent="0.25">
      <c r="C6220" s="21">
        <f t="shared" si="112"/>
        <v>0</v>
      </c>
    </row>
    <row r="6221" spans="3:3" x14ac:dyDescent="0.25">
      <c r="C6221" s="21">
        <f t="shared" si="112"/>
        <v>0</v>
      </c>
    </row>
    <row r="6222" spans="3:3" x14ac:dyDescent="0.25">
      <c r="C6222" s="21">
        <f t="shared" si="112"/>
        <v>0</v>
      </c>
    </row>
    <row r="6223" spans="3:3" x14ac:dyDescent="0.25">
      <c r="C6223" s="21">
        <f t="shared" si="112"/>
        <v>0</v>
      </c>
    </row>
    <row r="6224" spans="3:3" x14ac:dyDescent="0.25">
      <c r="C6224" s="21">
        <f t="shared" si="112"/>
        <v>0</v>
      </c>
    </row>
    <row r="6225" spans="3:3" x14ac:dyDescent="0.25">
      <c r="C6225" s="21">
        <f t="shared" si="112"/>
        <v>0</v>
      </c>
    </row>
    <row r="6226" spans="3:3" x14ac:dyDescent="0.25">
      <c r="C6226" s="21">
        <f t="shared" si="112"/>
        <v>0</v>
      </c>
    </row>
    <row r="6227" spans="3:3" x14ac:dyDescent="0.25">
      <c r="C6227" s="21">
        <f t="shared" si="112"/>
        <v>0</v>
      </c>
    </row>
    <row r="6228" spans="3:3" x14ac:dyDescent="0.25">
      <c r="C6228" s="21">
        <f t="shared" si="112"/>
        <v>0</v>
      </c>
    </row>
    <row r="6229" spans="3:3" x14ac:dyDescent="0.25">
      <c r="C6229" s="21">
        <f t="shared" si="112"/>
        <v>0</v>
      </c>
    </row>
    <row r="6230" spans="3:3" x14ac:dyDescent="0.25">
      <c r="C6230" s="21">
        <f t="shared" si="112"/>
        <v>0</v>
      </c>
    </row>
    <row r="6231" spans="3:3" x14ac:dyDescent="0.25">
      <c r="C6231" s="21">
        <f t="shared" si="112"/>
        <v>0</v>
      </c>
    </row>
    <row r="6232" spans="3:3" x14ac:dyDescent="0.25">
      <c r="C6232" s="21">
        <f t="shared" si="112"/>
        <v>0</v>
      </c>
    </row>
    <row r="6233" spans="3:3" x14ac:dyDescent="0.25">
      <c r="C6233" s="21">
        <f t="shared" si="112"/>
        <v>0</v>
      </c>
    </row>
    <row r="6234" spans="3:3" x14ac:dyDescent="0.25">
      <c r="C6234" s="21">
        <f t="shared" si="112"/>
        <v>0</v>
      </c>
    </row>
    <row r="6235" spans="3:3" x14ac:dyDescent="0.25">
      <c r="C6235" s="21">
        <f t="shared" si="112"/>
        <v>0</v>
      </c>
    </row>
    <row r="6236" spans="3:3" x14ac:dyDescent="0.25">
      <c r="C6236" s="21">
        <f t="shared" si="112"/>
        <v>0</v>
      </c>
    </row>
    <row r="6237" spans="3:3" x14ac:dyDescent="0.25">
      <c r="C6237" s="21">
        <f t="shared" si="112"/>
        <v>0</v>
      </c>
    </row>
    <row r="6238" spans="3:3" x14ac:dyDescent="0.25">
      <c r="C6238" s="21">
        <f t="shared" si="112"/>
        <v>0</v>
      </c>
    </row>
    <row r="6239" spans="3:3" x14ac:dyDescent="0.25">
      <c r="C6239" s="21">
        <f t="shared" si="112"/>
        <v>0</v>
      </c>
    </row>
    <row r="6240" spans="3:3" x14ac:dyDescent="0.25">
      <c r="C6240" s="21">
        <f t="shared" si="112"/>
        <v>0</v>
      </c>
    </row>
    <row r="6241" spans="3:3" x14ac:dyDescent="0.25">
      <c r="C6241" s="21">
        <f t="shared" si="112"/>
        <v>0</v>
      </c>
    </row>
    <row r="6242" spans="3:3" x14ac:dyDescent="0.25">
      <c r="C6242" s="21">
        <f t="shared" si="112"/>
        <v>0</v>
      </c>
    </row>
    <row r="6243" spans="3:3" x14ac:dyDescent="0.25">
      <c r="C6243" s="21">
        <f t="shared" si="112"/>
        <v>0</v>
      </c>
    </row>
    <row r="6244" spans="3:3" x14ac:dyDescent="0.25">
      <c r="C6244" s="21">
        <f t="shared" si="112"/>
        <v>0</v>
      </c>
    </row>
    <row r="6245" spans="3:3" x14ac:dyDescent="0.25">
      <c r="C6245" s="21">
        <f t="shared" si="112"/>
        <v>0</v>
      </c>
    </row>
    <row r="6246" spans="3:3" x14ac:dyDescent="0.25">
      <c r="C6246" s="21">
        <f t="shared" si="112"/>
        <v>0</v>
      </c>
    </row>
    <row r="6247" spans="3:3" x14ac:dyDescent="0.25">
      <c r="C6247" s="21">
        <f t="shared" si="112"/>
        <v>0</v>
      </c>
    </row>
    <row r="6248" spans="3:3" x14ac:dyDescent="0.25">
      <c r="C6248" s="21">
        <f t="shared" si="112"/>
        <v>0</v>
      </c>
    </row>
    <row r="6249" spans="3:3" x14ac:dyDescent="0.25">
      <c r="C6249" s="21">
        <f t="shared" ref="C6249:C6312" si="113">SUM(D6249:JT6249)</f>
        <v>0</v>
      </c>
    </row>
    <row r="6250" spans="3:3" x14ac:dyDescent="0.25">
      <c r="C6250" s="21">
        <f t="shared" si="113"/>
        <v>0</v>
      </c>
    </row>
    <row r="6251" spans="3:3" x14ac:dyDescent="0.25">
      <c r="C6251" s="21">
        <f t="shared" si="113"/>
        <v>0</v>
      </c>
    </row>
    <row r="6252" spans="3:3" x14ac:dyDescent="0.25">
      <c r="C6252" s="21">
        <f t="shared" si="113"/>
        <v>0</v>
      </c>
    </row>
    <row r="6253" spans="3:3" x14ac:dyDescent="0.25">
      <c r="C6253" s="21">
        <f t="shared" si="113"/>
        <v>0</v>
      </c>
    </row>
    <row r="6254" spans="3:3" x14ac:dyDescent="0.25">
      <c r="C6254" s="21">
        <f t="shared" si="113"/>
        <v>0</v>
      </c>
    </row>
    <row r="6255" spans="3:3" x14ac:dyDescent="0.25">
      <c r="C6255" s="21">
        <f t="shared" si="113"/>
        <v>0</v>
      </c>
    </row>
    <row r="6256" spans="3:3" x14ac:dyDescent="0.25">
      <c r="C6256" s="21">
        <f t="shared" si="113"/>
        <v>0</v>
      </c>
    </row>
    <row r="6257" spans="3:3" x14ac:dyDescent="0.25">
      <c r="C6257" s="21">
        <f t="shared" si="113"/>
        <v>0</v>
      </c>
    </row>
    <row r="6258" spans="3:3" x14ac:dyDescent="0.25">
      <c r="C6258" s="21">
        <f t="shared" si="113"/>
        <v>0</v>
      </c>
    </row>
    <row r="6259" spans="3:3" x14ac:dyDescent="0.25">
      <c r="C6259" s="21">
        <f t="shared" si="113"/>
        <v>0</v>
      </c>
    </row>
    <row r="6260" spans="3:3" x14ac:dyDescent="0.25">
      <c r="C6260" s="21">
        <f t="shared" si="113"/>
        <v>0</v>
      </c>
    </row>
    <row r="6261" spans="3:3" x14ac:dyDescent="0.25">
      <c r="C6261" s="21">
        <f t="shared" si="113"/>
        <v>0</v>
      </c>
    </row>
    <row r="6262" spans="3:3" x14ac:dyDescent="0.25">
      <c r="C6262" s="21">
        <f t="shared" si="113"/>
        <v>0</v>
      </c>
    </row>
    <row r="6263" spans="3:3" x14ac:dyDescent="0.25">
      <c r="C6263" s="21">
        <f t="shared" si="113"/>
        <v>0</v>
      </c>
    </row>
    <row r="6264" spans="3:3" x14ac:dyDescent="0.25">
      <c r="C6264" s="21">
        <f t="shared" si="113"/>
        <v>0</v>
      </c>
    </row>
    <row r="6265" spans="3:3" x14ac:dyDescent="0.25">
      <c r="C6265" s="21">
        <f t="shared" si="113"/>
        <v>0</v>
      </c>
    </row>
    <row r="6266" spans="3:3" x14ac:dyDescent="0.25">
      <c r="C6266" s="21">
        <f t="shared" si="113"/>
        <v>0</v>
      </c>
    </row>
    <row r="6267" spans="3:3" x14ac:dyDescent="0.25">
      <c r="C6267" s="21">
        <f t="shared" si="113"/>
        <v>0</v>
      </c>
    </row>
    <row r="6268" spans="3:3" x14ac:dyDescent="0.25">
      <c r="C6268" s="21">
        <f t="shared" si="113"/>
        <v>0</v>
      </c>
    </row>
    <row r="6269" spans="3:3" x14ac:dyDescent="0.25">
      <c r="C6269" s="21">
        <f t="shared" si="113"/>
        <v>0</v>
      </c>
    </row>
    <row r="6270" spans="3:3" x14ac:dyDescent="0.25">
      <c r="C6270" s="21">
        <f t="shared" si="113"/>
        <v>0</v>
      </c>
    </row>
    <row r="6271" spans="3:3" x14ac:dyDescent="0.25">
      <c r="C6271" s="21">
        <f t="shared" si="113"/>
        <v>0</v>
      </c>
    </row>
    <row r="6272" spans="3:3" x14ac:dyDescent="0.25">
      <c r="C6272" s="21">
        <f t="shared" si="113"/>
        <v>0</v>
      </c>
    </row>
    <row r="6273" spans="3:3" x14ac:dyDescent="0.25">
      <c r="C6273" s="21">
        <f t="shared" si="113"/>
        <v>0</v>
      </c>
    </row>
    <row r="6274" spans="3:3" x14ac:dyDescent="0.25">
      <c r="C6274" s="21">
        <f t="shared" si="113"/>
        <v>0</v>
      </c>
    </row>
    <row r="6275" spans="3:3" x14ac:dyDescent="0.25">
      <c r="C6275" s="21">
        <f t="shared" si="113"/>
        <v>0</v>
      </c>
    </row>
    <row r="6276" spans="3:3" x14ac:dyDescent="0.25">
      <c r="C6276" s="21">
        <f t="shared" si="113"/>
        <v>0</v>
      </c>
    </row>
    <row r="6277" spans="3:3" x14ac:dyDescent="0.25">
      <c r="C6277" s="21">
        <f t="shared" si="113"/>
        <v>0</v>
      </c>
    </row>
    <row r="6278" spans="3:3" x14ac:dyDescent="0.25">
      <c r="C6278" s="21">
        <f t="shared" si="113"/>
        <v>0</v>
      </c>
    </row>
    <row r="6279" spans="3:3" x14ac:dyDescent="0.25">
      <c r="C6279" s="21">
        <f t="shared" si="113"/>
        <v>0</v>
      </c>
    </row>
    <row r="6280" spans="3:3" x14ac:dyDescent="0.25">
      <c r="C6280" s="21">
        <f t="shared" si="113"/>
        <v>0</v>
      </c>
    </row>
    <row r="6281" spans="3:3" x14ac:dyDescent="0.25">
      <c r="C6281" s="21">
        <f t="shared" si="113"/>
        <v>0</v>
      </c>
    </row>
    <row r="6282" spans="3:3" x14ac:dyDescent="0.25">
      <c r="C6282" s="21">
        <f t="shared" si="113"/>
        <v>0</v>
      </c>
    </row>
    <row r="6283" spans="3:3" x14ac:dyDescent="0.25">
      <c r="C6283" s="21">
        <f t="shared" si="113"/>
        <v>0</v>
      </c>
    </row>
    <row r="6284" spans="3:3" x14ac:dyDescent="0.25">
      <c r="C6284" s="21">
        <f t="shared" si="113"/>
        <v>0</v>
      </c>
    </row>
    <row r="6285" spans="3:3" x14ac:dyDescent="0.25">
      <c r="C6285" s="21">
        <f t="shared" si="113"/>
        <v>0</v>
      </c>
    </row>
    <row r="6286" spans="3:3" x14ac:dyDescent="0.25">
      <c r="C6286" s="21">
        <f t="shared" si="113"/>
        <v>0</v>
      </c>
    </row>
    <row r="6287" spans="3:3" x14ac:dyDescent="0.25">
      <c r="C6287" s="21">
        <f t="shared" si="113"/>
        <v>0</v>
      </c>
    </row>
    <row r="6288" spans="3:3" x14ac:dyDescent="0.25">
      <c r="C6288" s="21">
        <f t="shared" si="113"/>
        <v>0</v>
      </c>
    </row>
    <row r="6289" spans="3:3" x14ac:dyDescent="0.25">
      <c r="C6289" s="21">
        <f t="shared" si="113"/>
        <v>0</v>
      </c>
    </row>
    <row r="6290" spans="3:3" x14ac:dyDescent="0.25">
      <c r="C6290" s="21">
        <f t="shared" si="113"/>
        <v>0</v>
      </c>
    </row>
    <row r="6291" spans="3:3" x14ac:dyDescent="0.25">
      <c r="C6291" s="21">
        <f t="shared" si="113"/>
        <v>0</v>
      </c>
    </row>
    <row r="6292" spans="3:3" x14ac:dyDescent="0.25">
      <c r="C6292" s="21">
        <f t="shared" si="113"/>
        <v>0</v>
      </c>
    </row>
    <row r="6293" spans="3:3" x14ac:dyDescent="0.25">
      <c r="C6293" s="21">
        <f t="shared" si="113"/>
        <v>0</v>
      </c>
    </row>
    <row r="6294" spans="3:3" x14ac:dyDescent="0.25">
      <c r="C6294" s="21">
        <f t="shared" si="113"/>
        <v>0</v>
      </c>
    </row>
    <row r="6295" spans="3:3" x14ac:dyDescent="0.25">
      <c r="C6295" s="21">
        <f t="shared" si="113"/>
        <v>0</v>
      </c>
    </row>
    <row r="6296" spans="3:3" x14ac:dyDescent="0.25">
      <c r="C6296" s="21">
        <f t="shared" si="113"/>
        <v>0</v>
      </c>
    </row>
    <row r="6297" spans="3:3" x14ac:dyDescent="0.25">
      <c r="C6297" s="21">
        <f t="shared" si="113"/>
        <v>0</v>
      </c>
    </row>
    <row r="6298" spans="3:3" x14ac:dyDescent="0.25">
      <c r="C6298" s="21">
        <f t="shared" si="113"/>
        <v>0</v>
      </c>
    </row>
    <row r="6299" spans="3:3" x14ac:dyDescent="0.25">
      <c r="C6299" s="21">
        <f t="shared" si="113"/>
        <v>0</v>
      </c>
    </row>
    <row r="6300" spans="3:3" x14ac:dyDescent="0.25">
      <c r="C6300" s="21">
        <f t="shared" si="113"/>
        <v>0</v>
      </c>
    </row>
    <row r="6301" spans="3:3" x14ac:dyDescent="0.25">
      <c r="C6301" s="21">
        <f t="shared" si="113"/>
        <v>0</v>
      </c>
    </row>
    <row r="6302" spans="3:3" x14ac:dyDescent="0.25">
      <c r="C6302" s="21">
        <f t="shared" si="113"/>
        <v>0</v>
      </c>
    </row>
    <row r="6303" spans="3:3" x14ac:dyDescent="0.25">
      <c r="C6303" s="21">
        <f t="shared" si="113"/>
        <v>0</v>
      </c>
    </row>
    <row r="6304" spans="3:3" x14ac:dyDescent="0.25">
      <c r="C6304" s="21">
        <f t="shared" si="113"/>
        <v>0</v>
      </c>
    </row>
    <row r="6305" spans="3:3" x14ac:dyDescent="0.25">
      <c r="C6305" s="21">
        <f t="shared" si="113"/>
        <v>0</v>
      </c>
    </row>
    <row r="6306" spans="3:3" x14ac:dyDescent="0.25">
      <c r="C6306" s="21">
        <f t="shared" si="113"/>
        <v>0</v>
      </c>
    </row>
    <row r="6307" spans="3:3" x14ac:dyDescent="0.25">
      <c r="C6307" s="21">
        <f t="shared" si="113"/>
        <v>0</v>
      </c>
    </row>
    <row r="6308" spans="3:3" x14ac:dyDescent="0.25">
      <c r="C6308" s="21">
        <f t="shared" si="113"/>
        <v>0</v>
      </c>
    </row>
    <row r="6309" spans="3:3" x14ac:dyDescent="0.25">
      <c r="C6309" s="21">
        <f t="shared" si="113"/>
        <v>0</v>
      </c>
    </row>
    <row r="6310" spans="3:3" x14ac:dyDescent="0.25">
      <c r="C6310" s="21">
        <f t="shared" si="113"/>
        <v>0</v>
      </c>
    </row>
    <row r="6311" spans="3:3" x14ac:dyDescent="0.25">
      <c r="C6311" s="21">
        <f t="shared" si="113"/>
        <v>0</v>
      </c>
    </row>
    <row r="6312" spans="3:3" x14ac:dyDescent="0.25">
      <c r="C6312" s="21">
        <f t="shared" si="113"/>
        <v>0</v>
      </c>
    </row>
    <row r="6313" spans="3:3" x14ac:dyDescent="0.25">
      <c r="C6313" s="21">
        <f t="shared" ref="C6313:C6376" si="114">SUM(D6313:JT6313)</f>
        <v>0</v>
      </c>
    </row>
    <row r="6314" spans="3:3" x14ac:dyDescent="0.25">
      <c r="C6314" s="21">
        <f t="shared" si="114"/>
        <v>0</v>
      </c>
    </row>
    <row r="6315" spans="3:3" x14ac:dyDescent="0.25">
      <c r="C6315" s="21">
        <f t="shared" si="114"/>
        <v>0</v>
      </c>
    </row>
    <row r="6316" spans="3:3" x14ac:dyDescent="0.25">
      <c r="C6316" s="21">
        <f t="shared" si="114"/>
        <v>0</v>
      </c>
    </row>
    <row r="6317" spans="3:3" x14ac:dyDescent="0.25">
      <c r="C6317" s="21">
        <f t="shared" si="114"/>
        <v>0</v>
      </c>
    </row>
    <row r="6318" spans="3:3" x14ac:dyDescent="0.25">
      <c r="C6318" s="21">
        <f t="shared" si="114"/>
        <v>0</v>
      </c>
    </row>
    <row r="6319" spans="3:3" x14ac:dyDescent="0.25">
      <c r="C6319" s="21">
        <f t="shared" si="114"/>
        <v>0</v>
      </c>
    </row>
    <row r="6320" spans="3:3" x14ac:dyDescent="0.25">
      <c r="C6320" s="21">
        <f t="shared" si="114"/>
        <v>0</v>
      </c>
    </row>
    <row r="6321" spans="3:3" x14ac:dyDescent="0.25">
      <c r="C6321" s="21">
        <f t="shared" si="114"/>
        <v>0</v>
      </c>
    </row>
    <row r="6322" spans="3:3" x14ac:dyDescent="0.25">
      <c r="C6322" s="21">
        <f t="shared" si="114"/>
        <v>0</v>
      </c>
    </row>
    <row r="6323" spans="3:3" x14ac:dyDescent="0.25">
      <c r="C6323" s="21">
        <f t="shared" si="114"/>
        <v>0</v>
      </c>
    </row>
    <row r="6324" spans="3:3" x14ac:dyDescent="0.25">
      <c r="C6324" s="21">
        <f t="shared" si="114"/>
        <v>0</v>
      </c>
    </row>
    <row r="6325" spans="3:3" x14ac:dyDescent="0.25">
      <c r="C6325" s="21">
        <f t="shared" si="114"/>
        <v>0</v>
      </c>
    </row>
    <row r="6326" spans="3:3" x14ac:dyDescent="0.25">
      <c r="C6326" s="21">
        <f t="shared" si="114"/>
        <v>0</v>
      </c>
    </row>
    <row r="6327" spans="3:3" x14ac:dyDescent="0.25">
      <c r="C6327" s="21">
        <f t="shared" si="114"/>
        <v>0</v>
      </c>
    </row>
    <row r="6328" spans="3:3" x14ac:dyDescent="0.25">
      <c r="C6328" s="21">
        <f t="shared" si="114"/>
        <v>0</v>
      </c>
    </row>
    <row r="6329" spans="3:3" x14ac:dyDescent="0.25">
      <c r="C6329" s="21">
        <f t="shared" si="114"/>
        <v>0</v>
      </c>
    </row>
    <row r="6330" spans="3:3" x14ac:dyDescent="0.25">
      <c r="C6330" s="21">
        <f t="shared" si="114"/>
        <v>0</v>
      </c>
    </row>
    <row r="6331" spans="3:3" x14ac:dyDescent="0.25">
      <c r="C6331" s="21">
        <f t="shared" si="114"/>
        <v>0</v>
      </c>
    </row>
    <row r="6332" spans="3:3" x14ac:dyDescent="0.25">
      <c r="C6332" s="21">
        <f t="shared" si="114"/>
        <v>0</v>
      </c>
    </row>
    <row r="6333" spans="3:3" x14ac:dyDescent="0.25">
      <c r="C6333" s="21">
        <f t="shared" si="114"/>
        <v>0</v>
      </c>
    </row>
    <row r="6334" spans="3:3" x14ac:dyDescent="0.25">
      <c r="C6334" s="21">
        <f t="shared" si="114"/>
        <v>0</v>
      </c>
    </row>
    <row r="6335" spans="3:3" x14ac:dyDescent="0.25">
      <c r="C6335" s="21">
        <f t="shared" si="114"/>
        <v>0</v>
      </c>
    </row>
    <row r="6336" spans="3:3" x14ac:dyDescent="0.25">
      <c r="C6336" s="21">
        <f t="shared" si="114"/>
        <v>0</v>
      </c>
    </row>
    <row r="6337" spans="3:3" x14ac:dyDescent="0.25">
      <c r="C6337" s="21">
        <f t="shared" si="114"/>
        <v>0</v>
      </c>
    </row>
    <row r="6338" spans="3:3" x14ac:dyDescent="0.25">
      <c r="C6338" s="21">
        <f t="shared" si="114"/>
        <v>0</v>
      </c>
    </row>
    <row r="6339" spans="3:3" x14ac:dyDescent="0.25">
      <c r="C6339" s="21">
        <f t="shared" si="114"/>
        <v>0</v>
      </c>
    </row>
    <row r="6340" spans="3:3" x14ac:dyDescent="0.25">
      <c r="C6340" s="21">
        <f t="shared" si="114"/>
        <v>0</v>
      </c>
    </row>
    <row r="6341" spans="3:3" x14ac:dyDescent="0.25">
      <c r="C6341" s="21">
        <f t="shared" si="114"/>
        <v>0</v>
      </c>
    </row>
    <row r="6342" spans="3:3" x14ac:dyDescent="0.25">
      <c r="C6342" s="21">
        <f t="shared" si="114"/>
        <v>0</v>
      </c>
    </row>
    <row r="6343" spans="3:3" x14ac:dyDescent="0.25">
      <c r="C6343" s="21">
        <f t="shared" si="114"/>
        <v>0</v>
      </c>
    </row>
    <row r="6344" spans="3:3" x14ac:dyDescent="0.25">
      <c r="C6344" s="21">
        <f t="shared" si="114"/>
        <v>0</v>
      </c>
    </row>
    <row r="6345" spans="3:3" x14ac:dyDescent="0.25">
      <c r="C6345" s="21">
        <f t="shared" si="114"/>
        <v>0</v>
      </c>
    </row>
    <row r="6346" spans="3:3" x14ac:dyDescent="0.25">
      <c r="C6346" s="21">
        <f t="shared" si="114"/>
        <v>0</v>
      </c>
    </row>
    <row r="6347" spans="3:3" x14ac:dyDescent="0.25">
      <c r="C6347" s="21">
        <f t="shared" si="114"/>
        <v>0</v>
      </c>
    </row>
    <row r="6348" spans="3:3" x14ac:dyDescent="0.25">
      <c r="C6348" s="21">
        <f t="shared" si="114"/>
        <v>0</v>
      </c>
    </row>
    <row r="6349" spans="3:3" x14ac:dyDescent="0.25">
      <c r="C6349" s="21">
        <f t="shared" si="114"/>
        <v>0</v>
      </c>
    </row>
    <row r="6350" spans="3:3" x14ac:dyDescent="0.25">
      <c r="C6350" s="21">
        <f t="shared" si="114"/>
        <v>0</v>
      </c>
    </row>
    <row r="6351" spans="3:3" x14ac:dyDescent="0.25">
      <c r="C6351" s="21">
        <f t="shared" si="114"/>
        <v>0</v>
      </c>
    </row>
    <row r="6352" spans="3:3" x14ac:dyDescent="0.25">
      <c r="C6352" s="21">
        <f t="shared" si="114"/>
        <v>0</v>
      </c>
    </row>
    <row r="6353" spans="3:3" x14ac:dyDescent="0.25">
      <c r="C6353" s="21">
        <f t="shared" si="114"/>
        <v>0</v>
      </c>
    </row>
    <row r="6354" spans="3:3" x14ac:dyDescent="0.25">
      <c r="C6354" s="21">
        <f t="shared" si="114"/>
        <v>0</v>
      </c>
    </row>
    <row r="6355" spans="3:3" x14ac:dyDescent="0.25">
      <c r="C6355" s="21">
        <f t="shared" si="114"/>
        <v>0</v>
      </c>
    </row>
    <row r="6356" spans="3:3" x14ac:dyDescent="0.25">
      <c r="C6356" s="21">
        <f t="shared" si="114"/>
        <v>0</v>
      </c>
    </row>
    <row r="6357" spans="3:3" x14ac:dyDescent="0.25">
      <c r="C6357" s="21">
        <f t="shared" si="114"/>
        <v>0</v>
      </c>
    </row>
    <row r="6358" spans="3:3" x14ac:dyDescent="0.25">
      <c r="C6358" s="21">
        <f t="shared" si="114"/>
        <v>0</v>
      </c>
    </row>
    <row r="6359" spans="3:3" x14ac:dyDescent="0.25">
      <c r="C6359" s="21">
        <f t="shared" si="114"/>
        <v>0</v>
      </c>
    </row>
    <row r="6360" spans="3:3" x14ac:dyDescent="0.25">
      <c r="C6360" s="21">
        <f t="shared" si="114"/>
        <v>0</v>
      </c>
    </row>
    <row r="6361" spans="3:3" x14ac:dyDescent="0.25">
      <c r="C6361" s="21">
        <f t="shared" si="114"/>
        <v>0</v>
      </c>
    </row>
    <row r="6362" spans="3:3" x14ac:dyDescent="0.25">
      <c r="C6362" s="21">
        <f t="shared" si="114"/>
        <v>0</v>
      </c>
    </row>
    <row r="6363" spans="3:3" x14ac:dyDescent="0.25">
      <c r="C6363" s="21">
        <f t="shared" si="114"/>
        <v>0</v>
      </c>
    </row>
    <row r="6364" spans="3:3" x14ac:dyDescent="0.25">
      <c r="C6364" s="21">
        <f t="shared" si="114"/>
        <v>0</v>
      </c>
    </row>
    <row r="6365" spans="3:3" x14ac:dyDescent="0.25">
      <c r="C6365" s="21">
        <f t="shared" si="114"/>
        <v>0</v>
      </c>
    </row>
    <row r="6366" spans="3:3" x14ac:dyDescent="0.25">
      <c r="C6366" s="21">
        <f t="shared" si="114"/>
        <v>0</v>
      </c>
    </row>
    <row r="6367" spans="3:3" x14ac:dyDescent="0.25">
      <c r="C6367" s="21">
        <f t="shared" si="114"/>
        <v>0</v>
      </c>
    </row>
    <row r="6368" spans="3:3" x14ac:dyDescent="0.25">
      <c r="C6368" s="21">
        <f t="shared" si="114"/>
        <v>0</v>
      </c>
    </row>
    <row r="6369" spans="3:3" x14ac:dyDescent="0.25">
      <c r="C6369" s="21">
        <f t="shared" si="114"/>
        <v>0</v>
      </c>
    </row>
    <row r="6370" spans="3:3" x14ac:dyDescent="0.25">
      <c r="C6370" s="21">
        <f t="shared" si="114"/>
        <v>0</v>
      </c>
    </row>
    <row r="6371" spans="3:3" x14ac:dyDescent="0.25">
      <c r="C6371" s="21">
        <f t="shared" si="114"/>
        <v>0</v>
      </c>
    </row>
    <row r="6372" spans="3:3" x14ac:dyDescent="0.25">
      <c r="C6372" s="21">
        <f t="shared" si="114"/>
        <v>0</v>
      </c>
    </row>
    <row r="6373" spans="3:3" x14ac:dyDescent="0.25">
      <c r="C6373" s="21">
        <f t="shared" si="114"/>
        <v>0</v>
      </c>
    </row>
    <row r="6374" spans="3:3" x14ac:dyDescent="0.25">
      <c r="C6374" s="21">
        <f t="shared" si="114"/>
        <v>0</v>
      </c>
    </row>
    <row r="6375" spans="3:3" x14ac:dyDescent="0.25">
      <c r="C6375" s="21">
        <f t="shared" si="114"/>
        <v>0</v>
      </c>
    </row>
    <row r="6376" spans="3:3" x14ac:dyDescent="0.25">
      <c r="C6376" s="21">
        <f t="shared" si="114"/>
        <v>0</v>
      </c>
    </row>
    <row r="6377" spans="3:3" x14ac:dyDescent="0.25">
      <c r="C6377" s="21">
        <f t="shared" ref="C6377:C6440" si="115">SUM(D6377:JT6377)</f>
        <v>0</v>
      </c>
    </row>
    <row r="6378" spans="3:3" x14ac:dyDescent="0.25">
      <c r="C6378" s="21">
        <f t="shared" si="115"/>
        <v>0</v>
      </c>
    </row>
    <row r="6379" spans="3:3" x14ac:dyDescent="0.25">
      <c r="C6379" s="21">
        <f t="shared" si="115"/>
        <v>0</v>
      </c>
    </row>
    <row r="6380" spans="3:3" x14ac:dyDescent="0.25">
      <c r="C6380" s="21">
        <f t="shared" si="115"/>
        <v>0</v>
      </c>
    </row>
    <row r="6381" spans="3:3" x14ac:dyDescent="0.25">
      <c r="C6381" s="21">
        <f t="shared" si="115"/>
        <v>0</v>
      </c>
    </row>
    <row r="6382" spans="3:3" x14ac:dyDescent="0.25">
      <c r="C6382" s="21">
        <f t="shared" si="115"/>
        <v>0</v>
      </c>
    </row>
    <row r="6383" spans="3:3" x14ac:dyDescent="0.25">
      <c r="C6383" s="21">
        <f t="shared" si="115"/>
        <v>0</v>
      </c>
    </row>
    <row r="6384" spans="3:3" x14ac:dyDescent="0.25">
      <c r="C6384" s="21">
        <f t="shared" si="115"/>
        <v>0</v>
      </c>
    </row>
    <row r="6385" spans="3:3" x14ac:dyDescent="0.25">
      <c r="C6385" s="21">
        <f t="shared" si="115"/>
        <v>0</v>
      </c>
    </row>
    <row r="6386" spans="3:3" x14ac:dyDescent="0.25">
      <c r="C6386" s="21">
        <f t="shared" si="115"/>
        <v>0</v>
      </c>
    </row>
    <row r="6387" spans="3:3" x14ac:dyDescent="0.25">
      <c r="C6387" s="21">
        <f t="shared" si="115"/>
        <v>0</v>
      </c>
    </row>
    <row r="6388" spans="3:3" x14ac:dyDescent="0.25">
      <c r="C6388" s="21">
        <f t="shared" si="115"/>
        <v>0</v>
      </c>
    </row>
    <row r="6389" spans="3:3" x14ac:dyDescent="0.25">
      <c r="C6389" s="21">
        <f t="shared" si="115"/>
        <v>0</v>
      </c>
    </row>
    <row r="6390" spans="3:3" x14ac:dyDescent="0.25">
      <c r="C6390" s="21">
        <f t="shared" si="115"/>
        <v>0</v>
      </c>
    </row>
    <row r="6391" spans="3:3" x14ac:dyDescent="0.25">
      <c r="C6391" s="21">
        <f t="shared" si="115"/>
        <v>0</v>
      </c>
    </row>
    <row r="6392" spans="3:3" x14ac:dyDescent="0.25">
      <c r="C6392" s="21">
        <f t="shared" si="115"/>
        <v>0</v>
      </c>
    </row>
    <row r="6393" spans="3:3" x14ac:dyDescent="0.25">
      <c r="C6393" s="21">
        <f t="shared" si="115"/>
        <v>0</v>
      </c>
    </row>
    <row r="6394" spans="3:3" x14ac:dyDescent="0.25">
      <c r="C6394" s="21">
        <f t="shared" si="115"/>
        <v>0</v>
      </c>
    </row>
    <row r="6395" spans="3:3" x14ac:dyDescent="0.25">
      <c r="C6395" s="21">
        <f t="shared" si="115"/>
        <v>0</v>
      </c>
    </row>
    <row r="6396" spans="3:3" x14ac:dyDescent="0.25">
      <c r="C6396" s="21">
        <f t="shared" si="115"/>
        <v>0</v>
      </c>
    </row>
    <row r="6397" spans="3:3" x14ac:dyDescent="0.25">
      <c r="C6397" s="21">
        <f t="shared" si="115"/>
        <v>0</v>
      </c>
    </row>
    <row r="6398" spans="3:3" x14ac:dyDescent="0.25">
      <c r="C6398" s="21">
        <f t="shared" si="115"/>
        <v>0</v>
      </c>
    </row>
    <row r="6399" spans="3:3" x14ac:dyDescent="0.25">
      <c r="C6399" s="21">
        <f t="shared" si="115"/>
        <v>0</v>
      </c>
    </row>
    <row r="6400" spans="3:3" x14ac:dyDescent="0.25">
      <c r="C6400" s="21">
        <f t="shared" si="115"/>
        <v>0</v>
      </c>
    </row>
    <row r="6401" spans="3:3" x14ac:dyDescent="0.25">
      <c r="C6401" s="21">
        <f t="shared" si="115"/>
        <v>0</v>
      </c>
    </row>
    <row r="6402" spans="3:3" x14ac:dyDescent="0.25">
      <c r="C6402" s="21">
        <f t="shared" si="115"/>
        <v>0</v>
      </c>
    </row>
    <row r="6403" spans="3:3" x14ac:dyDescent="0.25">
      <c r="C6403" s="21">
        <f t="shared" si="115"/>
        <v>0</v>
      </c>
    </row>
    <row r="6404" spans="3:3" x14ac:dyDescent="0.25">
      <c r="C6404" s="21">
        <f t="shared" si="115"/>
        <v>0</v>
      </c>
    </row>
    <row r="6405" spans="3:3" x14ac:dyDescent="0.25">
      <c r="C6405" s="21">
        <f t="shared" si="115"/>
        <v>0</v>
      </c>
    </row>
    <row r="6406" spans="3:3" x14ac:dyDescent="0.25">
      <c r="C6406" s="21">
        <f t="shared" si="115"/>
        <v>0</v>
      </c>
    </row>
    <row r="6407" spans="3:3" x14ac:dyDescent="0.25">
      <c r="C6407" s="21">
        <f t="shared" si="115"/>
        <v>0</v>
      </c>
    </row>
    <row r="6408" spans="3:3" x14ac:dyDescent="0.25">
      <c r="C6408" s="21">
        <f t="shared" si="115"/>
        <v>0</v>
      </c>
    </row>
    <row r="6409" spans="3:3" x14ac:dyDescent="0.25">
      <c r="C6409" s="21">
        <f t="shared" si="115"/>
        <v>0</v>
      </c>
    </row>
    <row r="6410" spans="3:3" x14ac:dyDescent="0.25">
      <c r="C6410" s="21">
        <f t="shared" si="115"/>
        <v>0</v>
      </c>
    </row>
    <row r="6411" spans="3:3" x14ac:dyDescent="0.25">
      <c r="C6411" s="21">
        <f t="shared" si="115"/>
        <v>0</v>
      </c>
    </row>
    <row r="6412" spans="3:3" x14ac:dyDescent="0.25">
      <c r="C6412" s="21">
        <f t="shared" si="115"/>
        <v>0</v>
      </c>
    </row>
    <row r="6413" spans="3:3" x14ac:dyDescent="0.25">
      <c r="C6413" s="21">
        <f t="shared" si="115"/>
        <v>0</v>
      </c>
    </row>
    <row r="6414" spans="3:3" x14ac:dyDescent="0.25">
      <c r="C6414" s="21">
        <f t="shared" si="115"/>
        <v>0</v>
      </c>
    </row>
    <row r="6415" spans="3:3" x14ac:dyDescent="0.25">
      <c r="C6415" s="21">
        <f t="shared" si="115"/>
        <v>0</v>
      </c>
    </row>
    <row r="6416" spans="3:3" x14ac:dyDescent="0.25">
      <c r="C6416" s="21">
        <f t="shared" si="115"/>
        <v>0</v>
      </c>
    </row>
    <row r="6417" spans="3:3" x14ac:dyDescent="0.25">
      <c r="C6417" s="21">
        <f t="shared" si="115"/>
        <v>0</v>
      </c>
    </row>
    <row r="6418" spans="3:3" x14ac:dyDescent="0.25">
      <c r="C6418" s="21">
        <f t="shared" si="115"/>
        <v>0</v>
      </c>
    </row>
    <row r="6419" spans="3:3" x14ac:dyDescent="0.25">
      <c r="C6419" s="21">
        <f t="shared" si="115"/>
        <v>0</v>
      </c>
    </row>
    <row r="6420" spans="3:3" x14ac:dyDescent="0.25">
      <c r="C6420" s="21">
        <f t="shared" si="115"/>
        <v>0</v>
      </c>
    </row>
    <row r="6421" spans="3:3" x14ac:dyDescent="0.25">
      <c r="C6421" s="21">
        <f t="shared" si="115"/>
        <v>0</v>
      </c>
    </row>
    <row r="6422" spans="3:3" x14ac:dyDescent="0.25">
      <c r="C6422" s="21">
        <f t="shared" si="115"/>
        <v>0</v>
      </c>
    </row>
    <row r="6423" spans="3:3" x14ac:dyDescent="0.25">
      <c r="C6423" s="21">
        <f t="shared" si="115"/>
        <v>0</v>
      </c>
    </row>
    <row r="6424" spans="3:3" x14ac:dyDescent="0.25">
      <c r="C6424" s="21">
        <f t="shared" si="115"/>
        <v>0</v>
      </c>
    </row>
    <row r="6425" spans="3:3" x14ac:dyDescent="0.25">
      <c r="C6425" s="21">
        <f t="shared" si="115"/>
        <v>0</v>
      </c>
    </row>
    <row r="6426" spans="3:3" x14ac:dyDescent="0.25">
      <c r="C6426" s="21">
        <f t="shared" si="115"/>
        <v>0</v>
      </c>
    </row>
    <row r="6427" spans="3:3" x14ac:dyDescent="0.25">
      <c r="C6427" s="21">
        <f t="shared" si="115"/>
        <v>0</v>
      </c>
    </row>
    <row r="6428" spans="3:3" x14ac:dyDescent="0.25">
      <c r="C6428" s="21">
        <f t="shared" si="115"/>
        <v>0</v>
      </c>
    </row>
    <row r="6429" spans="3:3" x14ac:dyDescent="0.25">
      <c r="C6429" s="21">
        <f t="shared" si="115"/>
        <v>0</v>
      </c>
    </row>
    <row r="6430" spans="3:3" x14ac:dyDescent="0.25">
      <c r="C6430" s="21">
        <f t="shared" si="115"/>
        <v>0</v>
      </c>
    </row>
    <row r="6431" spans="3:3" x14ac:dyDescent="0.25">
      <c r="C6431" s="21">
        <f t="shared" si="115"/>
        <v>0</v>
      </c>
    </row>
    <row r="6432" spans="3:3" x14ac:dyDescent="0.25">
      <c r="C6432" s="21">
        <f t="shared" si="115"/>
        <v>0</v>
      </c>
    </row>
    <row r="6433" spans="3:3" x14ac:dyDescent="0.25">
      <c r="C6433" s="21">
        <f t="shared" si="115"/>
        <v>0</v>
      </c>
    </row>
    <row r="6434" spans="3:3" x14ac:dyDescent="0.25">
      <c r="C6434" s="21">
        <f t="shared" si="115"/>
        <v>0</v>
      </c>
    </row>
    <row r="6435" spans="3:3" x14ac:dyDescent="0.25">
      <c r="C6435" s="21">
        <f t="shared" si="115"/>
        <v>0</v>
      </c>
    </row>
    <row r="6436" spans="3:3" x14ac:dyDescent="0.25">
      <c r="C6436" s="21">
        <f t="shared" si="115"/>
        <v>0</v>
      </c>
    </row>
    <row r="6437" spans="3:3" x14ac:dyDescent="0.25">
      <c r="C6437" s="21">
        <f t="shared" si="115"/>
        <v>0</v>
      </c>
    </row>
    <row r="6438" spans="3:3" x14ac:dyDescent="0.25">
      <c r="C6438" s="21">
        <f t="shared" si="115"/>
        <v>0</v>
      </c>
    </row>
    <row r="6439" spans="3:3" x14ac:dyDescent="0.25">
      <c r="C6439" s="21">
        <f t="shared" si="115"/>
        <v>0</v>
      </c>
    </row>
    <row r="6440" spans="3:3" x14ac:dyDescent="0.25">
      <c r="C6440" s="21">
        <f t="shared" si="115"/>
        <v>0</v>
      </c>
    </row>
    <row r="6441" spans="3:3" x14ac:dyDescent="0.25">
      <c r="C6441" s="21">
        <f t="shared" ref="C6441:C6504" si="116">SUM(D6441:JT6441)</f>
        <v>0</v>
      </c>
    </row>
    <row r="6442" spans="3:3" x14ac:dyDescent="0.25">
      <c r="C6442" s="21">
        <f t="shared" si="116"/>
        <v>0</v>
      </c>
    </row>
    <row r="6443" spans="3:3" x14ac:dyDescent="0.25">
      <c r="C6443" s="21">
        <f t="shared" si="116"/>
        <v>0</v>
      </c>
    </row>
    <row r="6444" spans="3:3" x14ac:dyDescent="0.25">
      <c r="C6444" s="21">
        <f t="shared" si="116"/>
        <v>0</v>
      </c>
    </row>
    <row r="6445" spans="3:3" x14ac:dyDescent="0.25">
      <c r="C6445" s="21">
        <f t="shared" si="116"/>
        <v>0</v>
      </c>
    </row>
    <row r="6446" spans="3:3" x14ac:dyDescent="0.25">
      <c r="C6446" s="21">
        <f t="shared" si="116"/>
        <v>0</v>
      </c>
    </row>
    <row r="6447" spans="3:3" x14ac:dyDescent="0.25">
      <c r="C6447" s="21">
        <f t="shared" si="116"/>
        <v>0</v>
      </c>
    </row>
    <row r="6448" spans="3:3" x14ac:dyDescent="0.25">
      <c r="C6448" s="21">
        <f t="shared" si="116"/>
        <v>0</v>
      </c>
    </row>
    <row r="6449" spans="3:3" x14ac:dyDescent="0.25">
      <c r="C6449" s="21">
        <f t="shared" si="116"/>
        <v>0</v>
      </c>
    </row>
    <row r="6450" spans="3:3" x14ac:dyDescent="0.25">
      <c r="C6450" s="21">
        <f t="shared" si="116"/>
        <v>0</v>
      </c>
    </row>
    <row r="6451" spans="3:3" x14ac:dyDescent="0.25">
      <c r="C6451" s="21">
        <f t="shared" si="116"/>
        <v>0</v>
      </c>
    </row>
    <row r="6452" spans="3:3" x14ac:dyDescent="0.25">
      <c r="C6452" s="21">
        <f t="shared" si="116"/>
        <v>0</v>
      </c>
    </row>
    <row r="6453" spans="3:3" x14ac:dyDescent="0.25">
      <c r="C6453" s="21">
        <f t="shared" si="116"/>
        <v>0</v>
      </c>
    </row>
    <row r="6454" spans="3:3" x14ac:dyDescent="0.25">
      <c r="C6454" s="21">
        <f t="shared" si="116"/>
        <v>0</v>
      </c>
    </row>
    <row r="6455" spans="3:3" x14ac:dyDescent="0.25">
      <c r="C6455" s="21">
        <f t="shared" si="116"/>
        <v>0</v>
      </c>
    </row>
    <row r="6456" spans="3:3" x14ac:dyDescent="0.25">
      <c r="C6456" s="21">
        <f t="shared" si="116"/>
        <v>0</v>
      </c>
    </row>
    <row r="6457" spans="3:3" x14ac:dyDescent="0.25">
      <c r="C6457" s="21">
        <f t="shared" si="116"/>
        <v>0</v>
      </c>
    </row>
    <row r="6458" spans="3:3" x14ac:dyDescent="0.25">
      <c r="C6458" s="21">
        <f t="shared" si="116"/>
        <v>0</v>
      </c>
    </row>
    <row r="6459" spans="3:3" x14ac:dyDescent="0.25">
      <c r="C6459" s="21">
        <f t="shared" si="116"/>
        <v>0</v>
      </c>
    </row>
    <row r="6460" spans="3:3" x14ac:dyDescent="0.25">
      <c r="C6460" s="21">
        <f t="shared" si="116"/>
        <v>0</v>
      </c>
    </row>
    <row r="6461" spans="3:3" x14ac:dyDescent="0.25">
      <c r="C6461" s="21">
        <f t="shared" si="116"/>
        <v>0</v>
      </c>
    </row>
    <row r="6462" spans="3:3" x14ac:dyDescent="0.25">
      <c r="C6462" s="21">
        <f t="shared" si="116"/>
        <v>0</v>
      </c>
    </row>
    <row r="6463" spans="3:3" x14ac:dyDescent="0.25">
      <c r="C6463" s="21">
        <f t="shared" si="116"/>
        <v>0</v>
      </c>
    </row>
    <row r="6464" spans="3:3" x14ac:dyDescent="0.25">
      <c r="C6464" s="21">
        <f t="shared" si="116"/>
        <v>0</v>
      </c>
    </row>
    <row r="6465" spans="3:3" x14ac:dyDescent="0.25">
      <c r="C6465" s="21">
        <f t="shared" si="116"/>
        <v>0</v>
      </c>
    </row>
    <row r="6466" spans="3:3" x14ac:dyDescent="0.25">
      <c r="C6466" s="21">
        <f t="shared" si="116"/>
        <v>0</v>
      </c>
    </row>
    <row r="6467" spans="3:3" x14ac:dyDescent="0.25">
      <c r="C6467" s="21">
        <f t="shared" si="116"/>
        <v>0</v>
      </c>
    </row>
    <row r="6468" spans="3:3" x14ac:dyDescent="0.25">
      <c r="C6468" s="21">
        <f t="shared" si="116"/>
        <v>0</v>
      </c>
    </row>
    <row r="6469" spans="3:3" x14ac:dyDescent="0.25">
      <c r="C6469" s="21">
        <f t="shared" si="116"/>
        <v>0</v>
      </c>
    </row>
    <row r="6470" spans="3:3" x14ac:dyDescent="0.25">
      <c r="C6470" s="21">
        <f t="shared" si="116"/>
        <v>0</v>
      </c>
    </row>
    <row r="6471" spans="3:3" x14ac:dyDescent="0.25">
      <c r="C6471" s="21">
        <f t="shared" si="116"/>
        <v>0</v>
      </c>
    </row>
    <row r="6472" spans="3:3" x14ac:dyDescent="0.25">
      <c r="C6472" s="21">
        <f t="shared" si="116"/>
        <v>0</v>
      </c>
    </row>
    <row r="6473" spans="3:3" x14ac:dyDescent="0.25">
      <c r="C6473" s="21">
        <f t="shared" si="116"/>
        <v>0</v>
      </c>
    </row>
    <row r="6474" spans="3:3" x14ac:dyDescent="0.25">
      <c r="C6474" s="21">
        <f t="shared" si="116"/>
        <v>0</v>
      </c>
    </row>
    <row r="6475" spans="3:3" x14ac:dyDescent="0.25">
      <c r="C6475" s="21">
        <f t="shared" si="116"/>
        <v>0</v>
      </c>
    </row>
    <row r="6476" spans="3:3" x14ac:dyDescent="0.25">
      <c r="C6476" s="21">
        <f t="shared" si="116"/>
        <v>0</v>
      </c>
    </row>
    <row r="6477" spans="3:3" x14ac:dyDescent="0.25">
      <c r="C6477" s="21">
        <f t="shared" si="116"/>
        <v>0</v>
      </c>
    </row>
    <row r="6478" spans="3:3" x14ac:dyDescent="0.25">
      <c r="C6478" s="21">
        <f t="shared" si="116"/>
        <v>0</v>
      </c>
    </row>
    <row r="6479" spans="3:3" x14ac:dyDescent="0.25">
      <c r="C6479" s="21">
        <f t="shared" si="116"/>
        <v>0</v>
      </c>
    </row>
    <row r="6480" spans="3:3" x14ac:dyDescent="0.25">
      <c r="C6480" s="21">
        <f t="shared" si="116"/>
        <v>0</v>
      </c>
    </row>
    <row r="6481" spans="3:3" x14ac:dyDescent="0.25">
      <c r="C6481" s="21">
        <f t="shared" si="116"/>
        <v>0</v>
      </c>
    </row>
    <row r="6482" spans="3:3" x14ac:dyDescent="0.25">
      <c r="C6482" s="21">
        <f t="shared" si="116"/>
        <v>0</v>
      </c>
    </row>
    <row r="6483" spans="3:3" x14ac:dyDescent="0.25">
      <c r="C6483" s="21">
        <f t="shared" si="116"/>
        <v>0</v>
      </c>
    </row>
    <row r="6484" spans="3:3" x14ac:dyDescent="0.25">
      <c r="C6484" s="21">
        <f t="shared" si="116"/>
        <v>0</v>
      </c>
    </row>
    <row r="6485" spans="3:3" x14ac:dyDescent="0.25">
      <c r="C6485" s="21">
        <f t="shared" si="116"/>
        <v>0</v>
      </c>
    </row>
    <row r="6486" spans="3:3" x14ac:dyDescent="0.25">
      <c r="C6486" s="21">
        <f t="shared" si="116"/>
        <v>0</v>
      </c>
    </row>
    <row r="6487" spans="3:3" x14ac:dyDescent="0.25">
      <c r="C6487" s="21">
        <f t="shared" si="116"/>
        <v>0</v>
      </c>
    </row>
    <row r="6488" spans="3:3" x14ac:dyDescent="0.25">
      <c r="C6488" s="21">
        <f t="shared" si="116"/>
        <v>0</v>
      </c>
    </row>
    <row r="6489" spans="3:3" x14ac:dyDescent="0.25">
      <c r="C6489" s="21">
        <f t="shared" si="116"/>
        <v>0</v>
      </c>
    </row>
    <row r="6490" spans="3:3" x14ac:dyDescent="0.25">
      <c r="C6490" s="21">
        <f t="shared" si="116"/>
        <v>0</v>
      </c>
    </row>
    <row r="6491" spans="3:3" x14ac:dyDescent="0.25">
      <c r="C6491" s="21">
        <f t="shared" si="116"/>
        <v>0</v>
      </c>
    </row>
    <row r="6492" spans="3:3" x14ac:dyDescent="0.25">
      <c r="C6492" s="21">
        <f t="shared" si="116"/>
        <v>0</v>
      </c>
    </row>
    <row r="6493" spans="3:3" x14ac:dyDescent="0.25">
      <c r="C6493" s="21">
        <f t="shared" si="116"/>
        <v>0</v>
      </c>
    </row>
    <row r="6494" spans="3:3" x14ac:dyDescent="0.25">
      <c r="C6494" s="21">
        <f t="shared" si="116"/>
        <v>0</v>
      </c>
    </row>
    <row r="6495" spans="3:3" x14ac:dyDescent="0.25">
      <c r="C6495" s="21">
        <f t="shared" si="116"/>
        <v>0</v>
      </c>
    </row>
    <row r="6496" spans="3:3" x14ac:dyDescent="0.25">
      <c r="C6496" s="21">
        <f t="shared" si="116"/>
        <v>0</v>
      </c>
    </row>
    <row r="6497" spans="3:3" x14ac:dyDescent="0.25">
      <c r="C6497" s="21">
        <f t="shared" si="116"/>
        <v>0</v>
      </c>
    </row>
    <row r="6498" spans="3:3" x14ac:dyDescent="0.25">
      <c r="C6498" s="21">
        <f t="shared" si="116"/>
        <v>0</v>
      </c>
    </row>
    <row r="6499" spans="3:3" x14ac:dyDescent="0.25">
      <c r="C6499" s="21">
        <f t="shared" si="116"/>
        <v>0</v>
      </c>
    </row>
    <row r="6500" spans="3:3" x14ac:dyDescent="0.25">
      <c r="C6500" s="21">
        <f t="shared" si="116"/>
        <v>0</v>
      </c>
    </row>
    <row r="6501" spans="3:3" x14ac:dyDescent="0.25">
      <c r="C6501" s="21">
        <f t="shared" si="116"/>
        <v>0</v>
      </c>
    </row>
    <row r="6502" spans="3:3" x14ac:dyDescent="0.25">
      <c r="C6502" s="21">
        <f t="shared" si="116"/>
        <v>0</v>
      </c>
    </row>
    <row r="6503" spans="3:3" x14ac:dyDescent="0.25">
      <c r="C6503" s="21">
        <f t="shared" si="116"/>
        <v>0</v>
      </c>
    </row>
    <row r="6504" spans="3:3" x14ac:dyDescent="0.25">
      <c r="C6504" s="21">
        <f t="shared" si="116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2" t="s">
        <v>10</v>
      </c>
      <c r="C3" s="422"/>
      <c r="D3" s="245"/>
    </row>
    <row r="4" spans="1:4" ht="20.100000000000001" customHeight="1" x14ac:dyDescent="0.25">
      <c r="A4" s="245"/>
      <c r="B4" s="422"/>
      <c r="C4" s="422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9" t="s">
        <v>240</v>
      </c>
      <c r="B1" s="369" t="s">
        <v>241</v>
      </c>
      <c r="C1" s="369" t="s">
        <v>220</v>
      </c>
      <c r="D1" s="368" t="s">
        <v>2</v>
      </c>
      <c r="E1" s="368" t="s">
        <v>3</v>
      </c>
      <c r="F1" s="368" t="s">
        <v>113</v>
      </c>
      <c r="G1" s="368" t="s">
        <v>5</v>
      </c>
      <c r="H1" s="368" t="s">
        <v>6</v>
      </c>
      <c r="I1" s="368" t="s">
        <v>115</v>
      </c>
      <c r="J1" s="369" t="s">
        <v>4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8" t="s">
        <v>242</v>
      </c>
      <c r="B2" s="369" t="s">
        <v>128</v>
      </c>
      <c r="C2" s="370">
        <v>102</v>
      </c>
      <c r="D2" s="308"/>
      <c r="E2" s="308"/>
      <c r="F2" s="308"/>
      <c r="G2" s="308"/>
      <c r="H2" s="308"/>
      <c r="I2" s="308">
        <f>'STOK DETAY'!D6</f>
        <v>0</v>
      </c>
      <c r="J2" s="330">
        <f t="shared" ref="J2:J33" si="0">SUM(D2:I2)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8" t="s">
        <v>243</v>
      </c>
      <c r="B3" s="369" t="s">
        <v>128</v>
      </c>
      <c r="C3" s="370">
        <v>102</v>
      </c>
      <c r="D3" s="308"/>
      <c r="E3" s="308"/>
      <c r="F3" s="308"/>
      <c r="G3" s="308"/>
      <c r="H3" s="308"/>
      <c r="I3" s="308">
        <f>'STOK DETAY'!E6</f>
        <v>0</v>
      </c>
      <c r="J3" s="330">
        <f t="shared" si="0"/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8" t="s">
        <v>244</v>
      </c>
      <c r="B4" s="369" t="s">
        <v>128</v>
      </c>
      <c r="C4" s="370">
        <v>102</v>
      </c>
      <c r="D4" s="308"/>
      <c r="E4" s="308"/>
      <c r="F4" s="308"/>
      <c r="G4" s="308"/>
      <c r="H4" s="308"/>
      <c r="I4" s="308">
        <f>'STOK DETAY'!F6</f>
        <v>0</v>
      </c>
      <c r="J4" s="330">
        <f t="shared" si="0"/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8" t="s">
        <v>245</v>
      </c>
      <c r="B5" s="369" t="s">
        <v>128</v>
      </c>
      <c r="C5" s="370"/>
      <c r="D5" s="330"/>
      <c r="E5" s="330"/>
      <c r="F5" s="330"/>
      <c r="G5" s="330"/>
      <c r="H5" s="330"/>
      <c r="I5" s="330">
        <f>'STOK DETAY'!G6</f>
        <v>0</v>
      </c>
      <c r="J5" s="330">
        <f t="shared" si="0"/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8" t="s">
        <v>246</v>
      </c>
      <c r="B6" s="369" t="s">
        <v>55</v>
      </c>
      <c r="C6" s="370">
        <v>312</v>
      </c>
      <c r="D6" s="308"/>
      <c r="E6" s="308"/>
      <c r="F6" s="308">
        <f>'STOK DETAY'!H6</f>
        <v>92.75</v>
      </c>
      <c r="G6" s="308"/>
      <c r="H6" s="308"/>
      <c r="I6" s="308"/>
      <c r="J6" s="330">
        <f t="shared" si="0"/>
        <v>92.75</v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8" t="s">
        <v>247</v>
      </c>
      <c r="B7" s="369" t="s">
        <v>55</v>
      </c>
      <c r="C7" s="370">
        <v>113</v>
      </c>
      <c r="D7" s="330"/>
      <c r="E7" s="330"/>
      <c r="F7" s="330">
        <f>'STOK DETAY'!I6</f>
        <v>38.11</v>
      </c>
      <c r="G7" s="330"/>
      <c r="H7" s="330"/>
      <c r="I7" s="330"/>
      <c r="J7" s="330">
        <f t="shared" si="0"/>
        <v>38.11</v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8" t="s">
        <v>248</v>
      </c>
      <c r="B8" s="369" t="s">
        <v>55</v>
      </c>
      <c r="C8" s="370">
        <v>103</v>
      </c>
      <c r="D8" s="330"/>
      <c r="E8" s="330">
        <f>'STOK DETAY'!L6</f>
        <v>0</v>
      </c>
      <c r="F8" s="330">
        <f>'STOK DETAY'!M6</f>
        <v>0</v>
      </c>
      <c r="G8" s="330"/>
      <c r="H8" s="330"/>
      <c r="I8" s="330"/>
      <c r="J8" s="330">
        <f t="shared" si="0"/>
        <v>0</v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8" t="s">
        <v>249</v>
      </c>
      <c r="B9" s="369" t="s">
        <v>55</v>
      </c>
      <c r="C9" s="370">
        <v>103</v>
      </c>
      <c r="D9" s="330">
        <f>'STOK DETAY'!N6</f>
        <v>0</v>
      </c>
      <c r="E9" s="330">
        <f>'STOK DETAY'!O6</f>
        <v>8.6150000000000002</v>
      </c>
      <c r="F9" s="330">
        <f>'STOK DETAY'!P6</f>
        <v>0</v>
      </c>
      <c r="G9" s="330"/>
      <c r="H9" s="330">
        <f>'STOK DETAY'!Q6</f>
        <v>0</v>
      </c>
      <c r="I9" s="330">
        <f>'STOK DETAY'!R6</f>
        <v>0</v>
      </c>
      <c r="J9" s="330">
        <f t="shared" si="0"/>
        <v>8.6150000000000002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8" t="s">
        <v>250</v>
      </c>
      <c r="B10" s="369" t="s">
        <v>143</v>
      </c>
      <c r="C10" s="370"/>
      <c r="D10" s="330"/>
      <c r="E10" s="330"/>
      <c r="F10" s="330">
        <f>'STOK DETAY'!S6</f>
        <v>98.29</v>
      </c>
      <c r="G10" s="330"/>
      <c r="H10" s="330"/>
      <c r="I10" s="330"/>
      <c r="J10" s="330">
        <f t="shared" si="0"/>
        <v>98.29</v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8" t="s">
        <v>251</v>
      </c>
      <c r="B11" s="369" t="s">
        <v>55</v>
      </c>
      <c r="C11" s="370">
        <v>201</v>
      </c>
      <c r="D11" s="330">
        <f>'STOK DETAY'!T6</f>
        <v>0</v>
      </c>
      <c r="E11" s="330">
        <f>'STOK DETAY'!U6</f>
        <v>0</v>
      </c>
      <c r="F11" s="334">
        <f>'STOK DETAY'!V6</f>
        <v>54.594999999999999</v>
      </c>
      <c r="G11" s="330"/>
      <c r="H11" s="330"/>
      <c r="I11" s="330">
        <f>'STOK DETAY'!W6</f>
        <v>0</v>
      </c>
      <c r="J11" s="330">
        <f t="shared" si="0"/>
        <v>54.594999999999999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8" t="s">
        <v>252</v>
      </c>
      <c r="B12" s="369" t="s">
        <v>55</v>
      </c>
      <c r="C12" s="370">
        <v>201</v>
      </c>
      <c r="D12" s="330">
        <f>'STOK DETAY'!X6</f>
        <v>0</v>
      </c>
      <c r="E12" s="330">
        <f>'STOK DETAY'!Y6</f>
        <v>0</v>
      </c>
      <c r="F12" s="330">
        <f>'STOK DETAY'!Z6</f>
        <v>16.89</v>
      </c>
      <c r="G12" s="330"/>
      <c r="H12" s="330"/>
      <c r="I12" s="330"/>
      <c r="J12" s="330">
        <f t="shared" si="0"/>
        <v>16.89</v>
      </c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8" t="s">
        <v>242</v>
      </c>
      <c r="B13" s="369" t="s">
        <v>55</v>
      </c>
      <c r="C13" s="370">
        <v>202</v>
      </c>
      <c r="D13" s="330">
        <f>'STOK DETAY'!AA6</f>
        <v>0</v>
      </c>
      <c r="E13" s="330">
        <f>'STOK DETAY'!AB6</f>
        <v>0</v>
      </c>
      <c r="F13" s="330">
        <f>'STOK DETAY'!AC6</f>
        <v>25.8</v>
      </c>
      <c r="G13" s="330"/>
      <c r="H13" s="330"/>
      <c r="I13" s="330">
        <f>'STOK DETAY'!AD6</f>
        <v>0</v>
      </c>
      <c r="J13" s="330">
        <f t="shared" si="0"/>
        <v>25.8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8" t="s">
        <v>253</v>
      </c>
      <c r="B14" s="369" t="s">
        <v>55</v>
      </c>
      <c r="C14" s="370">
        <v>202</v>
      </c>
      <c r="D14" s="330">
        <f>'STOK DETAY'!AE6</f>
        <v>0</v>
      </c>
      <c r="E14" s="330">
        <f>'STOK DETAY'!AF6</f>
        <v>0</v>
      </c>
      <c r="F14" s="330">
        <f>'STOK DETAY'!AG6</f>
        <v>0</v>
      </c>
      <c r="G14" s="330">
        <f>'STOK DETAY'!AH6</f>
        <v>0</v>
      </c>
      <c r="H14" s="330">
        <f>'STOK DETAY'!AI6</f>
        <v>0</v>
      </c>
      <c r="I14" s="330">
        <f>'STOK DETAY'!AJ6</f>
        <v>0</v>
      </c>
      <c r="J14" s="330">
        <f t="shared" si="0"/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8" t="s">
        <v>254</v>
      </c>
      <c r="B15" s="369" t="s">
        <v>55</v>
      </c>
      <c r="C15" s="370"/>
      <c r="D15" s="330"/>
      <c r="E15" s="330"/>
      <c r="F15" s="330">
        <f>'STOK DETAY'!AK6</f>
        <v>24.27</v>
      </c>
      <c r="G15" s="330"/>
      <c r="H15" s="330"/>
      <c r="I15" s="330"/>
      <c r="J15" s="330">
        <f t="shared" si="0"/>
        <v>24.27</v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8" t="s">
        <v>243</v>
      </c>
      <c r="B16" s="369" t="s">
        <v>55</v>
      </c>
      <c r="C16" s="370">
        <v>203</v>
      </c>
      <c r="D16" s="330">
        <f>'STOK DETAY'!AL6</f>
        <v>0</v>
      </c>
      <c r="E16" s="330">
        <f>'STOK DETAY'!AM6</f>
        <v>0</v>
      </c>
      <c r="F16" s="330">
        <f>'STOK DETAY'!AN6</f>
        <v>49.41</v>
      </c>
      <c r="G16" s="330"/>
      <c r="H16" s="330">
        <f>'STOK DETAY'!AO6</f>
        <v>0</v>
      </c>
      <c r="I16" s="330"/>
      <c r="J16" s="330">
        <f t="shared" si="0"/>
        <v>49.41</v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8" t="s">
        <v>255</v>
      </c>
      <c r="B17" s="369" t="s">
        <v>55</v>
      </c>
      <c r="C17" s="370">
        <v>203</v>
      </c>
      <c r="D17" s="330">
        <f>'STOK DETAY'!AP6</f>
        <v>0</v>
      </c>
      <c r="E17" s="330">
        <f>'STOK DETAY'!AQ6</f>
        <v>0</v>
      </c>
      <c r="F17" s="330">
        <f>'STOK DETAY'!AR6</f>
        <v>7.83</v>
      </c>
      <c r="G17" s="330">
        <f>'STOK DETAY'!AS6</f>
        <v>0</v>
      </c>
      <c r="H17" s="330">
        <f>'STOK DETAY'!AT6</f>
        <v>0</v>
      </c>
      <c r="I17" s="330"/>
      <c r="J17" s="330">
        <f t="shared" si="0"/>
        <v>7.83</v>
      </c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8" t="s">
        <v>244</v>
      </c>
      <c r="B18" s="369" t="s">
        <v>55</v>
      </c>
      <c r="C18" s="370">
        <v>301</v>
      </c>
      <c r="D18" s="330">
        <f>'STOK DETAY'!AU6</f>
        <v>0</v>
      </c>
      <c r="E18" s="330">
        <f>'STOK DETAY'!AV6</f>
        <v>0</v>
      </c>
      <c r="F18" s="330">
        <f>'STOK DETAY'!AW6</f>
        <v>24.24</v>
      </c>
      <c r="G18" s="330">
        <f>'STOK DETAY'!AX6</f>
        <v>0</v>
      </c>
      <c r="H18" s="330">
        <f>'STOK DETAY'!AY6</f>
        <v>0</v>
      </c>
      <c r="I18" s="330">
        <f>'STOK DETAY'!AZ6</f>
        <v>0</v>
      </c>
      <c r="J18" s="330">
        <f t="shared" si="0"/>
        <v>24.24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8" t="s">
        <v>256</v>
      </c>
      <c r="B19" s="369" t="s">
        <v>55</v>
      </c>
      <c r="C19" s="370">
        <v>301</v>
      </c>
      <c r="D19" s="330">
        <f>'STOK DETAY'!BA6</f>
        <v>0</v>
      </c>
      <c r="E19" s="330">
        <f>'STOK DETAY'!BB6</f>
        <v>0</v>
      </c>
      <c r="F19" s="330">
        <f>'STOK DETAY'!BC6</f>
        <v>25.94</v>
      </c>
      <c r="G19" s="330"/>
      <c r="H19" s="330">
        <f>'STOK DETAY'!BE6</f>
        <v>0</v>
      </c>
      <c r="I19" s="330">
        <f>'STOK DETAY'!BF6</f>
        <v>0</v>
      </c>
      <c r="J19" s="330">
        <f t="shared" si="0"/>
        <v>25.94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8" t="s">
        <v>257</v>
      </c>
      <c r="B20" s="369" t="s">
        <v>55</v>
      </c>
      <c r="C20" s="370">
        <v>302</v>
      </c>
      <c r="D20" s="330">
        <f>'STOK DETAY'!BG6</f>
        <v>0</v>
      </c>
      <c r="E20" s="330">
        <f>'STOK DETAY'!BH6</f>
        <v>0</v>
      </c>
      <c r="F20" s="330">
        <f>'STOK DETAY'!BI6</f>
        <v>17.21</v>
      </c>
      <c r="G20" s="330">
        <f>'STOK DETAY'!BJ6</f>
        <v>0</v>
      </c>
      <c r="H20" s="330">
        <f>'STOK DETAY'!BK6</f>
        <v>0</v>
      </c>
      <c r="I20" s="330">
        <f>'STOK DETAY'!BL6</f>
        <v>0</v>
      </c>
      <c r="J20" s="330">
        <f t="shared" si="0"/>
        <v>17.21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8" t="s">
        <v>258</v>
      </c>
      <c r="B21" s="369" t="s">
        <v>55</v>
      </c>
      <c r="C21" s="370">
        <v>302</v>
      </c>
      <c r="D21" s="330">
        <f>'STOK DETAY'!BM6</f>
        <v>0</v>
      </c>
      <c r="E21" s="330">
        <f>'STOK DETAY'!BN6</f>
        <v>0</v>
      </c>
      <c r="F21" s="330">
        <f>'STOK DETAY'!BO6</f>
        <v>25.8</v>
      </c>
      <c r="G21" s="330">
        <f>'STOK DETAY'!BP6</f>
        <v>0</v>
      </c>
      <c r="H21" s="330">
        <f>'STOK DETAY'!BQ6</f>
        <v>0</v>
      </c>
      <c r="I21" s="330">
        <f>'STOK DETAY'!BR6</f>
        <v>0</v>
      </c>
      <c r="J21" s="330">
        <f t="shared" si="0"/>
        <v>25.8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8" t="s">
        <v>259</v>
      </c>
      <c r="B22" s="369" t="s">
        <v>55</v>
      </c>
      <c r="C22" s="370">
        <v>303</v>
      </c>
      <c r="D22" s="330">
        <f>'STOK DETAY'!BS6</f>
        <v>0</v>
      </c>
      <c r="E22" s="330">
        <f>'STOK DETAY'!BT6</f>
        <v>0</v>
      </c>
      <c r="F22" s="330">
        <f>'STOK DETAY'!BU6</f>
        <v>25.635000000000002</v>
      </c>
      <c r="G22" s="330">
        <f>'STOK DETAY'!BV6</f>
        <v>0</v>
      </c>
      <c r="H22" s="330">
        <f>'STOK DETAY'!BW6</f>
        <v>0</v>
      </c>
      <c r="I22" s="330">
        <f>'STOK DETAY'!BX6</f>
        <v>0</v>
      </c>
      <c r="J22" s="330">
        <f t="shared" si="0"/>
        <v>25.635000000000002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8" t="s">
        <v>260</v>
      </c>
      <c r="B23" s="369" t="s">
        <v>55</v>
      </c>
      <c r="C23" s="370">
        <v>303</v>
      </c>
      <c r="D23" s="330">
        <f>'STOK DETAY'!BY6</f>
        <v>0</v>
      </c>
      <c r="E23" s="330">
        <f>'STOK DETAY'!BZ6</f>
        <v>0</v>
      </c>
      <c r="F23" s="330">
        <f>'STOK DETAY'!CA6</f>
        <v>33.69</v>
      </c>
      <c r="G23" s="330">
        <f>'STOK DETAY'!CB6</f>
        <v>0</v>
      </c>
      <c r="H23" s="330">
        <f>'STOK DETAY'!CC6</f>
        <v>0</v>
      </c>
      <c r="I23" s="330">
        <f>'STOK DETAY'!CD6</f>
        <v>16.579999999999998</v>
      </c>
      <c r="J23" s="330">
        <f t="shared" si="0"/>
        <v>50.27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8" t="s">
        <v>261</v>
      </c>
      <c r="B24" s="369" t="s">
        <v>55</v>
      </c>
      <c r="C24" s="370">
        <v>401</v>
      </c>
      <c r="D24" s="330">
        <f>'STOK DETAY'!CE6</f>
        <v>0</v>
      </c>
      <c r="E24" s="330">
        <f>'STOK DETAY'!CF6</f>
        <v>0</v>
      </c>
      <c r="F24" s="330">
        <f>'STOK DETAY'!CG6</f>
        <v>8.7100000000000009</v>
      </c>
      <c r="G24" s="330">
        <f>'STOK DETAY'!CH6</f>
        <v>0</v>
      </c>
      <c r="H24" s="330">
        <f>'STOK DETAY'!CI6</f>
        <v>0</v>
      </c>
      <c r="I24" s="330">
        <f>'STOK DETAY'!CJ6</f>
        <v>0</v>
      </c>
      <c r="J24" s="330">
        <f t="shared" si="0"/>
        <v>8.7100000000000009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8" t="s">
        <v>262</v>
      </c>
      <c r="B25" s="369" t="s">
        <v>55</v>
      </c>
      <c r="C25" s="370">
        <v>401</v>
      </c>
      <c r="D25" s="330">
        <f>'STOK DETAY'!CK6</f>
        <v>0</v>
      </c>
      <c r="E25" s="330">
        <f>'STOK DETAY'!CL6</f>
        <v>0</v>
      </c>
      <c r="F25" s="330">
        <f>'STOK DETAY'!CM6</f>
        <v>16.93</v>
      </c>
      <c r="G25" s="330">
        <f>'STOK DETAY'!CN6</f>
        <v>0</v>
      </c>
      <c r="H25" s="330">
        <f>'STOK DETAY'!CO6</f>
        <v>0</v>
      </c>
      <c r="I25" s="330">
        <f>'STOK DETAY'!CP6</f>
        <v>0</v>
      </c>
      <c r="J25" s="330">
        <f t="shared" si="0"/>
        <v>16.93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8" t="s">
        <v>263</v>
      </c>
      <c r="B26" s="369" t="s">
        <v>55</v>
      </c>
      <c r="C26" s="370">
        <v>402</v>
      </c>
      <c r="D26" s="330">
        <f>'STOK DETAY'!CQ6</f>
        <v>0</v>
      </c>
      <c r="E26" s="330">
        <f>'STOK DETAY'!CR6</f>
        <v>0</v>
      </c>
      <c r="F26" s="330">
        <f>'STOK DETAY'!CS6</f>
        <v>86.37</v>
      </c>
      <c r="G26" s="330">
        <f>'STOK DETAY'!CT6</f>
        <v>0</v>
      </c>
      <c r="H26" s="330">
        <f>'STOK DETAY'!CU6</f>
        <v>0</v>
      </c>
      <c r="I26" s="330">
        <f>'STOK DETAY'!CV6</f>
        <v>0</v>
      </c>
      <c r="J26" s="330">
        <f t="shared" si="0"/>
        <v>86.37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8" t="s">
        <v>264</v>
      </c>
      <c r="B27" s="369" t="s">
        <v>55</v>
      </c>
      <c r="C27" s="370">
        <v>402</v>
      </c>
      <c r="D27" s="330">
        <f>'STOK DETAY'!CW6</f>
        <v>0</v>
      </c>
      <c r="E27" s="330">
        <f>'STOK DETAY'!CX6</f>
        <v>0</v>
      </c>
      <c r="F27" s="330">
        <f>'STOK DETAY'!CY6</f>
        <v>8.7949999999999999</v>
      </c>
      <c r="G27" s="330">
        <f>'STOK DETAY'!CZ6</f>
        <v>0</v>
      </c>
      <c r="H27" s="330">
        <f>'STOK DETAY'!DA6</f>
        <v>0</v>
      </c>
      <c r="I27" s="330">
        <f>'STOK DETAY'!DB6</f>
        <v>0</v>
      </c>
      <c r="J27" s="330">
        <f t="shared" si="0"/>
        <v>8.7949999999999999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8" t="s">
        <v>265</v>
      </c>
      <c r="B28" s="369" t="s">
        <v>55</v>
      </c>
      <c r="C28" s="370">
        <v>403</v>
      </c>
      <c r="D28" s="330">
        <f>'STOK DETAY'!DC6</f>
        <v>0</v>
      </c>
      <c r="E28" s="330">
        <f>'STOK DETAY'!DD6</f>
        <v>0</v>
      </c>
      <c r="F28" s="330">
        <f>'STOK DETAY'!DE6</f>
        <v>51.814999999999998</v>
      </c>
      <c r="G28" s="330">
        <f>'STOK DETAY'!DF6</f>
        <v>0</v>
      </c>
      <c r="H28" s="330">
        <f>'STOK DETAY'!DG6</f>
        <v>0</v>
      </c>
      <c r="I28" s="330"/>
      <c r="J28" s="330">
        <f t="shared" si="0"/>
        <v>51.814999999999998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8" t="s">
        <v>266</v>
      </c>
      <c r="B29" s="369" t="s">
        <v>55</v>
      </c>
      <c r="C29" s="370">
        <v>403</v>
      </c>
      <c r="D29" s="330">
        <f>'STOK DETAY'!DI6</f>
        <v>0</v>
      </c>
      <c r="E29" s="330">
        <f>'STOK DETAY'!DJ6</f>
        <v>0</v>
      </c>
      <c r="F29" s="330">
        <f>'STOK DETAY'!DK6</f>
        <v>0</v>
      </c>
      <c r="G29" s="330">
        <f>'STOK DETAY'!DL6</f>
        <v>0</v>
      </c>
      <c r="H29" s="330">
        <f>'STOK DETAY'!DM6</f>
        <v>24.55</v>
      </c>
      <c r="I29" s="330"/>
      <c r="J29" s="330">
        <f t="shared" si="0"/>
        <v>24.55</v>
      </c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8" t="s">
        <v>267</v>
      </c>
      <c r="B30" s="369" t="s">
        <v>55</v>
      </c>
      <c r="C30" s="370">
        <v>501</v>
      </c>
      <c r="D30" s="330">
        <f>'STOK DETAY'!DN6</f>
        <v>0</v>
      </c>
      <c r="E30" s="330">
        <f>'STOK DETAY'!DO6</f>
        <v>0</v>
      </c>
      <c r="F30" s="330">
        <f>'STOK DETAY'!DP6</f>
        <v>8.8049999999999997</v>
      </c>
      <c r="G30" s="330">
        <f>'STOK DETAY'!DQ6</f>
        <v>0</v>
      </c>
      <c r="H30" s="330">
        <f>'STOK DETAY'!DR6</f>
        <v>0</v>
      </c>
      <c r="I30" s="330"/>
      <c r="J30" s="330">
        <f t="shared" si="0"/>
        <v>8.8049999999999997</v>
      </c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8" t="s">
        <v>268</v>
      </c>
      <c r="B31" s="369" t="s">
        <v>55</v>
      </c>
      <c r="C31" s="370">
        <v>501</v>
      </c>
      <c r="D31" s="330">
        <f>'STOK DETAY'!DS6</f>
        <v>0</v>
      </c>
      <c r="E31" s="330">
        <f>'STOK DETAY'!DT6</f>
        <v>0</v>
      </c>
      <c r="F31" s="330">
        <f>'STOK DETAY'!DU6</f>
        <v>0</v>
      </c>
      <c r="G31" s="330">
        <f>'STOK DETAY'!DV6</f>
        <v>0</v>
      </c>
      <c r="H31" s="330">
        <f>'STOK DETAY'!DW6</f>
        <v>0</v>
      </c>
      <c r="I31" s="330">
        <f>'STOK DETAY'!DX6</f>
        <v>0</v>
      </c>
      <c r="J31" s="330">
        <f t="shared" si="0"/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8" t="s">
        <v>269</v>
      </c>
      <c r="B32" s="369" t="s">
        <v>55</v>
      </c>
      <c r="C32" s="370">
        <v>502</v>
      </c>
      <c r="D32" s="330">
        <f>'STOK DETAY'!DY6</f>
        <v>0</v>
      </c>
      <c r="E32" s="330">
        <f>'STOK DETAY'!DZ6</f>
        <v>0</v>
      </c>
      <c r="F32" s="330">
        <f>'STOK DETAY'!EA6</f>
        <v>42.075000000000003</v>
      </c>
      <c r="G32" s="330">
        <f>'STOK DETAY'!EB6</f>
        <v>0</v>
      </c>
      <c r="H32" s="330">
        <f>'STOK DETAY'!EC6</f>
        <v>0</v>
      </c>
      <c r="I32" s="330">
        <f>'STOK DETAY'!ED6</f>
        <v>0</v>
      </c>
      <c r="J32" s="330">
        <f t="shared" si="0"/>
        <v>42.075000000000003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8" t="s">
        <v>270</v>
      </c>
      <c r="B33" s="369" t="s">
        <v>55</v>
      </c>
      <c r="C33" s="370">
        <v>502</v>
      </c>
      <c r="D33" s="330">
        <f>'STOK DETAY'!EE6</f>
        <v>0</v>
      </c>
      <c r="E33" s="330">
        <f>'STOK DETAY'!EF6</f>
        <v>0</v>
      </c>
      <c r="F33" s="330">
        <f>'STOK DETAY'!EG6</f>
        <v>661.745</v>
      </c>
      <c r="G33" s="330">
        <f>'STOK DETAY'!EH6</f>
        <v>1.75</v>
      </c>
      <c r="H33" s="330">
        <f>'STOK DETAY'!EI6</f>
        <v>8.44</v>
      </c>
      <c r="I33" s="330"/>
      <c r="J33" s="330">
        <f t="shared" si="0"/>
        <v>671.93499999999995</v>
      </c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8" t="s">
        <v>271</v>
      </c>
      <c r="B34" s="369" t="s">
        <v>55</v>
      </c>
      <c r="C34" s="370">
        <v>503</v>
      </c>
      <c r="D34" s="330">
        <f>'STOK DETAY'!EJ6</f>
        <v>0</v>
      </c>
      <c r="E34" s="330">
        <f>'STOK DETAY'!EK6</f>
        <v>0</v>
      </c>
      <c r="F34" s="330">
        <f>'STOK DETAY'!EL6</f>
        <v>0</v>
      </c>
      <c r="G34" s="330"/>
      <c r="H34" s="330">
        <f>'STOK DETAY'!EM6</f>
        <v>68.8</v>
      </c>
      <c r="I34" s="330"/>
      <c r="J34" s="330">
        <f t="shared" ref="J34:J65" si="1">SUM(D34:I34)</f>
        <v>68.8</v>
      </c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8" t="s">
        <v>272</v>
      </c>
      <c r="B35" s="369" t="s">
        <v>55</v>
      </c>
      <c r="C35" s="370">
        <v>503</v>
      </c>
      <c r="D35" s="330">
        <f>'STOK DETAY'!EN6</f>
        <v>0</v>
      </c>
      <c r="E35" s="330">
        <f>'STOK DETAY'!EO6</f>
        <v>0</v>
      </c>
      <c r="F35" s="330">
        <f>'STOK DETAY'!EP6</f>
        <v>16.170000000000002</v>
      </c>
      <c r="G35" s="330"/>
      <c r="H35" s="330">
        <f>'STOK DETAY'!EQ6</f>
        <v>0</v>
      </c>
      <c r="I35" s="330"/>
      <c r="J35" s="330">
        <f t="shared" si="1"/>
        <v>16.170000000000002</v>
      </c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8" t="s">
        <v>273</v>
      </c>
      <c r="B36" s="369" t="s">
        <v>55</v>
      </c>
      <c r="C36" s="370"/>
      <c r="D36" s="330">
        <f>'STOK DETAY'!ER6</f>
        <v>0</v>
      </c>
      <c r="E36" s="330">
        <f>'STOK DETAY'!ES6</f>
        <v>0</v>
      </c>
      <c r="F36" s="330">
        <f>'STOK DETAY'!ET6</f>
        <v>0</v>
      </c>
      <c r="G36" s="330"/>
      <c r="H36" s="330">
        <f>'STOK DETAY'!EU6</f>
        <v>0</v>
      </c>
      <c r="I36" s="330"/>
      <c r="J36" s="330">
        <f t="shared" si="1"/>
        <v>0</v>
      </c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8" t="s">
        <v>274</v>
      </c>
      <c r="B37" s="369" t="s">
        <v>55</v>
      </c>
      <c r="C37" s="370">
        <v>211</v>
      </c>
      <c r="D37" s="330"/>
      <c r="E37" s="330"/>
      <c r="F37" s="330"/>
      <c r="G37" s="330"/>
      <c r="H37" s="330">
        <f>'STOK DETAY'!EV6</f>
        <v>27.65</v>
      </c>
      <c r="I37" s="330"/>
      <c r="J37" s="330">
        <f t="shared" si="1"/>
        <v>27.65</v>
      </c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8" t="s">
        <v>275</v>
      </c>
      <c r="B38" s="369" t="s">
        <v>55</v>
      </c>
      <c r="C38" s="370"/>
      <c r="D38" s="330"/>
      <c r="E38" s="330">
        <f>'STOK DETAY'!EW6</f>
        <v>0</v>
      </c>
      <c r="F38" s="330"/>
      <c r="G38" s="330"/>
      <c r="H38" s="330"/>
      <c r="I38" s="330"/>
      <c r="J38" s="330">
        <f t="shared" si="1"/>
        <v>0</v>
      </c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8" t="s">
        <v>276</v>
      </c>
      <c r="B39" s="369" t="s">
        <v>55</v>
      </c>
      <c r="C39" s="370"/>
      <c r="D39" s="330"/>
      <c r="E39" s="330">
        <f>'STOK DETAY'!EY6</f>
        <v>0</v>
      </c>
      <c r="F39" s="330">
        <f>'STOK DETAY'!EZ6</f>
        <v>0</v>
      </c>
      <c r="G39" s="330"/>
      <c r="H39" s="330"/>
      <c r="I39" s="330"/>
      <c r="J39" s="330">
        <f t="shared" si="1"/>
        <v>0</v>
      </c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8" t="s">
        <v>277</v>
      </c>
      <c r="B40" s="369" t="s">
        <v>55</v>
      </c>
      <c r="C40" s="370"/>
      <c r="D40" s="330">
        <f>'STOK DETAY'!FA6</f>
        <v>0</v>
      </c>
      <c r="E40" s="330">
        <f>'STOK DETAY'!FB6</f>
        <v>0</v>
      </c>
      <c r="F40" s="330">
        <f>'STOK DETAY'!FC6</f>
        <v>0</v>
      </c>
      <c r="G40" s="330"/>
      <c r="H40" s="330">
        <f>'STOK DETAY'!FD6</f>
        <v>0</v>
      </c>
      <c r="I40" s="330"/>
      <c r="J40" s="330">
        <f t="shared" si="1"/>
        <v>0</v>
      </c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8" t="s">
        <v>278</v>
      </c>
      <c r="B41" s="369" t="s">
        <v>55</v>
      </c>
      <c r="C41" s="370"/>
      <c r="D41" s="330"/>
      <c r="E41" s="330"/>
      <c r="F41" s="330"/>
      <c r="G41" s="330"/>
      <c r="H41" s="330">
        <f>'STOK DETAY'!FE6</f>
        <v>28</v>
      </c>
      <c r="I41" s="330"/>
      <c r="J41" s="330">
        <f t="shared" si="1"/>
        <v>28</v>
      </c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8" t="s">
        <v>279</v>
      </c>
      <c r="B42" s="369" t="s">
        <v>55</v>
      </c>
      <c r="C42" s="370"/>
      <c r="D42" s="330"/>
      <c r="E42" s="330">
        <f>'STOK DETAY'!FF6</f>
        <v>0</v>
      </c>
      <c r="F42" s="330">
        <f>'STOK DETAY'!FG6</f>
        <v>103.66500000000001</v>
      </c>
      <c r="G42" s="330"/>
      <c r="H42" s="330">
        <f>'STOK DETAY'!FH6</f>
        <v>0</v>
      </c>
      <c r="I42" s="330"/>
      <c r="J42" s="330">
        <f t="shared" si="1"/>
        <v>103.66500000000001</v>
      </c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8" t="s">
        <v>280</v>
      </c>
      <c r="B43" s="369" t="s">
        <v>55</v>
      </c>
      <c r="C43" s="370"/>
      <c r="D43" s="330"/>
      <c r="E43" s="330">
        <f>'STOK DETAY'!FJ6</f>
        <v>0</v>
      </c>
      <c r="F43" s="330">
        <f>'STOK DETAY'!FK6</f>
        <v>0</v>
      </c>
      <c r="G43" s="330"/>
      <c r="H43" s="330">
        <f>'STOK DETAY'!FL6</f>
        <v>0</v>
      </c>
      <c r="I43" s="330"/>
      <c r="J43" s="330">
        <f t="shared" si="1"/>
        <v>0</v>
      </c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8" t="s">
        <v>281</v>
      </c>
      <c r="B44" s="369" t="s">
        <v>55</v>
      </c>
      <c r="C44" s="370"/>
      <c r="D44" s="330">
        <f>'STOK DETAY'!FM6</f>
        <v>0</v>
      </c>
      <c r="E44" s="330"/>
      <c r="F44" s="330"/>
      <c r="G44" s="330"/>
      <c r="H44" s="330">
        <f>'STOK DETAY'!FN6</f>
        <v>45.85</v>
      </c>
      <c r="I44" s="330"/>
      <c r="J44" s="330">
        <f t="shared" si="1"/>
        <v>45.85</v>
      </c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8" t="s">
        <v>282</v>
      </c>
      <c r="B45" s="369" t="s">
        <v>55</v>
      </c>
      <c r="C45" s="370"/>
      <c r="D45" s="330"/>
      <c r="E45" s="330"/>
      <c r="F45" s="330"/>
      <c r="G45" s="330"/>
      <c r="H45" s="330">
        <f>'STOK DETAY'!FO6</f>
        <v>0</v>
      </c>
      <c r="I45" s="330"/>
      <c r="J45" s="330">
        <f t="shared" si="1"/>
        <v>0</v>
      </c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8" t="s">
        <v>283</v>
      </c>
      <c r="B46" s="369" t="s">
        <v>55</v>
      </c>
      <c r="C46" s="370"/>
      <c r="D46" s="330"/>
      <c r="E46" s="330"/>
      <c r="F46" s="330"/>
      <c r="G46" s="330"/>
      <c r="H46" s="330">
        <f>'STOK DETAY'!FP6</f>
        <v>0</v>
      </c>
      <c r="I46" s="330"/>
      <c r="J46" s="330">
        <f t="shared" si="1"/>
        <v>0</v>
      </c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8" t="s">
        <v>284</v>
      </c>
      <c r="B47" s="369" t="s">
        <v>55</v>
      </c>
      <c r="C47" s="370"/>
      <c r="D47" s="330">
        <f>'STOK DETAY'!FQ6</f>
        <v>0</v>
      </c>
      <c r="E47" s="330">
        <f>'STOK DETAY'!FR6</f>
        <v>0</v>
      </c>
      <c r="F47" s="330">
        <f>'STOK DETAY'!FS6</f>
        <v>0</v>
      </c>
      <c r="G47" s="330"/>
      <c r="H47" s="330"/>
      <c r="I47" s="330">
        <f>'STOK DETAY'!FT6</f>
        <v>0</v>
      </c>
      <c r="J47" s="330">
        <f t="shared" si="1"/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8" t="s">
        <v>245</v>
      </c>
      <c r="B48" s="369" t="s">
        <v>55</v>
      </c>
      <c r="C48" s="370"/>
      <c r="D48" s="330"/>
      <c r="E48" s="330">
        <f>'STOK DETAY'!FU6</f>
        <v>0</v>
      </c>
      <c r="F48" s="330">
        <f>'STOK DETAY'!FV6</f>
        <v>0</v>
      </c>
      <c r="G48" s="330"/>
      <c r="H48" s="330">
        <f>'STOK DETAY'!FW6</f>
        <v>45.4</v>
      </c>
      <c r="I48" s="330"/>
      <c r="J48" s="330">
        <f t="shared" si="1"/>
        <v>45.4</v>
      </c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8" t="s">
        <v>285</v>
      </c>
      <c r="B49" s="369" t="s">
        <v>55</v>
      </c>
      <c r="C49" s="370">
        <v>113</v>
      </c>
      <c r="D49" s="330">
        <f>'STOK DETAY'!FX6</f>
        <v>9.1999999999999993</v>
      </c>
      <c r="E49" s="330"/>
      <c r="F49" s="330"/>
      <c r="G49" s="330"/>
      <c r="H49" s="330">
        <f>'STOK DETAY'!FY6</f>
        <v>0</v>
      </c>
      <c r="I49" s="330">
        <f>'STOK DETAY'!FZ6</f>
        <v>0</v>
      </c>
      <c r="J49" s="330">
        <f t="shared" si="1"/>
        <v>9.1999999999999993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8" t="s">
        <v>286</v>
      </c>
      <c r="B50" s="369" t="s">
        <v>55</v>
      </c>
      <c r="C50" s="370"/>
      <c r="D50" s="330"/>
      <c r="E50" s="330">
        <f>'STOK DETAY'!GA6</f>
        <v>0</v>
      </c>
      <c r="F50" s="330">
        <f>'STOK DETAY'!GB6</f>
        <v>0</v>
      </c>
      <c r="G50" s="330"/>
      <c r="H50" s="330">
        <f>'STOK DETAY'!GC6</f>
        <v>89.45</v>
      </c>
      <c r="I50" s="330">
        <f>'STOK DETAY'!GD6</f>
        <v>0</v>
      </c>
      <c r="J50" s="330">
        <f t="shared" si="1"/>
        <v>89.45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8" t="s">
        <v>287</v>
      </c>
      <c r="B51" s="369" t="s">
        <v>55</v>
      </c>
      <c r="C51" s="370">
        <v>211</v>
      </c>
      <c r="D51" s="330"/>
      <c r="E51" s="330">
        <f>'STOK DETAY'!GE6</f>
        <v>0</v>
      </c>
      <c r="F51" s="330"/>
      <c r="G51" s="330"/>
      <c r="H51" s="330">
        <f>'STOK DETAY'!GF6</f>
        <v>21.45</v>
      </c>
      <c r="I51" s="330"/>
      <c r="J51" s="330">
        <f t="shared" si="1"/>
        <v>21.45</v>
      </c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8" t="s">
        <v>288</v>
      </c>
      <c r="B52" s="369" t="s">
        <v>55</v>
      </c>
      <c r="C52" s="370"/>
      <c r="D52" s="330"/>
      <c r="E52" s="330"/>
      <c r="F52" s="330"/>
      <c r="G52" s="330"/>
      <c r="H52" s="330">
        <f>'STOK DETAY'!GG6</f>
        <v>0</v>
      </c>
      <c r="I52" s="330"/>
      <c r="J52" s="330">
        <f t="shared" si="1"/>
        <v>0</v>
      </c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8" t="s">
        <v>289</v>
      </c>
      <c r="B53" s="369" t="s">
        <v>55</v>
      </c>
      <c r="C53" s="370"/>
      <c r="D53" s="330"/>
      <c r="E53" s="330"/>
      <c r="F53" s="330"/>
      <c r="G53" s="330"/>
      <c r="H53" s="330">
        <f>'STOK DETAY'!GI6</f>
        <v>0</v>
      </c>
      <c r="I53" s="330"/>
      <c r="J53" s="330">
        <f t="shared" si="1"/>
        <v>0</v>
      </c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8" t="s">
        <v>290</v>
      </c>
      <c r="B54" s="369" t="s">
        <v>30</v>
      </c>
      <c r="C54" s="370">
        <v>611</v>
      </c>
      <c r="D54" s="330">
        <f>'STOK DETAY'!GJ6</f>
        <v>0</v>
      </c>
      <c r="E54" s="330"/>
      <c r="F54" s="330">
        <f>'STOK DETAY'!GK6</f>
        <v>76.703000000000003</v>
      </c>
      <c r="G54" s="330"/>
      <c r="H54" s="330"/>
      <c r="I54" s="330"/>
      <c r="J54" s="330">
        <f t="shared" si="1"/>
        <v>76.703000000000003</v>
      </c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8" t="s">
        <v>246</v>
      </c>
      <c r="B55" s="332" t="s">
        <v>30</v>
      </c>
      <c r="C55" s="370"/>
      <c r="D55" s="330">
        <f>'STOK DETAY'!GL6</f>
        <v>0</v>
      </c>
      <c r="E55" s="330"/>
      <c r="F55" s="330">
        <f>'STOK DETAY'!GM6</f>
        <v>0</v>
      </c>
      <c r="G55" s="330"/>
      <c r="H55" s="330"/>
      <c r="I55" s="330"/>
      <c r="J55" s="330">
        <f t="shared" si="1"/>
        <v>0</v>
      </c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8" t="s">
        <v>291</v>
      </c>
      <c r="B56" s="332" t="s">
        <v>30</v>
      </c>
      <c r="C56" s="370">
        <v>601</v>
      </c>
      <c r="D56" s="330"/>
      <c r="E56" s="330"/>
      <c r="F56" s="330">
        <f>'STOK DETAY'!GO6</f>
        <v>0</v>
      </c>
      <c r="G56" s="330"/>
      <c r="H56" s="330"/>
      <c r="I56" s="330"/>
      <c r="J56" s="330">
        <f t="shared" si="1"/>
        <v>0</v>
      </c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8" t="s">
        <v>292</v>
      </c>
      <c r="B57" s="369" t="s">
        <v>30</v>
      </c>
      <c r="C57" s="370"/>
      <c r="D57" s="330">
        <f>'STOK DETAY'!GP6</f>
        <v>0</v>
      </c>
      <c r="E57" s="330"/>
      <c r="F57" s="330">
        <f>'STOK DETAY'!GQ6</f>
        <v>0</v>
      </c>
      <c r="G57" s="330"/>
      <c r="H57" s="330"/>
      <c r="I57" s="330"/>
      <c r="J57" s="330">
        <f t="shared" si="1"/>
        <v>0</v>
      </c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8" t="s">
        <v>293</v>
      </c>
      <c r="B58" s="369" t="s">
        <v>30</v>
      </c>
      <c r="C58" s="370"/>
      <c r="D58" s="330">
        <f>'STOK DETAY'!GR6</f>
        <v>0</v>
      </c>
      <c r="E58" s="330"/>
      <c r="F58" s="330">
        <f>'STOK DETAY'!GS6</f>
        <v>0</v>
      </c>
      <c r="G58" s="330"/>
      <c r="H58" s="330"/>
      <c r="I58" s="330"/>
      <c r="J58" s="330">
        <f t="shared" si="1"/>
        <v>0</v>
      </c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8" t="s">
        <v>294</v>
      </c>
      <c r="B59" s="369" t="s">
        <v>30</v>
      </c>
      <c r="C59" s="370"/>
      <c r="D59" s="330"/>
      <c r="E59" s="330"/>
      <c r="F59" s="330">
        <f>'STOK DETAY'!GU6</f>
        <v>0</v>
      </c>
      <c r="G59" s="330"/>
      <c r="H59" s="330"/>
      <c r="I59" s="330"/>
      <c r="J59" s="330">
        <f t="shared" si="1"/>
        <v>0</v>
      </c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8" t="s">
        <v>295</v>
      </c>
      <c r="B60" s="369" t="s">
        <v>30</v>
      </c>
      <c r="C60" s="370"/>
      <c r="D60" s="330">
        <f>'STOK DETAY'!GV6</f>
        <v>0</v>
      </c>
      <c r="E60" s="330"/>
      <c r="F60" s="330">
        <f>'STOK DETAY'!GW6</f>
        <v>0</v>
      </c>
      <c r="G60" s="330"/>
      <c r="H60" s="330"/>
      <c r="I60" s="330"/>
      <c r="J60" s="330">
        <f t="shared" si="1"/>
        <v>0</v>
      </c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8" t="s">
        <v>296</v>
      </c>
      <c r="B61" s="369" t="s">
        <v>30</v>
      </c>
      <c r="C61" s="370"/>
      <c r="D61" s="330"/>
      <c r="E61" s="330"/>
      <c r="F61" s="330">
        <f>'STOK DETAY'!GX6</f>
        <v>0</v>
      </c>
      <c r="G61" s="330"/>
      <c r="H61" s="330"/>
      <c r="I61" s="330"/>
      <c r="J61" s="330">
        <f t="shared" si="1"/>
        <v>0</v>
      </c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8" t="s">
        <v>248</v>
      </c>
      <c r="B62" s="369" t="s">
        <v>30</v>
      </c>
      <c r="C62" s="370"/>
      <c r="D62" s="330">
        <f>'STOK DETAY'!GY6</f>
        <v>0</v>
      </c>
      <c r="E62" s="330"/>
      <c r="F62" s="330">
        <f>'STOK DETAY'!GZ6</f>
        <v>0</v>
      </c>
      <c r="G62" s="330"/>
      <c r="H62" s="330"/>
      <c r="I62" s="330">
        <f>'STOK DETAY'!HA6</f>
        <v>0</v>
      </c>
      <c r="J62" s="330">
        <f t="shared" si="1"/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8" t="s">
        <v>297</v>
      </c>
      <c r="B63" s="369" t="s">
        <v>30</v>
      </c>
      <c r="C63" s="370"/>
      <c r="D63" s="330">
        <f>'STOK DETAY'!HB6</f>
        <v>0</v>
      </c>
      <c r="E63" s="330"/>
      <c r="F63" s="330"/>
      <c r="G63" s="330"/>
      <c r="H63" s="330"/>
      <c r="I63" s="330"/>
      <c r="J63" s="330">
        <f t="shared" si="1"/>
        <v>0</v>
      </c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8" t="s">
        <v>249</v>
      </c>
      <c r="B64" s="369" t="s">
        <v>30</v>
      </c>
      <c r="C64" s="370"/>
      <c r="D64" s="330">
        <f>'STOK DETAY'!HC6</f>
        <v>0</v>
      </c>
      <c r="E64" s="330"/>
      <c r="F64" s="330">
        <f>'STOK DETAY'!HD6</f>
        <v>0</v>
      </c>
      <c r="G64" s="330"/>
      <c r="H64" s="330"/>
      <c r="I64" s="330"/>
      <c r="J64" s="330">
        <f t="shared" si="1"/>
        <v>0</v>
      </c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8" t="s">
        <v>250</v>
      </c>
      <c r="B65" s="369" t="s">
        <v>30</v>
      </c>
      <c r="C65" s="370"/>
      <c r="D65" s="330">
        <f>'STOK DETAY'!HE6</f>
        <v>0</v>
      </c>
      <c r="E65" s="330"/>
      <c r="F65" s="330">
        <f>'STOK DETAY'!HF6</f>
        <v>67.03</v>
      </c>
      <c r="G65" s="330"/>
      <c r="H65" s="330"/>
      <c r="I65" s="330"/>
      <c r="J65" s="330">
        <f t="shared" si="1"/>
        <v>67.03</v>
      </c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8" t="s">
        <v>251</v>
      </c>
      <c r="B66" s="369" t="s">
        <v>30</v>
      </c>
      <c r="C66" s="370"/>
      <c r="D66" s="330">
        <f>'STOK DETAY'!HG6</f>
        <v>0</v>
      </c>
      <c r="E66" s="330"/>
      <c r="F66" s="330">
        <f>'STOK DETAY'!HH6</f>
        <v>0</v>
      </c>
      <c r="G66" s="330"/>
      <c r="H66" s="330"/>
      <c r="I66" s="330">
        <f>'STOK DETAY'!HI6</f>
        <v>13.32</v>
      </c>
      <c r="J66" s="330">
        <f t="shared" ref="J66:J96" si="2">SUM(D66:I66)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8" t="s">
        <v>298</v>
      </c>
      <c r="B67" s="369" t="s">
        <v>30</v>
      </c>
      <c r="C67" s="370">
        <v>613</v>
      </c>
      <c r="D67" s="330"/>
      <c r="E67" s="330"/>
      <c r="F67" s="330">
        <f>'STOK DETAY'!HJ6</f>
        <v>8.9849999999999994</v>
      </c>
      <c r="G67" s="330"/>
      <c r="H67" s="330"/>
      <c r="I67" s="330"/>
      <c r="J67" s="330">
        <f t="shared" si="2"/>
        <v>8.9849999999999994</v>
      </c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8" t="s">
        <v>299</v>
      </c>
      <c r="B68" s="369" t="s">
        <v>30</v>
      </c>
      <c r="C68" s="370"/>
      <c r="D68" s="330">
        <f>'STOK DETAY'!HK6</f>
        <v>0</v>
      </c>
      <c r="E68" s="330"/>
      <c r="F68" s="330"/>
      <c r="G68" s="330"/>
      <c r="H68" s="330"/>
      <c r="I68" s="330"/>
      <c r="J68" s="330">
        <f t="shared" si="2"/>
        <v>0</v>
      </c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8" t="s">
        <v>252</v>
      </c>
      <c r="B69" s="369" t="s">
        <v>30</v>
      </c>
      <c r="C69" s="370"/>
      <c r="D69" s="330">
        <f>'STOK DETAY'!HL6</f>
        <v>0</v>
      </c>
      <c r="E69" s="330"/>
      <c r="F69" s="330">
        <f>'STOK DETAY'!HM6</f>
        <v>0</v>
      </c>
      <c r="G69" s="330"/>
      <c r="H69" s="330"/>
      <c r="I69" s="330">
        <f>'STOK DETAY'!HN6</f>
        <v>0</v>
      </c>
      <c r="J69" s="330">
        <f t="shared" si="2"/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8" t="s">
        <v>300</v>
      </c>
      <c r="B70" s="369" t="s">
        <v>30</v>
      </c>
      <c r="C70" s="370">
        <v>612</v>
      </c>
      <c r="D70" s="330">
        <f>'STOK DETAY'!HO6</f>
        <v>0</v>
      </c>
      <c r="E70" s="330"/>
      <c r="F70" s="330">
        <f>'STOK DETAY'!HP6</f>
        <v>51.43</v>
      </c>
      <c r="G70" s="330"/>
      <c r="H70" s="330"/>
      <c r="I70" s="330"/>
      <c r="J70" s="330">
        <f t="shared" si="2"/>
        <v>51.43</v>
      </c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8" t="s">
        <v>242</v>
      </c>
      <c r="B71" s="369" t="s">
        <v>30</v>
      </c>
      <c r="C71" s="370"/>
      <c r="D71" s="330">
        <f>'STOK DETAY'!HQ6</f>
        <v>0</v>
      </c>
      <c r="E71" s="330"/>
      <c r="F71" s="330">
        <f>'STOK DETAY'!HR6</f>
        <v>0</v>
      </c>
      <c r="G71" s="330"/>
      <c r="H71" s="330"/>
      <c r="I71" s="330"/>
      <c r="J71" s="330">
        <f t="shared" si="2"/>
        <v>0</v>
      </c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8" t="s">
        <v>253</v>
      </c>
      <c r="B72" s="369" t="s">
        <v>30</v>
      </c>
      <c r="C72" s="370">
        <v>213</v>
      </c>
      <c r="D72" s="330">
        <f>'STOK DETAY'!HS6</f>
        <v>93.39</v>
      </c>
      <c r="E72" s="330"/>
      <c r="F72" s="330"/>
      <c r="G72" s="330"/>
      <c r="H72" s="330"/>
      <c r="I72" s="330"/>
      <c r="J72" s="330">
        <f t="shared" si="2"/>
        <v>93.39</v>
      </c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8" t="s">
        <v>253</v>
      </c>
      <c r="B73" s="369" t="s">
        <v>129</v>
      </c>
      <c r="C73" s="370">
        <v>213</v>
      </c>
      <c r="D73" s="330"/>
      <c r="E73" s="330"/>
      <c r="F73" s="330">
        <f>'STOK DETAY'!HT6</f>
        <v>31.1</v>
      </c>
      <c r="G73" s="330"/>
      <c r="H73" s="330"/>
      <c r="I73" s="330"/>
      <c r="J73" s="330">
        <f t="shared" si="2"/>
        <v>31.1</v>
      </c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8" t="s">
        <v>243</v>
      </c>
      <c r="B74" s="369" t="s">
        <v>30</v>
      </c>
      <c r="C74" s="370"/>
      <c r="D74" s="330">
        <f>'STOK DETAY'!HU6</f>
        <v>0</v>
      </c>
      <c r="E74" s="330"/>
      <c r="F74" s="330">
        <f>'STOK DETAY'!HV6</f>
        <v>0</v>
      </c>
      <c r="G74" s="330"/>
      <c r="H74" s="330"/>
      <c r="I74" s="330"/>
      <c r="J74" s="330">
        <f t="shared" si="2"/>
        <v>0</v>
      </c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8" t="s">
        <v>255</v>
      </c>
      <c r="B75" s="369" t="s">
        <v>30</v>
      </c>
      <c r="C75" s="370"/>
      <c r="D75" s="330">
        <f>'STOK DETAY'!HW6</f>
        <v>0</v>
      </c>
      <c r="E75" s="330"/>
      <c r="F75" s="330">
        <f>'STOK DETAY'!HX6</f>
        <v>0</v>
      </c>
      <c r="G75" s="330"/>
      <c r="H75" s="330"/>
      <c r="I75" s="330"/>
      <c r="J75" s="330">
        <f t="shared" si="2"/>
        <v>0</v>
      </c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8" t="s">
        <v>244</v>
      </c>
      <c r="B76" s="369" t="s">
        <v>30</v>
      </c>
      <c r="C76" s="370"/>
      <c r="D76" s="330">
        <f>'STOK DETAY'!HY6</f>
        <v>8.94</v>
      </c>
      <c r="E76" s="330"/>
      <c r="F76" s="330"/>
      <c r="G76" s="330"/>
      <c r="H76" s="330"/>
      <c r="I76" s="330"/>
      <c r="J76" s="330">
        <f t="shared" si="2"/>
        <v>8.94</v>
      </c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8" t="s">
        <v>256</v>
      </c>
      <c r="B77" s="369" t="s">
        <v>30</v>
      </c>
      <c r="C77" s="370">
        <v>411</v>
      </c>
      <c r="D77" s="330"/>
      <c r="E77" s="330"/>
      <c r="F77" s="330">
        <f>'STOK DETAY'!IA6</f>
        <v>83.82</v>
      </c>
      <c r="G77" s="330"/>
      <c r="H77" s="330"/>
      <c r="I77" s="330"/>
      <c r="J77" s="330">
        <f t="shared" si="2"/>
        <v>83.82</v>
      </c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8" t="s">
        <v>257</v>
      </c>
      <c r="B78" s="369" t="s">
        <v>30</v>
      </c>
      <c r="C78" s="370"/>
      <c r="D78" s="330">
        <f>'STOK DETAY'!IB6</f>
        <v>0</v>
      </c>
      <c r="E78" s="330"/>
      <c r="F78" s="330">
        <f>'STOK DETAY'!IC6</f>
        <v>0</v>
      </c>
      <c r="G78" s="330"/>
      <c r="H78" s="330"/>
      <c r="I78" s="330"/>
      <c r="J78" s="330">
        <f t="shared" si="2"/>
        <v>0</v>
      </c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8" t="s">
        <v>258</v>
      </c>
      <c r="B79" s="369" t="s">
        <v>30</v>
      </c>
      <c r="C79" s="370"/>
      <c r="D79" s="330">
        <f>'STOK DETAY'!ID6</f>
        <v>0</v>
      </c>
      <c r="E79" s="330"/>
      <c r="F79" s="330">
        <f>'STOK DETAY'!IE6</f>
        <v>2.42</v>
      </c>
      <c r="G79" s="330"/>
      <c r="H79" s="330"/>
      <c r="I79" s="330"/>
      <c r="J79" s="330">
        <f t="shared" si="2"/>
        <v>2.42</v>
      </c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8" t="s">
        <v>259</v>
      </c>
      <c r="B80" s="369" t="s">
        <v>30</v>
      </c>
      <c r="C80" s="370"/>
      <c r="D80" s="330">
        <f>'STOK DETAY'!IF6</f>
        <v>0</v>
      </c>
      <c r="E80" s="330"/>
      <c r="F80" s="330"/>
      <c r="G80" s="330"/>
      <c r="H80" s="330"/>
      <c r="I80" s="330"/>
      <c r="J80" s="330">
        <f t="shared" si="2"/>
        <v>0</v>
      </c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8" t="s">
        <v>260</v>
      </c>
      <c r="B81" s="332" t="s">
        <v>30</v>
      </c>
      <c r="C81" s="370">
        <v>611</v>
      </c>
      <c r="D81" s="330">
        <f>'STOK DETAY'!IG6</f>
        <v>127.11</v>
      </c>
      <c r="E81" s="330"/>
      <c r="F81" s="330"/>
      <c r="G81" s="330"/>
      <c r="H81" s="330"/>
      <c r="I81" s="330"/>
      <c r="J81" s="330">
        <f t="shared" si="2"/>
        <v>127.11</v>
      </c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8" t="s">
        <v>261</v>
      </c>
      <c r="B82" s="369" t="s">
        <v>30</v>
      </c>
      <c r="C82" s="370">
        <v>613</v>
      </c>
      <c r="D82" s="330">
        <f>'STOK DETAY'!IH6</f>
        <v>128.26</v>
      </c>
      <c r="E82" s="330"/>
      <c r="F82" s="330"/>
      <c r="G82" s="330"/>
      <c r="H82" s="330"/>
      <c r="I82" s="330"/>
      <c r="J82" s="330">
        <f t="shared" si="2"/>
        <v>128.26</v>
      </c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8" t="s">
        <v>262</v>
      </c>
      <c r="B83" s="369" t="s">
        <v>30</v>
      </c>
      <c r="C83" s="370"/>
      <c r="D83" s="330"/>
      <c r="E83" s="330"/>
      <c r="F83" s="330">
        <f>'STOK DETAY'!II6</f>
        <v>29.6</v>
      </c>
      <c r="G83" s="330"/>
      <c r="H83" s="330"/>
      <c r="I83" s="330"/>
      <c r="J83" s="330">
        <f t="shared" si="2"/>
        <v>29.6</v>
      </c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8" t="s">
        <v>251</v>
      </c>
      <c r="B84" s="369" t="s">
        <v>10</v>
      </c>
      <c r="C84" s="370">
        <v>511</v>
      </c>
      <c r="D84" s="330"/>
      <c r="E84" s="330">
        <f>'STOK DETAY'!IJ6</f>
        <v>3.28</v>
      </c>
      <c r="F84" s="330"/>
      <c r="G84" s="330"/>
      <c r="H84" s="330"/>
      <c r="I84" s="330"/>
      <c r="J84" s="330">
        <f t="shared" si="2"/>
        <v>3.28</v>
      </c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8" t="s">
        <v>243</v>
      </c>
      <c r="B85" s="369" t="s">
        <v>10</v>
      </c>
      <c r="C85" s="370">
        <v>511</v>
      </c>
      <c r="D85" s="330"/>
      <c r="E85" s="330">
        <f>'STOK DETAY'!IK6</f>
        <v>63.54</v>
      </c>
      <c r="F85" s="330"/>
      <c r="G85" s="330"/>
      <c r="H85" s="330"/>
      <c r="I85" s="330"/>
      <c r="J85" s="330">
        <f t="shared" si="2"/>
        <v>63.54</v>
      </c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8" t="s">
        <v>255</v>
      </c>
      <c r="B86" s="369" t="s">
        <v>10</v>
      </c>
      <c r="C86" s="370">
        <v>511</v>
      </c>
      <c r="D86" s="330"/>
      <c r="E86" s="330">
        <f>'STOK DETAY'!IL6</f>
        <v>10.45</v>
      </c>
      <c r="F86" s="330"/>
      <c r="G86" s="330"/>
      <c r="H86" s="330"/>
      <c r="I86" s="330"/>
      <c r="J86" s="330">
        <f t="shared" si="2"/>
        <v>10.45</v>
      </c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8" t="s">
        <v>244</v>
      </c>
      <c r="B87" s="369" t="s">
        <v>10</v>
      </c>
      <c r="C87" s="370">
        <v>101</v>
      </c>
      <c r="D87" s="330">
        <f>'STOK DETAY'!IM6</f>
        <v>0</v>
      </c>
      <c r="E87" s="330"/>
      <c r="F87" s="330"/>
      <c r="G87" s="330"/>
      <c r="H87" s="330"/>
      <c r="I87" s="330"/>
      <c r="J87" s="330">
        <f t="shared" si="2"/>
        <v>0</v>
      </c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8" t="s">
        <v>257</v>
      </c>
      <c r="B88" s="369" t="s">
        <v>10</v>
      </c>
      <c r="C88" s="370">
        <v>101</v>
      </c>
      <c r="D88" s="330">
        <f>'STOK DETAY'!IN6</f>
        <v>0</v>
      </c>
      <c r="E88" s="330"/>
      <c r="F88" s="330"/>
      <c r="G88" s="330"/>
      <c r="H88" s="330"/>
      <c r="I88" s="330">
        <f>'STOK DETAY'!IO6</f>
        <v>457.2</v>
      </c>
      <c r="J88" s="330">
        <f t="shared" si="2"/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8" t="s">
        <v>263</v>
      </c>
      <c r="B89" s="369" t="s">
        <v>10</v>
      </c>
      <c r="C89" s="370">
        <v>511</v>
      </c>
      <c r="D89" s="330"/>
      <c r="E89" s="330">
        <f>'STOK DETAY'!IP6</f>
        <v>2.5</v>
      </c>
      <c r="F89" s="330"/>
      <c r="G89" s="330"/>
      <c r="H89" s="330"/>
      <c r="I89" s="330"/>
      <c r="J89" s="330">
        <f t="shared" si="2"/>
        <v>2.5</v>
      </c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8" t="s">
        <v>267</v>
      </c>
      <c r="B90" s="369" t="s">
        <v>10</v>
      </c>
      <c r="C90" s="370">
        <v>511</v>
      </c>
      <c r="D90" s="330"/>
      <c r="E90" s="330">
        <f>'STOK DETAY'!IQ6</f>
        <v>14.7</v>
      </c>
      <c r="F90" s="330"/>
      <c r="G90" s="330"/>
      <c r="H90" s="330"/>
      <c r="I90" s="330"/>
      <c r="J90" s="330">
        <f t="shared" si="2"/>
        <v>14.7</v>
      </c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8" t="s">
        <v>269</v>
      </c>
      <c r="B91" s="369" t="s">
        <v>10</v>
      </c>
      <c r="C91" s="370">
        <v>511</v>
      </c>
      <c r="D91" s="330"/>
      <c r="E91" s="330">
        <f>'STOK DETAY'!IR6</f>
        <v>2.85</v>
      </c>
      <c r="F91" s="330"/>
      <c r="G91" s="330"/>
      <c r="H91" s="330"/>
      <c r="I91" s="330"/>
      <c r="J91" s="330">
        <f t="shared" si="2"/>
        <v>2.85</v>
      </c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8" t="s">
        <v>271</v>
      </c>
      <c r="B92" s="369" t="s">
        <v>10</v>
      </c>
      <c r="C92" s="370">
        <v>511</v>
      </c>
      <c r="D92" s="330"/>
      <c r="E92" s="330">
        <f>'STOK DETAY'!IS6</f>
        <v>6.83</v>
      </c>
      <c r="F92" s="330"/>
      <c r="G92" s="330"/>
      <c r="H92" s="330"/>
      <c r="I92" s="330"/>
      <c r="J92" s="330">
        <f t="shared" si="2"/>
        <v>6.83</v>
      </c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8" t="s">
        <v>275</v>
      </c>
      <c r="B93" s="369" t="s">
        <v>10</v>
      </c>
      <c r="C93" s="370">
        <v>511</v>
      </c>
      <c r="D93" s="330"/>
      <c r="E93" s="330">
        <f>'STOK DETAY'!IT6</f>
        <v>9.2200000000000006</v>
      </c>
      <c r="F93" s="330"/>
      <c r="G93" s="330"/>
      <c r="H93" s="330"/>
      <c r="I93" s="330"/>
      <c r="J93" s="330">
        <f t="shared" si="2"/>
        <v>9.2200000000000006</v>
      </c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8" t="s">
        <v>276</v>
      </c>
      <c r="B94" s="369" t="s">
        <v>10</v>
      </c>
      <c r="C94" s="370">
        <v>511</v>
      </c>
      <c r="D94" s="330"/>
      <c r="E94" s="330">
        <f>'STOK DETAY'!IU6</f>
        <v>18.5</v>
      </c>
      <c r="F94" s="330"/>
      <c r="G94" s="330"/>
      <c r="H94" s="330"/>
      <c r="I94" s="330"/>
      <c r="J94" s="330">
        <f t="shared" si="2"/>
        <v>18.5</v>
      </c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8" t="s">
        <v>277</v>
      </c>
      <c r="B95" s="369" t="s">
        <v>10</v>
      </c>
      <c r="C95" s="370">
        <v>511</v>
      </c>
      <c r="D95" s="330"/>
      <c r="E95" s="330">
        <f>'STOK DETAY'!IV6</f>
        <v>64.48</v>
      </c>
      <c r="F95" s="330"/>
      <c r="G95" s="330"/>
      <c r="H95" s="330"/>
      <c r="I95" s="330"/>
      <c r="J95" s="330">
        <f t="shared" si="2"/>
        <v>64.48</v>
      </c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8" t="s">
        <v>288</v>
      </c>
      <c r="B96" s="369" t="s">
        <v>10</v>
      </c>
      <c r="C96" s="370">
        <v>511</v>
      </c>
      <c r="D96" s="330"/>
      <c r="E96" s="330">
        <f>'STOK DETAY'!IW6</f>
        <v>52.36</v>
      </c>
      <c r="F96" s="330"/>
      <c r="G96" s="330"/>
      <c r="H96" s="330"/>
      <c r="I96" s="330"/>
      <c r="J96" s="330">
        <f t="shared" si="2"/>
        <v>52.36</v>
      </c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7"/>
      <c r="H110" s="167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D95:I96 D2:I82">
    <cfRule type="cellIs" dxfId="2" priority="3" operator="equal">
      <formula>0</formula>
    </cfRule>
  </conditionalFormatting>
  <conditionalFormatting sqref="D84:I94">
    <cfRule type="cellIs" dxfId="1" priority="2" operator="between">
      <formula>-0.1</formula>
      <formula>0.1</formula>
    </cfRule>
  </conditionalFormatting>
  <conditionalFormatting sqref="D83:I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2026-02-27T08:10:44Z</dcterms:modified>
</cp:coreProperties>
</file>