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I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J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G83" i="22"/>
  <c r="D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F96" i="22"/>
  <c r="D96" i="22" s="1"/>
  <c r="G102" i="12"/>
  <c r="F95" i="22"/>
  <c r="D95" i="22" s="1"/>
  <c r="G100" i="12"/>
  <c r="E100" i="12" s="1"/>
  <c r="F93" i="22"/>
  <c r="D93" i="22" s="1"/>
  <c r="G98" i="12"/>
  <c r="E98" i="12" s="1"/>
  <c r="F91" i="22"/>
  <c r="D91" i="22" s="1"/>
  <c r="G96" i="12"/>
  <c r="E96" i="12" s="1"/>
  <c r="F89" i="22"/>
  <c r="D89" i="22" s="1"/>
  <c r="F94" i="12"/>
  <c r="E87" i="22"/>
  <c r="D87" i="22" s="1"/>
  <c r="G92" i="12"/>
  <c r="E92" i="12" s="1"/>
  <c r="F85" i="22"/>
  <c r="D85" i="22" s="1"/>
  <c r="G101" i="12"/>
  <c r="E101" i="12" s="1"/>
  <c r="F94" i="22"/>
  <c r="D94" i="22" s="1"/>
  <c r="G99" i="12"/>
  <c r="E99" i="12" s="1"/>
  <c r="F92" i="22"/>
  <c r="D92" i="22" s="1"/>
  <c r="G97" i="12"/>
  <c r="E97" i="12" s="1"/>
  <c r="F90" i="22"/>
  <c r="D90" i="22" s="1"/>
  <c r="F95" i="12"/>
  <c r="E95" i="12" s="1"/>
  <c r="E88" i="22"/>
  <c r="D88" i="22" s="1"/>
  <c r="G93" i="12"/>
  <c r="E93" i="12" s="1"/>
  <c r="F86" i="22"/>
  <c r="D86" i="22" s="1"/>
  <c r="G91" i="12"/>
  <c r="F84" i="22"/>
  <c r="D84" i="22" s="1"/>
  <c r="E94" i="12"/>
  <c r="F104" i="12"/>
  <c r="E91" i="12"/>
  <c r="G104" i="12"/>
  <c r="GX6" i="13"/>
  <c r="W6" i="13"/>
  <c r="K14" i="12" l="1"/>
  <c r="J11" i="22"/>
  <c r="H66" i="12"/>
  <c r="E66" i="12" s="1"/>
  <c r="G61" i="22"/>
  <c r="D61" i="22" s="1"/>
  <c r="E104" i="12"/>
  <c r="BO5696" i="13"/>
  <c r="DX6" i="13" l="1"/>
  <c r="C5692" i="13"/>
  <c r="ED6" i="13"/>
  <c r="K35" i="12" l="1"/>
  <c r="J32" i="22"/>
  <c r="K34" i="12"/>
  <c r="J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E49" i="22" s="1"/>
  <c r="J52" i="12" l="1"/>
  <c r="I49" i="22"/>
  <c r="AR5560" i="13"/>
  <c r="P5560" i="13"/>
  <c r="AK6" i="13" l="1"/>
  <c r="HB6" i="13"/>
  <c r="HM5560" i="13"/>
  <c r="HY5560" i="13"/>
  <c r="FM6" i="13"/>
  <c r="C6" i="21"/>
  <c r="H18" i="12" l="1"/>
  <c r="E18" i="12" s="1"/>
  <c r="G15" i="22"/>
  <c r="D15" i="22" s="1"/>
  <c r="F47" i="12"/>
  <c r="E44" i="22"/>
  <c r="F68" i="12"/>
  <c r="E68" i="12" s="1"/>
  <c r="E63" i="22"/>
  <c r="D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I41" i="22"/>
  <c r="D41" i="22" s="1"/>
  <c r="J55" i="12"/>
  <c r="E55" i="12" s="1"/>
  <c r="I52" i="22"/>
  <c r="D52" i="22" s="1"/>
  <c r="J53" i="12"/>
  <c r="I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J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I46" i="22"/>
  <c r="D46" i="22" s="1"/>
  <c r="J47" i="12"/>
  <c r="E47" i="12" s="1"/>
  <c r="I44" i="22"/>
  <c r="D44" i="22" s="1"/>
  <c r="J48" i="12"/>
  <c r="E48" i="12" s="1"/>
  <c r="I45" i="22"/>
  <c r="D45" i="22" s="1"/>
  <c r="J56" i="12"/>
  <c r="E56" i="12" s="1"/>
  <c r="I53" i="22"/>
  <c r="D53" i="22" s="1"/>
  <c r="CU6" i="13"/>
  <c r="J29" i="12" l="1"/>
  <c r="I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H33" i="22" s="1"/>
  <c r="AJ6" i="13"/>
  <c r="J14" i="22" s="1"/>
  <c r="K17" i="12" l="1"/>
  <c r="I36" i="12"/>
  <c r="DS4920" i="13"/>
  <c r="DN4920" i="13"/>
  <c r="CY4924" i="13"/>
  <c r="CG4924" i="13"/>
  <c r="C4920" i="13" l="1"/>
  <c r="F7" i="12"/>
  <c r="CD6" i="13" l="1"/>
  <c r="J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I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I51" i="22" s="1"/>
  <c r="FW6" i="13"/>
  <c r="I48" i="22" s="1"/>
  <c r="FU6" i="13"/>
  <c r="F48" i="22" s="1"/>
  <c r="FL6" i="13"/>
  <c r="I43" i="22" s="1"/>
  <c r="FH6" i="13"/>
  <c r="I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I37" i="22" s="1"/>
  <c r="D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I40" i="22" s="1"/>
  <c r="EQ6" i="13"/>
  <c r="I35" i="22" s="1"/>
  <c r="EU6" i="13"/>
  <c r="I36" i="22" s="1"/>
  <c r="EM6" i="13"/>
  <c r="I34" i="22" s="1"/>
  <c r="EI6" i="13"/>
  <c r="I33" i="22" s="1"/>
  <c r="J36" i="12" l="1"/>
  <c r="J39" i="12"/>
  <c r="J43" i="12"/>
  <c r="J37" i="12"/>
  <c r="J38" i="12"/>
  <c r="EP4424" i="13"/>
  <c r="R6" i="13" l="1"/>
  <c r="J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I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J5" i="22" s="1"/>
  <c r="D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G8" i="22" s="1"/>
  <c r="FG6" i="13"/>
  <c r="G42" i="22" s="1"/>
  <c r="H45" i="12" l="1"/>
  <c r="H11" i="12"/>
  <c r="C3328" i="13"/>
  <c r="AW3350" i="13" l="1"/>
  <c r="C3320" i="13" l="1"/>
  <c r="C3302" i="13" l="1"/>
  <c r="FS6" i="13" l="1"/>
  <c r="G47" i="22" s="1"/>
  <c r="H50" i="12" l="1"/>
  <c r="C3161" i="13"/>
  <c r="GN6" i="13" l="1"/>
  <c r="C3228" i="13" l="1"/>
  <c r="C3235" i="13"/>
  <c r="AN3253" i="13" l="1"/>
  <c r="HD6" i="13" l="1"/>
  <c r="G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J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I25" i="22" s="1"/>
  <c r="CI6" i="13"/>
  <c r="I24" i="22" s="1"/>
  <c r="BW6" i="13"/>
  <c r="I22" i="22" s="1"/>
  <c r="BK6" i="13"/>
  <c r="I20" i="22" s="1"/>
  <c r="BE6" i="13"/>
  <c r="I19" i="22" s="1"/>
  <c r="AX6" i="13"/>
  <c r="H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J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G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J62" i="22" s="1"/>
  <c r="K67" i="12" l="1"/>
  <c r="DS2738" i="13"/>
  <c r="C2716" i="13" l="1"/>
  <c r="C2710" i="13" l="1"/>
  <c r="C2584" i="13" l="1"/>
  <c r="C2669" i="13" l="1"/>
  <c r="EP6" i="13" l="1"/>
  <c r="G35" i="22" s="1"/>
  <c r="H38" i="12" l="1"/>
  <c r="HI6" i="13"/>
  <c r="J66" i="22" s="1"/>
  <c r="K71" i="12" l="1"/>
  <c r="K89" i="12" s="1"/>
  <c r="BI2618" i="13"/>
  <c r="HJ6" i="13" l="1"/>
  <c r="G67" i="22" s="1"/>
  <c r="D67" i="22" s="1"/>
  <c r="H72" i="12" l="1"/>
  <c r="E72" i="12" s="1"/>
  <c r="C2600" i="13"/>
  <c r="BI2580" i="13" l="1"/>
  <c r="C2578" i="13"/>
  <c r="GZ2436" i="13" l="1"/>
  <c r="C2436" i="13" s="1"/>
  <c r="P6" i="13" l="1"/>
  <c r="G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54" i="22" s="1"/>
  <c r="GW6" i="13"/>
  <c r="G60" i="22" s="1"/>
  <c r="GO6" i="13"/>
  <c r="G56" i="22" s="1"/>
  <c r="D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J4" i="22" s="1"/>
  <c r="D4" i="22" s="1"/>
  <c r="K5" i="12" l="1"/>
  <c r="E5" i="12" s="1"/>
  <c r="CM2458" i="13"/>
  <c r="CG2458" i="13"/>
  <c r="N6" i="13" l="1"/>
  <c r="E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G77" i="22" s="1"/>
  <c r="D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G43" i="22" s="1"/>
  <c r="HV6" i="13"/>
  <c r="G74" i="22" s="1"/>
  <c r="H79" i="12" l="1"/>
  <c r="H46" i="12"/>
  <c r="HH6" i="13"/>
  <c r="G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G7" i="22" s="1"/>
  <c r="D7" i="22" s="1"/>
  <c r="HX6" i="13"/>
  <c r="G75" i="22" s="1"/>
  <c r="GT6" i="13"/>
  <c r="J6" i="13"/>
  <c r="H6" i="13"/>
  <c r="G6" i="22" s="1"/>
  <c r="D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G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G33" i="22" s="1"/>
  <c r="HF6" i="13"/>
  <c r="G65" i="22" s="1"/>
  <c r="HM6" i="13"/>
  <c r="G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G48" i="22" s="1"/>
  <c r="D48" i="22" s="1"/>
  <c r="AC6" i="13"/>
  <c r="G13" i="22" s="1"/>
  <c r="Z6" i="13"/>
  <c r="G12" i="22" s="1"/>
  <c r="H15" i="12" l="1"/>
  <c r="H51" i="12"/>
  <c r="H16" i="12"/>
  <c r="AR1836" i="13"/>
  <c r="C1836" i="13" s="1"/>
  <c r="C1522" i="13" l="1"/>
  <c r="EA6" i="13" l="1"/>
  <c r="G32" i="22" s="1"/>
  <c r="H35" i="12" l="1"/>
  <c r="C1812" i="13"/>
  <c r="C1714" i="13" l="1"/>
  <c r="GZ6" i="13" l="1"/>
  <c r="G62" i="22" s="1"/>
  <c r="H67" i="12" l="1"/>
  <c r="DE6" i="13"/>
  <c r="G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J49" i="22" s="1"/>
  <c r="D49" i="22" s="1"/>
  <c r="EX6" i="13"/>
  <c r="K52" i="12" l="1"/>
  <c r="CW1652" i="13"/>
  <c r="BM1652" i="13"/>
  <c r="C1652" i="13" l="1"/>
  <c r="ET6" i="13"/>
  <c r="G36" i="22" s="1"/>
  <c r="EW6" i="13"/>
  <c r="F38" i="22" s="1"/>
  <c r="D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G30" i="22" s="1"/>
  <c r="DK6" i="13"/>
  <c r="G29" i="22" s="1"/>
  <c r="H33" i="12" l="1"/>
  <c r="H32" i="12"/>
  <c r="AR1544" i="13"/>
  <c r="C1544" i="13" s="1"/>
  <c r="GU6" i="13" l="1"/>
  <c r="FC6" i="13"/>
  <c r="G40" i="22" s="1"/>
  <c r="HT6" i="13"/>
  <c r="G73" i="22" s="1"/>
  <c r="D73" i="22" s="1"/>
  <c r="H64" i="12" l="1"/>
  <c r="E64" i="12" s="1"/>
  <c r="G59" i="22"/>
  <c r="D59" i="22" s="1"/>
  <c r="H43" i="12"/>
  <c r="H78" i="12"/>
  <c r="E78" i="12" s="1"/>
  <c r="HP1490" i="13"/>
  <c r="C1490" i="13" s="1"/>
  <c r="AR6" i="13" l="1"/>
  <c r="G17" i="22" s="1"/>
  <c r="GQ6" i="13"/>
  <c r="G57" i="22" s="1"/>
  <c r="S6" i="13"/>
  <c r="G10" i="22" s="1"/>
  <c r="D10" i="22" s="1"/>
  <c r="GB6" i="13"/>
  <c r="G50" i="22" s="1"/>
  <c r="IE6" i="13"/>
  <c r="G79" i="22" s="1"/>
  <c r="GM6" i="13"/>
  <c r="G55" i="22" s="1"/>
  <c r="EZ6" i="13"/>
  <c r="G39" i="22" s="1"/>
  <c r="EL6" i="13"/>
  <c r="G34" i="22" s="1"/>
  <c r="AN6" i="13"/>
  <c r="G16" i="22" s="1"/>
  <c r="GS6" i="13"/>
  <c r="DU6" i="13"/>
  <c r="G31" i="22" s="1"/>
  <c r="V6" i="13"/>
  <c r="G11" i="22" s="1"/>
  <c r="H63" i="12" l="1"/>
  <c r="G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J2" i="22" s="1"/>
  <c r="D2" i="22" s="1"/>
  <c r="E6" i="13"/>
  <c r="J3" i="22" s="1"/>
  <c r="D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G27" i="22" s="1"/>
  <c r="CS6" i="13"/>
  <c r="G26" i="22" s="1"/>
  <c r="CG6" i="13"/>
  <c r="G24" i="22" s="1"/>
  <c r="CA6" i="13"/>
  <c r="G23" i="22" s="1"/>
  <c r="BU6" i="13"/>
  <c r="G22" i="22" s="1"/>
  <c r="BO6" i="13"/>
  <c r="G21" i="22" s="1"/>
  <c r="BI6" i="13"/>
  <c r="G20" i="22" s="1"/>
  <c r="BC6" i="13"/>
  <c r="G19" i="22" s="1"/>
  <c r="AW6" i="13"/>
  <c r="G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H25" i="22" s="1"/>
  <c r="CH6" i="13"/>
  <c r="H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H29" i="22" s="1"/>
  <c r="AE950" i="13"/>
  <c r="I32" i="12" l="1"/>
  <c r="C1010" i="13"/>
  <c r="BS876" i="13"/>
  <c r="BM876" i="13"/>
  <c r="BA876" i="13"/>
  <c r="CK800" i="13"/>
  <c r="BS814" i="13"/>
  <c r="FA6" i="13" l="1"/>
  <c r="E40" i="22" s="1"/>
  <c r="F43" i="12" l="1"/>
  <c r="X6" i="13"/>
  <c r="E12" i="22" s="1"/>
  <c r="ER6" i="13"/>
  <c r="E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E58" i="22" s="1"/>
  <c r="D58" i="22" s="1"/>
  <c r="AA6" i="13"/>
  <c r="E13" i="22" s="1"/>
  <c r="F63" i="12" l="1"/>
  <c r="E63" i="12" s="1"/>
  <c r="F16" i="12"/>
  <c r="CW8" i="13"/>
  <c r="BJ6" i="13" l="1"/>
  <c r="H20" i="22" s="1"/>
  <c r="BD6" i="13"/>
  <c r="AV399" i="13"/>
  <c r="I23" i="12" l="1"/>
  <c r="CR395" i="13"/>
  <c r="BN395" i="13"/>
  <c r="CB6" i="13" l="1"/>
  <c r="H23" i="22" s="1"/>
  <c r="BV6" i="13"/>
  <c r="H22" i="22" s="1"/>
  <c r="BP6" i="13"/>
  <c r="H21" i="22" s="1"/>
  <c r="I25" i="12" l="1"/>
  <c r="I24" i="12"/>
  <c r="I26" i="12"/>
  <c r="CC8" i="13"/>
  <c r="HG316" i="13" l="1"/>
  <c r="GL316" i="13"/>
  <c r="IH6" i="13"/>
  <c r="E82" i="22" s="1"/>
  <c r="D82" i="22" s="1"/>
  <c r="F87" i="12" l="1"/>
  <c r="E87" i="12" s="1"/>
  <c r="CE215" i="13"/>
  <c r="CX200" i="13"/>
  <c r="GJ6" i="13" l="1"/>
  <c r="E54" i="22" s="1"/>
  <c r="D54" i="22" s="1"/>
  <c r="BM127" i="13"/>
  <c r="GL6" i="13"/>
  <c r="E55" i="22" s="1"/>
  <c r="D55" i="22" s="1"/>
  <c r="EC6" i="13"/>
  <c r="I32" i="22" s="1"/>
  <c r="CE82" i="13"/>
  <c r="F60" i="12" l="1"/>
  <c r="E60" i="12" s="1"/>
  <c r="J35" i="12"/>
  <c r="F59" i="12"/>
  <c r="IG6" i="13"/>
  <c r="E81" i="22" s="1"/>
  <c r="D81" i="22" s="1"/>
  <c r="IF6" i="13"/>
  <c r="E80" i="22" s="1"/>
  <c r="D80" i="22" s="1"/>
  <c r="ID6" i="13"/>
  <c r="E79" i="22" s="1"/>
  <c r="D79" i="22" s="1"/>
  <c r="IB6" i="13"/>
  <c r="E78" i="22" s="1"/>
  <c r="D78" i="22" s="1"/>
  <c r="HZ6" i="13"/>
  <c r="HY6" i="13"/>
  <c r="E76" i="22" s="1"/>
  <c r="D76" i="22" s="1"/>
  <c r="HW6" i="13"/>
  <c r="E75" i="22" s="1"/>
  <c r="D75" i="22" s="1"/>
  <c r="HU6" i="13"/>
  <c r="E74" i="22" s="1"/>
  <c r="D74" i="22" s="1"/>
  <c r="HS6" i="13"/>
  <c r="E72" i="22" s="1"/>
  <c r="D72" i="22" s="1"/>
  <c r="HR6" i="13"/>
  <c r="G71" i="22" s="1"/>
  <c r="HQ6" i="13"/>
  <c r="E71" i="22" s="1"/>
  <c r="D71" i="22" s="1"/>
  <c r="HP6" i="13"/>
  <c r="G70" i="22" s="1"/>
  <c r="HO6" i="13"/>
  <c r="E70" i="22" s="1"/>
  <c r="D70" i="22" s="1"/>
  <c r="HL6" i="13"/>
  <c r="E69" i="22" s="1"/>
  <c r="D69" i="22" s="1"/>
  <c r="HK6" i="13"/>
  <c r="E68" i="22" s="1"/>
  <c r="D68" i="22" s="1"/>
  <c r="HG6" i="13"/>
  <c r="E66" i="22" s="1"/>
  <c r="D66" i="22" s="1"/>
  <c r="HE6" i="13"/>
  <c r="E65" i="22" s="1"/>
  <c r="D65" i="22" s="1"/>
  <c r="HC6" i="13"/>
  <c r="E64" i="22" s="1"/>
  <c r="D64" i="22" s="1"/>
  <c r="GY6" i="13"/>
  <c r="E62" i="22" s="1"/>
  <c r="D62" i="22" s="1"/>
  <c r="GV6" i="13"/>
  <c r="E60" i="22" s="1"/>
  <c r="D60" i="22" s="1"/>
  <c r="GE6" i="13"/>
  <c r="F51" i="22" s="1"/>
  <c r="D51" i="22" s="1"/>
  <c r="GA6" i="13"/>
  <c r="F50" i="22" s="1"/>
  <c r="D50" i="22" s="1"/>
  <c r="F52" i="12"/>
  <c r="G51" i="12"/>
  <c r="E51" i="12" s="1"/>
  <c r="FR6" i="13"/>
  <c r="F47" i="22" s="1"/>
  <c r="FQ6" i="13"/>
  <c r="E47" i="22" s="1"/>
  <c r="D47" i="22" s="1"/>
  <c r="FJ6" i="13"/>
  <c r="F43" i="22" s="1"/>
  <c r="D43" i="22" s="1"/>
  <c r="FF6" i="13"/>
  <c r="F42" i="22" s="1"/>
  <c r="D42" i="22" s="1"/>
  <c r="FB6" i="13"/>
  <c r="F40" i="22" s="1"/>
  <c r="D40" i="22" s="1"/>
  <c r="EY6" i="13"/>
  <c r="F39" i="22" s="1"/>
  <c r="D39" i="22" s="1"/>
  <c r="G41" i="12"/>
  <c r="E41" i="12" s="1"/>
  <c r="ES6" i="13"/>
  <c r="F36" i="22" s="1"/>
  <c r="D36" i="22" s="1"/>
  <c r="EO6" i="13"/>
  <c r="F35" i="22" s="1"/>
  <c r="EN6" i="13"/>
  <c r="E35" i="22" s="1"/>
  <c r="D35" i="22" s="1"/>
  <c r="EK6" i="13"/>
  <c r="F34" i="22" s="1"/>
  <c r="EJ6" i="13"/>
  <c r="E34" i="22" s="1"/>
  <c r="D34" i="22" s="1"/>
  <c r="EF6" i="13"/>
  <c r="F33" i="22" s="1"/>
  <c r="EE6" i="13"/>
  <c r="E33" i="22" s="1"/>
  <c r="D33" i="22" s="1"/>
  <c r="EB6" i="13"/>
  <c r="H32" i="22" s="1"/>
  <c r="DZ6" i="13"/>
  <c r="F32" i="22" s="1"/>
  <c r="DY6" i="13"/>
  <c r="E32" i="22" s="1"/>
  <c r="D32" i="22" s="1"/>
  <c r="DW6" i="13"/>
  <c r="I31" i="22" s="1"/>
  <c r="DV6" i="13"/>
  <c r="H31" i="22" s="1"/>
  <c r="DT6" i="13"/>
  <c r="F31" i="22" s="1"/>
  <c r="DS6" i="13"/>
  <c r="E31" i="22" s="1"/>
  <c r="D31" i="22" s="1"/>
  <c r="DR6" i="13"/>
  <c r="I30" i="22" s="1"/>
  <c r="DQ6" i="13"/>
  <c r="H30" i="22" s="1"/>
  <c r="DO6" i="13"/>
  <c r="F30" i="22" s="1"/>
  <c r="DN6" i="13"/>
  <c r="E30" i="22" s="1"/>
  <c r="D30" i="22" s="1"/>
  <c r="DM6" i="13"/>
  <c r="I29" i="22" s="1"/>
  <c r="DI6" i="13"/>
  <c r="E29" i="22" s="1"/>
  <c r="DG6" i="13"/>
  <c r="I28" i="22" s="1"/>
  <c r="DF6" i="13"/>
  <c r="H28" i="22" s="1"/>
  <c r="DD6" i="13"/>
  <c r="F28" i="22" s="1"/>
  <c r="DC6" i="13"/>
  <c r="E28" i="22" s="1"/>
  <c r="D28" i="22" s="1"/>
  <c r="DB6" i="13"/>
  <c r="J27" i="22" s="1"/>
  <c r="CZ6" i="13"/>
  <c r="H27" i="22" s="1"/>
  <c r="CX6" i="13"/>
  <c r="F27" i="22" s="1"/>
  <c r="CW6" i="13"/>
  <c r="E27" i="22" s="1"/>
  <c r="D27" i="22" s="1"/>
  <c r="CV6" i="13"/>
  <c r="J26" i="22" s="1"/>
  <c r="CT6" i="13"/>
  <c r="H26" i="22" s="1"/>
  <c r="CR6" i="13"/>
  <c r="F26" i="22" s="1"/>
  <c r="CQ6" i="13"/>
  <c r="E26" i="22" s="1"/>
  <c r="D26" i="22" s="1"/>
  <c r="CP6" i="13"/>
  <c r="J25" i="22" s="1"/>
  <c r="CM6" i="13"/>
  <c r="G25" i="22" s="1"/>
  <c r="CL6" i="13"/>
  <c r="F25" i="22" s="1"/>
  <c r="CK6" i="13"/>
  <c r="E25" i="22" s="1"/>
  <c r="CJ6" i="13"/>
  <c r="J24" i="22" s="1"/>
  <c r="CF6" i="13"/>
  <c r="F24" i="22" s="1"/>
  <c r="CE6" i="13"/>
  <c r="E24" i="22" s="1"/>
  <c r="D24" i="22" s="1"/>
  <c r="CC6" i="13"/>
  <c r="I23" i="22" s="1"/>
  <c r="BZ6" i="13"/>
  <c r="F23" i="22" s="1"/>
  <c r="BY6" i="13"/>
  <c r="E23" i="22" s="1"/>
  <c r="D23" i="22" s="1"/>
  <c r="BX6" i="13"/>
  <c r="J22" i="22" s="1"/>
  <c r="BT6" i="13"/>
  <c r="F22" i="22" s="1"/>
  <c r="BS6" i="13"/>
  <c r="E22" i="22" s="1"/>
  <c r="D22" i="22" s="1"/>
  <c r="BR6" i="13"/>
  <c r="J21" i="22" s="1"/>
  <c r="BN6" i="13"/>
  <c r="F21" i="22" s="1"/>
  <c r="BM6" i="13"/>
  <c r="E21" i="22" s="1"/>
  <c r="D21" i="22" s="1"/>
  <c r="BL6" i="13"/>
  <c r="J20" i="22" s="1"/>
  <c r="BH6" i="13"/>
  <c r="F20" i="22" s="1"/>
  <c r="BG6" i="13"/>
  <c r="E20" i="22" s="1"/>
  <c r="D20" i="22" s="1"/>
  <c r="BF6" i="13"/>
  <c r="J19" i="22" s="1"/>
  <c r="BB6" i="13"/>
  <c r="F19" i="22" s="1"/>
  <c r="BA6" i="13"/>
  <c r="E19" i="22" s="1"/>
  <c r="D19" i="22" s="1"/>
  <c r="AZ6" i="13"/>
  <c r="J18" i="22" s="1"/>
  <c r="AV6" i="13"/>
  <c r="F18" i="22" s="1"/>
  <c r="AU6" i="13"/>
  <c r="E18" i="22" s="1"/>
  <c r="D18" i="22" s="1"/>
  <c r="AT6" i="13"/>
  <c r="I17" i="22" s="1"/>
  <c r="AS6" i="13"/>
  <c r="H17" i="22" s="1"/>
  <c r="AQ6" i="13"/>
  <c r="F17" i="22" s="1"/>
  <c r="AP6" i="13"/>
  <c r="E17" i="22" s="1"/>
  <c r="D17" i="22" s="1"/>
  <c r="AO6" i="13"/>
  <c r="I16" i="22" s="1"/>
  <c r="AM6" i="13"/>
  <c r="F16" i="22" s="1"/>
  <c r="AL6" i="13"/>
  <c r="E16" i="22" s="1"/>
  <c r="D16" i="22" s="1"/>
  <c r="AI6" i="13"/>
  <c r="I14" i="22" s="1"/>
  <c r="AH6" i="13"/>
  <c r="H14" i="22" s="1"/>
  <c r="AF6" i="13"/>
  <c r="F14" i="22" s="1"/>
  <c r="AE6" i="13"/>
  <c r="E14" i="22" s="1"/>
  <c r="AD6" i="13"/>
  <c r="J13" i="22" s="1"/>
  <c r="AB6" i="13"/>
  <c r="F13" i="22" s="1"/>
  <c r="D13" i="22" s="1"/>
  <c r="Y6" i="13"/>
  <c r="F12" i="22" s="1"/>
  <c r="D12" i="22" s="1"/>
  <c r="U6" i="13"/>
  <c r="F11" i="22" s="1"/>
  <c r="T6" i="13"/>
  <c r="E11" i="22" s="1"/>
  <c r="D11" i="22" s="1"/>
  <c r="Q6" i="13"/>
  <c r="I9" i="22" s="1"/>
  <c r="O6" i="13"/>
  <c r="F9" i="22" s="1"/>
  <c r="D9" i="22" s="1"/>
  <c r="L6" i="13"/>
  <c r="F8" i="22" s="1"/>
  <c r="D8" i="22" s="1"/>
  <c r="K6" i="13"/>
  <c r="D25" i="22" l="1"/>
  <c r="D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E57" i="22" s="1"/>
  <c r="D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F29" i="22"/>
  <c r="D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<sst xmlns="http://schemas.openxmlformats.org/spreadsheetml/2006/main" count="7273" uniqueCount="242">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</sst>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2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12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  <c r="V1" s="380"/>
      <c r="W1" s="380"/>
      <c r="X1" s="380"/>
      <c r="Y1" s="380"/>
      <c r="Z1" s="380"/>
      <c r="AA1" s="380"/>
      <c r="AB1" s="380"/>
      <c r="AC1" s="380"/>
    </row>
    <row r="2" spans="1:29" x14ac:dyDescent="0.25">
      <c r="A2" s="381"/>
      <c r="B2" s="378"/>
      <c r="C2" s="378"/>
      <c r="D2" s="378"/>
      <c r="E2" s="378"/>
      <c r="F2" s="378"/>
      <c r="G2" s="378"/>
      <c r="H2" s="378"/>
      <c r="I2" s="378"/>
      <c r="J2" s="378"/>
      <c r="K2" s="378"/>
      <c r="L2" s="378"/>
      <c r="M2" s="378"/>
      <c r="N2" s="378"/>
      <c r="O2" s="378"/>
      <c r="P2" s="378"/>
      <c r="Q2" s="378"/>
      <c r="R2" s="378"/>
      <c r="S2" s="378"/>
      <c r="T2" s="378"/>
      <c r="U2" s="378"/>
      <c r="V2" s="378"/>
      <c r="W2" s="378"/>
      <c r="X2" s="378"/>
      <c r="Y2" s="378"/>
      <c r="Z2" s="378"/>
      <c r="AA2" s="378"/>
      <c r="AB2" s="378"/>
      <c r="AC2" s="378"/>
    </row>
    <row r="3" spans="1:29" x14ac:dyDescent="0.25">
      <c r="A3" s="3">
        <v>1.8</v>
      </c>
      <c r="B3" s="376"/>
      <c r="C3" s="2">
        <v>2.2000000000000002</v>
      </c>
      <c r="D3" s="376"/>
      <c r="E3" s="2">
        <v>2.2999999999999998</v>
      </c>
      <c r="F3" s="376"/>
      <c r="G3" s="2">
        <v>2.4500000000000002</v>
      </c>
      <c r="H3" s="376"/>
      <c r="I3" s="2"/>
      <c r="J3" s="376"/>
      <c r="K3" s="2"/>
      <c r="L3" s="376"/>
      <c r="M3" s="2"/>
      <c r="N3" s="376"/>
      <c r="O3" s="2"/>
      <c r="P3" s="376"/>
      <c r="Q3" s="2"/>
      <c r="R3" s="376"/>
      <c r="S3" s="2"/>
      <c r="T3" s="376"/>
      <c r="U3" s="2"/>
      <c r="V3" s="376"/>
      <c r="W3" s="2"/>
      <c r="X3" s="376"/>
      <c r="Y3" s="2"/>
      <c r="Z3" s="376"/>
      <c r="AA3" s="2"/>
      <c r="AB3" s="378"/>
    </row>
    <row r="4" spans="1:29" ht="6" customHeight="1" x14ac:dyDescent="0.25">
      <c r="A4" s="4"/>
      <c r="B4" s="377"/>
      <c r="C4" s="5"/>
      <c r="D4" s="377"/>
      <c r="E4" s="5"/>
      <c r="F4" s="377"/>
      <c r="G4" s="5"/>
      <c r="H4" s="377"/>
      <c r="I4" s="5"/>
      <c r="J4" s="377"/>
      <c r="K4" s="5"/>
      <c r="L4" s="377"/>
      <c r="M4" s="5"/>
      <c r="N4" s="377"/>
      <c r="O4" s="5"/>
      <c r="P4" s="377"/>
      <c r="Q4" s="5"/>
      <c r="R4" s="377"/>
      <c r="S4" s="5"/>
      <c r="T4" s="377"/>
      <c r="U4" s="5"/>
      <c r="V4" s="377"/>
      <c r="W4" s="5"/>
      <c r="X4" s="377"/>
      <c r="Y4" s="5"/>
      <c r="Z4" s="377"/>
      <c r="AA4" s="5"/>
      <c r="AB4" s="378"/>
    </row>
    <row r="5" spans="1:29" x14ac:dyDescent="0.25">
      <c r="A5" s="6">
        <v>2035.8</v>
      </c>
      <c r="B5" s="377"/>
      <c r="C5" s="7">
        <v>2018.1</v>
      </c>
      <c r="D5" s="377"/>
      <c r="E5" s="7">
        <v>2056.1</v>
      </c>
      <c r="F5" s="377"/>
      <c r="G5" s="7">
        <v>1995.7</v>
      </c>
      <c r="H5" s="377"/>
      <c r="I5" s="7"/>
      <c r="J5" s="377"/>
      <c r="K5" s="7"/>
      <c r="L5" s="377"/>
      <c r="M5" s="7"/>
      <c r="N5" s="377"/>
      <c r="O5" s="7"/>
      <c r="P5" s="377"/>
      <c r="Q5" s="7"/>
      <c r="R5" s="377"/>
      <c r="S5" s="7"/>
      <c r="T5" s="377"/>
      <c r="U5" s="7"/>
      <c r="V5" s="377"/>
      <c r="W5" s="7"/>
      <c r="X5" s="377"/>
      <c r="Y5" s="7"/>
      <c r="Z5" s="377"/>
      <c r="AA5" s="7"/>
      <c r="AB5" s="378"/>
    </row>
    <row r="6" spans="1:29" x14ac:dyDescent="0.25">
      <c r="A6" s="6"/>
      <c r="B6" s="377"/>
      <c r="C6" s="7"/>
      <c r="D6" s="377"/>
      <c r="E6" s="7"/>
      <c r="F6" s="377"/>
      <c r="G6" s="7"/>
      <c r="H6" s="377"/>
      <c r="I6" s="7"/>
      <c r="J6" s="377"/>
      <c r="K6" s="7"/>
      <c r="L6" s="377"/>
      <c r="M6" s="7"/>
      <c r="N6" s="377"/>
      <c r="O6" s="7"/>
      <c r="P6" s="377"/>
      <c r="Q6" s="7"/>
      <c r="R6" s="377"/>
      <c r="S6" s="7"/>
      <c r="T6" s="377"/>
      <c r="U6" s="7"/>
      <c r="V6" s="377"/>
      <c r="W6" s="7"/>
      <c r="X6" s="377"/>
      <c r="Y6" s="7"/>
      <c r="Z6" s="377"/>
      <c r="AA6" s="7"/>
      <c r="AB6" s="378"/>
    </row>
    <row r="7" spans="1:29" x14ac:dyDescent="0.25">
      <c r="A7" s="6"/>
      <c r="B7" s="377"/>
      <c r="C7" s="7"/>
      <c r="D7" s="377"/>
      <c r="E7" s="7"/>
      <c r="F7" s="377"/>
      <c r="G7" s="7"/>
      <c r="H7" s="377"/>
      <c r="I7" s="7"/>
      <c r="J7" s="377"/>
      <c r="K7" s="7"/>
      <c r="L7" s="377"/>
      <c r="M7" s="7"/>
      <c r="N7" s="377"/>
      <c r="O7" s="7"/>
      <c r="P7" s="377"/>
      <c r="Q7" s="7"/>
      <c r="R7" s="377"/>
      <c r="S7" s="7"/>
      <c r="T7" s="377"/>
      <c r="U7" s="7"/>
      <c r="V7" s="377"/>
      <c r="W7" s="7"/>
      <c r="X7" s="377"/>
      <c r="Y7" s="7"/>
      <c r="Z7" s="377"/>
      <c r="AA7" s="7"/>
      <c r="AB7" s="378"/>
    </row>
    <row r="8" spans="1:29" x14ac:dyDescent="0.25">
      <c r="A8" s="6"/>
      <c r="B8" s="377"/>
      <c r="C8" s="7"/>
      <c r="D8" s="377"/>
      <c r="E8" s="7"/>
      <c r="F8" s="377"/>
      <c r="G8" s="7"/>
      <c r="H8" s="377"/>
      <c r="I8" s="7"/>
      <c r="J8" s="377"/>
      <c r="K8" s="7"/>
      <c r="L8" s="377"/>
      <c r="M8" s="7"/>
      <c r="N8" s="377"/>
      <c r="O8" s="7"/>
      <c r="P8" s="377"/>
      <c r="Q8" s="7"/>
      <c r="R8" s="377"/>
      <c r="S8" s="7"/>
      <c r="T8" s="377"/>
      <c r="U8" s="7"/>
      <c r="V8" s="377"/>
      <c r="W8" s="7"/>
      <c r="X8" s="377"/>
      <c r="Y8" s="7"/>
      <c r="Z8" s="377"/>
      <c r="AA8" s="7"/>
      <c r="AB8" s="378"/>
    </row>
    <row r="9" spans="1:29" x14ac:dyDescent="0.25">
      <c r="A9" s="6"/>
      <c r="B9" s="377"/>
      <c r="C9" s="7"/>
      <c r="D9" s="377"/>
      <c r="E9" s="7"/>
      <c r="F9" s="377"/>
      <c r="G9" s="7"/>
      <c r="H9" s="377"/>
      <c r="I9" s="7"/>
      <c r="J9" s="377"/>
      <c r="K9" s="7"/>
      <c r="L9" s="377"/>
      <c r="M9" s="7"/>
      <c r="N9" s="377"/>
      <c r="O9" s="7"/>
      <c r="P9" s="377"/>
      <c r="Q9" s="7"/>
      <c r="R9" s="377"/>
      <c r="S9" s="7"/>
      <c r="T9" s="377"/>
      <c r="U9" s="7"/>
      <c r="V9" s="377"/>
      <c r="W9" s="7"/>
      <c r="X9" s="377"/>
      <c r="Y9" s="7"/>
      <c r="Z9" s="377"/>
      <c r="AA9" s="7"/>
      <c r="AB9" s="378"/>
    </row>
    <row r="10" spans="1:29" x14ac:dyDescent="0.25">
      <c r="A10" s="6"/>
      <c r="B10" s="377"/>
      <c r="C10" s="7"/>
      <c r="D10" s="377"/>
      <c r="E10" s="7"/>
      <c r="F10" s="377"/>
      <c r="G10" s="7"/>
      <c r="H10" s="377"/>
      <c r="I10" s="7"/>
      <c r="J10" s="377"/>
      <c r="K10" s="7"/>
      <c r="L10" s="377"/>
      <c r="M10" s="7"/>
      <c r="N10" s="377"/>
      <c r="O10" s="7"/>
      <c r="P10" s="377"/>
      <c r="Q10" s="7"/>
      <c r="R10" s="377"/>
      <c r="S10" s="7"/>
      <c r="T10" s="377"/>
      <c r="U10" s="7"/>
      <c r="V10" s="377"/>
      <c r="W10" s="7"/>
      <c r="X10" s="377"/>
      <c r="Y10" s="7"/>
      <c r="Z10" s="377"/>
      <c r="AA10" s="7"/>
      <c r="AB10" s="378"/>
    </row>
    <row r="11" spans="1:29" x14ac:dyDescent="0.25">
      <c r="A11" s="6"/>
      <c r="B11" s="377"/>
      <c r="C11" s="7"/>
      <c r="D11" s="377"/>
      <c r="E11" s="7"/>
      <c r="F11" s="377"/>
      <c r="G11" s="7"/>
      <c r="H11" s="377"/>
      <c r="I11" s="7"/>
      <c r="J11" s="377"/>
      <c r="K11" s="7"/>
      <c r="L11" s="377"/>
      <c r="M11" s="7"/>
      <c r="N11" s="377"/>
      <c r="O11" s="7"/>
      <c r="P11" s="377"/>
      <c r="Q11" s="7"/>
      <c r="R11" s="377"/>
      <c r="S11" s="7"/>
      <c r="T11" s="377"/>
      <c r="U11" s="7"/>
      <c r="V11" s="377"/>
      <c r="W11" s="7"/>
      <c r="X11" s="377"/>
      <c r="Y11" s="7"/>
      <c r="Z11" s="377"/>
      <c r="AA11" s="7"/>
      <c r="AB11" s="378"/>
    </row>
    <row r="12" spans="1:29" x14ac:dyDescent="0.25">
      <c r="A12" s="6"/>
      <c r="B12" s="377"/>
      <c r="C12" s="7"/>
      <c r="D12" s="377"/>
      <c r="E12" s="7"/>
      <c r="F12" s="377"/>
      <c r="G12" s="7"/>
      <c r="H12" s="377"/>
      <c r="I12" s="7"/>
      <c r="J12" s="377"/>
      <c r="K12" s="7"/>
      <c r="L12" s="377"/>
      <c r="M12" s="7"/>
      <c r="N12" s="377"/>
      <c r="O12" s="7"/>
      <c r="P12" s="377"/>
      <c r="Q12" s="7"/>
      <c r="R12" s="377"/>
      <c r="S12" s="7"/>
      <c r="T12" s="377"/>
      <c r="U12" s="7"/>
      <c r="V12" s="377"/>
      <c r="W12" s="7"/>
      <c r="X12" s="377"/>
      <c r="Y12" s="7"/>
      <c r="Z12" s="377"/>
      <c r="AA12" s="7"/>
      <c r="AB12" s="378"/>
    </row>
    <row r="13" spans="1:29" x14ac:dyDescent="0.25">
      <c r="A13" s="6"/>
      <c r="B13" s="377"/>
      <c r="C13" s="7"/>
      <c r="D13" s="377"/>
      <c r="E13" s="7"/>
      <c r="F13" s="377"/>
      <c r="G13" s="7"/>
      <c r="H13" s="377"/>
      <c r="I13" s="7"/>
      <c r="J13" s="377"/>
      <c r="K13" s="7"/>
      <c r="L13" s="377"/>
      <c r="M13" s="7"/>
      <c r="N13" s="377"/>
      <c r="O13" s="7"/>
      <c r="P13" s="377"/>
      <c r="Q13" s="7"/>
      <c r="R13" s="377"/>
      <c r="S13" s="7"/>
      <c r="T13" s="377"/>
      <c r="U13" s="7"/>
      <c r="V13" s="377"/>
      <c r="W13" s="7"/>
      <c r="X13" s="377"/>
      <c r="Y13" s="7"/>
      <c r="Z13" s="377"/>
      <c r="AA13" s="7"/>
      <c r="AB13" s="378"/>
    </row>
    <row r="14" spans="1:29" x14ac:dyDescent="0.25">
      <c r="A14" s="6"/>
      <c r="B14" s="377"/>
      <c r="C14" s="7"/>
      <c r="D14" s="377"/>
      <c r="E14" s="7"/>
      <c r="F14" s="377"/>
      <c r="G14" s="7"/>
      <c r="H14" s="377"/>
      <c r="I14" s="7"/>
      <c r="J14" s="377"/>
      <c r="K14" s="7"/>
      <c r="L14" s="377"/>
      <c r="M14" s="7"/>
      <c r="N14" s="377"/>
      <c r="O14" s="7"/>
      <c r="P14" s="377"/>
      <c r="Q14" s="7"/>
      <c r="R14" s="377"/>
      <c r="S14" s="7"/>
      <c r="T14" s="377"/>
      <c r="U14" s="7"/>
      <c r="V14" s="377"/>
      <c r="W14" s="7"/>
      <c r="X14" s="377"/>
      <c r="Y14" s="7"/>
      <c r="Z14" s="377"/>
      <c r="AA14" s="7"/>
      <c r="AB14" s="378"/>
    </row>
    <row r="15" spans="1:29" x14ac:dyDescent="0.25">
      <c r="A15" s="6"/>
      <c r="B15" s="377"/>
      <c r="C15" s="7"/>
      <c r="D15" s="377"/>
      <c r="E15" s="7"/>
      <c r="F15" s="377"/>
      <c r="G15" s="7"/>
      <c r="H15" s="377"/>
      <c r="I15" s="7"/>
      <c r="J15" s="377"/>
      <c r="K15" s="7"/>
      <c r="L15" s="377"/>
      <c r="M15" s="7"/>
      <c r="N15" s="377"/>
      <c r="O15" s="7"/>
      <c r="P15" s="377"/>
      <c r="Q15" s="7"/>
      <c r="R15" s="377"/>
      <c r="S15" s="7"/>
      <c r="T15" s="377"/>
      <c r="U15" s="7"/>
      <c r="V15" s="377"/>
      <c r="W15" s="7"/>
      <c r="X15" s="377"/>
      <c r="Y15" s="7"/>
      <c r="Z15" s="377"/>
      <c r="AA15" s="7"/>
      <c r="AB15" s="378"/>
    </row>
    <row r="16" spans="1:29" x14ac:dyDescent="0.25">
      <c r="A16" s="6"/>
      <c r="B16" s="377"/>
      <c r="C16" s="7"/>
      <c r="D16" s="377"/>
      <c r="E16" s="7"/>
      <c r="F16" s="377"/>
      <c r="G16" s="7"/>
      <c r="H16" s="377"/>
      <c r="I16" s="7"/>
      <c r="J16" s="377"/>
      <c r="K16" s="7"/>
      <c r="L16" s="377"/>
      <c r="M16" s="7"/>
      <c r="N16" s="377"/>
      <c r="O16" s="7"/>
      <c r="P16" s="377"/>
      <c r="Q16" s="7"/>
      <c r="R16" s="377"/>
      <c r="S16" s="7"/>
      <c r="T16" s="377"/>
      <c r="U16" s="7"/>
      <c r="V16" s="377"/>
      <c r="W16" s="7"/>
      <c r="X16" s="377"/>
      <c r="Y16" s="7"/>
      <c r="Z16" s="377"/>
      <c r="AA16" s="7"/>
      <c r="AB16" s="378"/>
    </row>
    <row r="17" spans="1:28" x14ac:dyDescent="0.25">
      <c r="A17" s="6"/>
      <c r="B17" s="377"/>
      <c r="C17" s="7"/>
      <c r="D17" s="377"/>
      <c r="E17" s="7"/>
      <c r="F17" s="377"/>
      <c r="G17" s="7"/>
      <c r="H17" s="377"/>
      <c r="I17" s="7"/>
      <c r="J17" s="377"/>
      <c r="K17" s="7"/>
      <c r="L17" s="377"/>
      <c r="M17" s="7"/>
      <c r="N17" s="377"/>
      <c r="O17" s="7"/>
      <c r="P17" s="377"/>
      <c r="Q17" s="7"/>
      <c r="R17" s="377"/>
      <c r="S17" s="7"/>
      <c r="T17" s="377"/>
      <c r="U17" s="7"/>
      <c r="V17" s="377"/>
      <c r="W17" s="7"/>
      <c r="X17" s="377"/>
      <c r="Y17" s="7"/>
      <c r="Z17" s="377"/>
      <c r="AA17" s="7"/>
      <c r="AB17" s="378"/>
    </row>
    <row r="18" spans="1:28" x14ac:dyDescent="0.25">
      <c r="A18" s="6"/>
      <c r="B18" s="377"/>
      <c r="C18" s="7"/>
      <c r="D18" s="377"/>
      <c r="E18" s="7"/>
      <c r="F18" s="377"/>
      <c r="G18" s="7"/>
      <c r="H18" s="377"/>
      <c r="I18" s="7"/>
      <c r="J18" s="377"/>
      <c r="K18" s="7"/>
      <c r="L18" s="377"/>
      <c r="M18" s="7"/>
      <c r="N18" s="377"/>
      <c r="O18" s="7"/>
      <c r="P18" s="377"/>
      <c r="Q18" s="7"/>
      <c r="R18" s="377"/>
      <c r="S18" s="7"/>
      <c r="T18" s="377"/>
      <c r="U18" s="7"/>
      <c r="V18" s="377"/>
      <c r="W18" s="7"/>
      <c r="X18" s="377"/>
      <c r="Y18" s="7"/>
      <c r="Z18" s="377"/>
      <c r="AA18" s="7"/>
      <c r="AB18" s="378"/>
    </row>
    <row r="19" spans="1:28" x14ac:dyDescent="0.25">
      <c r="A19" s="6"/>
      <c r="B19" s="377"/>
      <c r="C19" s="7"/>
      <c r="D19" s="377"/>
      <c r="E19" s="7"/>
      <c r="F19" s="377"/>
      <c r="G19" s="7"/>
      <c r="H19" s="377"/>
      <c r="I19" s="7"/>
      <c r="J19" s="377"/>
      <c r="K19" s="7"/>
      <c r="L19" s="377"/>
      <c r="M19" s="7"/>
      <c r="N19" s="377"/>
      <c r="O19" s="7"/>
      <c r="P19" s="377"/>
      <c r="Q19" s="7"/>
      <c r="R19" s="377"/>
      <c r="S19" s="7"/>
      <c r="T19" s="377"/>
      <c r="U19" s="7"/>
      <c r="V19" s="377"/>
      <c r="W19" s="7"/>
      <c r="X19" s="377"/>
      <c r="Y19" s="7"/>
      <c r="Z19" s="377"/>
      <c r="AA19" s="7"/>
      <c r="AB19" s="378"/>
    </row>
    <row r="20" spans="1:28" x14ac:dyDescent="0.25">
      <c r="A20" s="6"/>
      <c r="B20" s="377"/>
      <c r="C20" s="7"/>
      <c r="D20" s="377"/>
      <c r="E20" s="7"/>
      <c r="F20" s="377"/>
      <c r="G20" s="7"/>
      <c r="H20" s="377"/>
      <c r="I20" s="7"/>
      <c r="J20" s="377"/>
      <c r="K20" s="7"/>
      <c r="L20" s="377"/>
      <c r="M20" s="7"/>
      <c r="N20" s="377"/>
      <c r="O20" s="7"/>
      <c r="P20" s="377"/>
      <c r="Q20" s="7"/>
      <c r="R20" s="377"/>
      <c r="S20" s="7"/>
      <c r="T20" s="377"/>
      <c r="U20" s="7"/>
      <c r="V20" s="377"/>
      <c r="W20" s="7"/>
      <c r="X20" s="377"/>
      <c r="Y20" s="7"/>
      <c r="Z20" s="377"/>
      <c r="AA20" s="7"/>
      <c r="AB20" s="378"/>
    </row>
    <row r="21" spans="1:28" ht="15.75" customHeight="1" x14ac:dyDescent="0.25">
      <c r="A21" s="6"/>
      <c r="B21" s="377"/>
      <c r="C21" s="7"/>
      <c r="D21" s="377"/>
      <c r="E21" s="7"/>
      <c r="F21" s="377"/>
      <c r="G21" s="7"/>
      <c r="H21" s="377"/>
      <c r="I21" s="7"/>
      <c r="J21" s="377"/>
      <c r="K21" s="7"/>
      <c r="L21" s="377"/>
      <c r="M21" s="7"/>
      <c r="N21" s="377"/>
      <c r="O21" s="7"/>
      <c r="P21" s="377"/>
      <c r="Q21" s="7"/>
      <c r="R21" s="377"/>
      <c r="S21" s="7"/>
      <c r="T21" s="377"/>
      <c r="U21" s="7"/>
      <c r="V21" s="377"/>
      <c r="W21" s="7"/>
      <c r="X21" s="377"/>
      <c r="Y21" s="7"/>
      <c r="Z21" s="377"/>
      <c r="AA21" s="7"/>
      <c r="AB21" s="378"/>
    </row>
    <row r="22" spans="1:28" ht="15.75" customHeight="1" x14ac:dyDescent="0.25">
      <c r="A22" s="6"/>
      <c r="B22" s="377"/>
      <c r="C22" s="7"/>
      <c r="D22" s="377"/>
      <c r="E22" s="7"/>
      <c r="F22" s="377"/>
      <c r="G22" s="7"/>
      <c r="H22" s="377"/>
      <c r="I22" s="7"/>
      <c r="J22" s="377"/>
      <c r="K22" s="7"/>
      <c r="L22" s="377"/>
      <c r="M22" s="7"/>
      <c r="N22" s="377"/>
      <c r="O22" s="7"/>
      <c r="P22" s="377"/>
      <c r="Q22" s="7"/>
      <c r="R22" s="377"/>
      <c r="S22" s="7"/>
      <c r="T22" s="377"/>
      <c r="U22" s="7"/>
      <c r="V22" s="377"/>
      <c r="W22" s="7"/>
      <c r="X22" s="377"/>
      <c r="Y22" s="7"/>
      <c r="Z22" s="377"/>
      <c r="AA22" s="7"/>
      <c r="AB22" s="378"/>
    </row>
    <row r="23" spans="1:28" ht="15.75" customHeight="1" x14ac:dyDescent="0.25">
      <c r="A23" s="6"/>
      <c r="B23" s="377"/>
      <c r="C23" s="7"/>
      <c r="D23" s="377"/>
      <c r="E23" s="7"/>
      <c r="F23" s="377"/>
      <c r="G23" s="7"/>
      <c r="H23" s="377"/>
      <c r="I23" s="7"/>
      <c r="J23" s="377"/>
      <c r="K23" s="7"/>
      <c r="L23" s="377"/>
      <c r="M23" s="7"/>
      <c r="N23" s="377"/>
      <c r="O23" s="7"/>
      <c r="P23" s="377"/>
      <c r="Q23" s="7"/>
      <c r="R23" s="377"/>
      <c r="S23" s="7"/>
      <c r="T23" s="377"/>
      <c r="U23" s="7"/>
      <c r="V23" s="377"/>
      <c r="W23" s="7"/>
      <c r="X23" s="377"/>
      <c r="Y23" s="7"/>
      <c r="Z23" s="377"/>
      <c r="AA23" s="7"/>
      <c r="AB23" s="378"/>
    </row>
    <row r="24" spans="1:28" ht="15.75" customHeight="1" x14ac:dyDescent="0.25">
      <c r="A24" s="6"/>
      <c r="B24" s="377"/>
      <c r="C24" s="7"/>
      <c r="D24" s="377"/>
      <c r="E24" s="7"/>
      <c r="F24" s="377"/>
      <c r="G24" s="7"/>
      <c r="H24" s="377"/>
      <c r="I24" s="7"/>
      <c r="J24" s="377"/>
      <c r="K24" s="7"/>
      <c r="L24" s="377"/>
      <c r="M24" s="7"/>
      <c r="N24" s="377"/>
      <c r="O24" s="7"/>
      <c r="P24" s="377"/>
      <c r="Q24" s="7"/>
      <c r="R24" s="377"/>
      <c r="S24" s="7"/>
      <c r="T24" s="377"/>
      <c r="U24" s="7"/>
      <c r="V24" s="377"/>
      <c r="W24" s="7"/>
      <c r="X24" s="377"/>
      <c r="Y24" s="7"/>
      <c r="Z24" s="377"/>
      <c r="AA24" s="7"/>
      <c r="AB24" s="378"/>
    </row>
    <row r="25" spans="1:28" ht="15.75" customHeight="1" x14ac:dyDescent="0.25">
      <c r="A25" s="6"/>
      <c r="B25" s="377"/>
      <c r="C25" s="7"/>
      <c r="D25" s="377"/>
      <c r="E25" s="7"/>
      <c r="F25" s="377"/>
      <c r="G25" s="7"/>
      <c r="H25" s="377"/>
      <c r="I25" s="7"/>
      <c r="J25" s="377"/>
      <c r="K25" s="7"/>
      <c r="L25" s="377"/>
      <c r="M25" s="7"/>
      <c r="N25" s="377"/>
      <c r="O25" s="7"/>
      <c r="P25" s="377"/>
      <c r="Q25" s="7"/>
      <c r="R25" s="377"/>
      <c r="S25" s="7"/>
      <c r="T25" s="377"/>
      <c r="U25" s="7"/>
      <c r="V25" s="377"/>
      <c r="W25" s="7"/>
      <c r="X25" s="377"/>
      <c r="Y25" s="7"/>
      <c r="Z25" s="377"/>
      <c r="AA25" s="7"/>
      <c r="AB25" s="378"/>
    </row>
    <row r="26" spans="1:28" ht="15.75" customHeight="1" x14ac:dyDescent="0.25">
      <c r="A26" s="6"/>
      <c r="B26" s="377"/>
      <c r="C26" s="7"/>
      <c r="D26" s="377"/>
      <c r="E26" s="7"/>
      <c r="F26" s="377"/>
      <c r="G26" s="7"/>
      <c r="H26" s="377"/>
      <c r="I26" s="7"/>
      <c r="J26" s="377"/>
      <c r="K26" s="7"/>
      <c r="L26" s="377"/>
      <c r="M26" s="7"/>
      <c r="N26" s="377"/>
      <c r="O26" s="7"/>
      <c r="P26" s="377"/>
      <c r="Q26" s="7"/>
      <c r="R26" s="377"/>
      <c r="S26" s="7"/>
      <c r="T26" s="377"/>
      <c r="U26" s="7"/>
      <c r="V26" s="377"/>
      <c r="W26" s="7"/>
      <c r="X26" s="377"/>
      <c r="Y26" s="7"/>
      <c r="Z26" s="377"/>
      <c r="AA26" s="7"/>
      <c r="AB26" s="378"/>
    </row>
    <row r="27" spans="1:28" ht="15.75" customHeight="1" x14ac:dyDescent="0.25">
      <c r="A27" s="6"/>
      <c r="B27" s="377"/>
      <c r="C27" s="7"/>
      <c r="D27" s="377"/>
      <c r="E27" s="7"/>
      <c r="F27" s="377"/>
      <c r="G27" s="7"/>
      <c r="H27" s="377"/>
      <c r="I27" s="7"/>
      <c r="J27" s="377"/>
      <c r="K27" s="7"/>
      <c r="L27" s="377"/>
      <c r="M27" s="7"/>
      <c r="N27" s="377"/>
      <c r="O27" s="7"/>
      <c r="P27" s="377"/>
      <c r="Q27" s="7"/>
      <c r="R27" s="377"/>
      <c r="S27" s="7"/>
      <c r="T27" s="377"/>
      <c r="U27" s="7"/>
      <c r="V27" s="377"/>
      <c r="W27" s="7"/>
      <c r="X27" s="377"/>
      <c r="Y27" s="7"/>
      <c r="Z27" s="377"/>
      <c r="AA27" s="7"/>
      <c r="AB27" s="378"/>
    </row>
    <row r="28" spans="1:28" ht="15.75" customHeight="1" x14ac:dyDescent="0.25">
      <c r="A28" s="6"/>
      <c r="B28" s="377"/>
      <c r="C28" s="7"/>
      <c r="D28" s="377"/>
      <c r="E28" s="7"/>
      <c r="F28" s="377"/>
      <c r="G28" s="7"/>
      <c r="H28" s="377"/>
      <c r="I28" s="7"/>
      <c r="J28" s="377"/>
      <c r="K28" s="7"/>
      <c r="L28" s="377"/>
      <c r="M28" s="7"/>
      <c r="N28" s="377"/>
      <c r="O28" s="7"/>
      <c r="P28" s="377"/>
      <c r="Q28" s="7"/>
      <c r="R28" s="377"/>
      <c r="S28" s="7"/>
      <c r="T28" s="377"/>
      <c r="U28" s="7"/>
      <c r="V28" s="377"/>
      <c r="W28" s="7"/>
      <c r="X28" s="377"/>
      <c r="Y28" s="7"/>
      <c r="Z28" s="377"/>
      <c r="AA28" s="7"/>
      <c r="AB28" s="378"/>
    </row>
    <row r="29" spans="1:28" ht="15.75" customHeight="1" x14ac:dyDescent="0.25">
      <c r="A29" s="6"/>
      <c r="B29" s="377"/>
      <c r="C29" s="7"/>
      <c r="D29" s="377"/>
      <c r="E29" s="7"/>
      <c r="F29" s="377"/>
      <c r="G29" s="7"/>
      <c r="H29" s="377"/>
      <c r="I29" s="7"/>
      <c r="J29" s="377"/>
      <c r="K29" s="7"/>
      <c r="L29" s="377"/>
      <c r="M29" s="7"/>
      <c r="N29" s="377"/>
      <c r="O29" s="7"/>
      <c r="P29" s="377"/>
      <c r="Q29" s="7"/>
      <c r="R29" s="377"/>
      <c r="S29" s="7"/>
      <c r="T29" s="377"/>
      <c r="U29" s="7"/>
      <c r="V29" s="377"/>
      <c r="W29" s="7"/>
      <c r="X29" s="377"/>
      <c r="Y29" s="7"/>
      <c r="Z29" s="377"/>
      <c r="AA29" s="7"/>
      <c r="AB29" s="378"/>
    </row>
    <row r="30" spans="1:28" ht="15.75" customHeight="1" x14ac:dyDescent="0.25">
      <c r="A30" s="6"/>
      <c r="B30" s="377"/>
      <c r="C30" s="7"/>
      <c r="D30" s="377"/>
      <c r="E30" s="7"/>
      <c r="F30" s="377"/>
      <c r="G30" s="7"/>
      <c r="H30" s="377"/>
      <c r="I30" s="7"/>
      <c r="J30" s="377"/>
      <c r="K30" s="7"/>
      <c r="L30" s="377"/>
      <c r="M30" s="7"/>
      <c r="N30" s="377"/>
      <c r="O30" s="7"/>
      <c r="P30" s="377"/>
      <c r="Q30" s="7"/>
      <c r="R30" s="377"/>
      <c r="S30" s="7"/>
      <c r="T30" s="377"/>
      <c r="U30" s="7"/>
      <c r="V30" s="377"/>
      <c r="W30" s="7"/>
      <c r="X30" s="377"/>
      <c r="Y30" s="7"/>
      <c r="Z30" s="377"/>
      <c r="AA30" s="7"/>
      <c r="AB30" s="378"/>
    </row>
    <row r="31" spans="1:28" ht="15.75" customHeight="1" x14ac:dyDescent="0.25">
      <c r="A31" s="6"/>
      <c r="B31" s="377"/>
      <c r="C31" s="7"/>
      <c r="D31" s="377"/>
      <c r="E31" s="7"/>
      <c r="F31" s="377"/>
      <c r="G31" s="7"/>
      <c r="H31" s="377"/>
      <c r="I31" s="7"/>
      <c r="J31" s="377"/>
      <c r="K31" s="7"/>
      <c r="L31" s="377"/>
      <c r="M31" s="7"/>
      <c r="N31" s="377"/>
      <c r="O31" s="7"/>
      <c r="P31" s="377"/>
      <c r="Q31" s="7"/>
      <c r="R31" s="377"/>
      <c r="S31" s="7"/>
      <c r="T31" s="377"/>
      <c r="U31" s="7"/>
      <c r="V31" s="377"/>
      <c r="W31" s="7"/>
      <c r="X31" s="377"/>
      <c r="Y31" s="7"/>
      <c r="Z31" s="377"/>
      <c r="AA31" s="7"/>
      <c r="AB31" s="378"/>
    </row>
    <row r="32" spans="1:28" ht="15.75" customHeight="1" x14ac:dyDescent="0.25">
      <c r="A32" s="6"/>
      <c r="B32" s="377"/>
      <c r="C32" s="7"/>
      <c r="D32" s="377"/>
      <c r="E32" s="7"/>
      <c r="F32" s="377"/>
      <c r="G32" s="7"/>
      <c r="H32" s="377"/>
      <c r="I32" s="7"/>
      <c r="J32" s="377"/>
      <c r="K32" s="7"/>
      <c r="L32" s="377"/>
      <c r="M32" s="7"/>
      <c r="N32" s="377"/>
      <c r="O32" s="7"/>
      <c r="P32" s="377"/>
      <c r="Q32" s="7"/>
      <c r="R32" s="377"/>
      <c r="S32" s="7"/>
      <c r="T32" s="377"/>
      <c r="U32" s="7"/>
      <c r="V32" s="377"/>
      <c r="W32" s="7"/>
      <c r="X32" s="377"/>
      <c r="Y32" s="7"/>
      <c r="Z32" s="377"/>
      <c r="AA32" s="7"/>
      <c r="AB32" s="378"/>
    </row>
    <row r="33" spans="1:30" ht="15.75" customHeight="1" x14ac:dyDescent="0.25">
      <c r="A33" s="6"/>
      <c r="B33" s="377"/>
      <c r="C33" s="7"/>
      <c r="D33" s="377"/>
      <c r="E33" s="7"/>
      <c r="F33" s="377"/>
      <c r="G33" s="7"/>
      <c r="H33" s="377"/>
      <c r="I33" s="7"/>
      <c r="J33" s="377"/>
      <c r="K33" s="7"/>
      <c r="L33" s="377"/>
      <c r="M33" s="7"/>
      <c r="N33" s="377"/>
      <c r="O33" s="7"/>
      <c r="P33" s="377"/>
      <c r="Q33" s="7"/>
      <c r="R33" s="377"/>
      <c r="S33" s="7"/>
      <c r="T33" s="377"/>
      <c r="U33" s="7"/>
      <c r="V33" s="377"/>
      <c r="W33" s="7"/>
      <c r="X33" s="377"/>
      <c r="Y33" s="7"/>
      <c r="Z33" s="377"/>
      <c r="AA33" s="7"/>
      <c r="AB33" s="378"/>
    </row>
    <row r="34" spans="1:30" ht="15.75" customHeight="1" x14ac:dyDescent="0.25">
      <c r="A34" s="6"/>
      <c r="B34" s="377"/>
      <c r="C34" s="7"/>
      <c r="D34" s="377"/>
      <c r="E34" s="7"/>
      <c r="F34" s="377"/>
      <c r="G34" s="7"/>
      <c r="H34" s="377"/>
      <c r="I34" s="7"/>
      <c r="J34" s="377"/>
      <c r="K34" s="7"/>
      <c r="L34" s="377"/>
      <c r="M34" s="7"/>
      <c r="N34" s="377"/>
      <c r="O34" s="7"/>
      <c r="P34" s="377"/>
      <c r="Q34" s="7"/>
      <c r="R34" s="377"/>
      <c r="S34" s="7"/>
      <c r="T34" s="377"/>
      <c r="U34" s="7"/>
      <c r="V34" s="377"/>
      <c r="W34" s="7"/>
      <c r="X34" s="377"/>
      <c r="Y34" s="7"/>
      <c r="Z34" s="377"/>
      <c r="AA34" s="7"/>
      <c r="AB34" s="378"/>
    </row>
    <row r="35" spans="1:30" ht="15.75" customHeight="1" x14ac:dyDescent="0.25">
      <c r="A35" s="6"/>
      <c r="B35" s="377"/>
      <c r="C35" s="7"/>
      <c r="D35" s="377"/>
      <c r="E35" s="7"/>
      <c r="F35" s="377"/>
      <c r="G35" s="7"/>
      <c r="H35" s="377"/>
      <c r="I35" s="7"/>
      <c r="J35" s="377"/>
      <c r="K35" s="7"/>
      <c r="L35" s="377"/>
      <c r="M35" s="7"/>
      <c r="N35" s="377"/>
      <c r="O35" s="7"/>
      <c r="P35" s="377"/>
      <c r="Q35" s="7"/>
      <c r="R35" s="377"/>
      <c r="S35" s="7"/>
      <c r="T35" s="377"/>
      <c r="U35" s="7"/>
      <c r="V35" s="377"/>
      <c r="W35" s="7"/>
      <c r="X35" s="377"/>
      <c r="Y35" s="7"/>
      <c r="Z35" s="377"/>
      <c r="AA35" s="7"/>
      <c r="AB35" s="378"/>
    </row>
    <row r="36" spans="1:30" ht="15.75" customHeight="1" x14ac:dyDescent="0.25">
      <c r="A36" s="4"/>
      <c r="B36" s="377"/>
      <c r="C36" s="5"/>
      <c r="D36" s="377"/>
      <c r="E36" s="5"/>
      <c r="F36" s="377"/>
      <c r="G36" s="5"/>
      <c r="H36" s="377"/>
      <c r="I36" s="5"/>
      <c r="J36" s="377"/>
      <c r="K36" s="5"/>
      <c r="L36" s="377"/>
      <c r="M36" s="5"/>
      <c r="N36" s="377"/>
      <c r="O36" s="5"/>
      <c r="P36" s="377"/>
      <c r="Q36" s="5"/>
      <c r="R36" s="377"/>
      <c r="S36" s="5"/>
      <c r="T36" s="377"/>
      <c r="U36" s="5"/>
      <c r="V36" s="377"/>
      <c r="W36" s="5"/>
      <c r="X36" s="377"/>
      <c r="Y36" s="5"/>
      <c r="Z36" s="377"/>
      <c r="AA36" s="5"/>
      <c r="AB36" s="378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0">
        <f>SUM(A38:AC38)</f>
        <v>8105.7</v>
      </c>
      <c r="B40" s="371"/>
      <c r="C40" s="371"/>
      <c r="D40" s="372"/>
    </row>
    <row r="41" spans="1:30" ht="15.75" customHeight="1" x14ac:dyDescent="0.25">
      <c r="A41" s="373"/>
      <c r="B41" s="374"/>
      <c r="C41" s="374"/>
      <c r="D41" s="375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82" t="s">
        <v>86</v>
      </c>
      <c r="B1" s="383"/>
      <c r="C1" s="383"/>
      <c r="D1" s="383"/>
      <c r="E1" s="383"/>
      <c r="F1" s="383"/>
      <c r="G1" s="383"/>
      <c r="H1" s="383"/>
      <c r="I1" s="383"/>
      <c r="J1" s="383"/>
      <c r="K1" s="384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394" t="s">
        <v>128</v>
      </c>
      <c r="B2" s="395"/>
      <c r="C2" s="396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00" t="s">
        <v>7</v>
      </c>
      <c r="C3" s="401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02" t="s">
        <v>7</v>
      </c>
      <c r="C4" s="403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02" t="s">
        <v>7</v>
      </c>
      <c r="C5" s="403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07" t="s">
        <v>7</v>
      </c>
      <c r="C6" s="408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391" t="s">
        <v>4</v>
      </c>
      <c r="B7" s="392"/>
      <c r="C7" s="392"/>
      <c r="D7" s="393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11" t="s">
        <v>55</v>
      </c>
      <c r="B8" s="412"/>
      <c r="C8" s="413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0</v>
      </c>
      <c r="F12" s="329">
        <f>'STOK DETAY'!N6</f>
        <v>0</v>
      </c>
      <c r="G12" s="330">
        <f>'STOK DETAY'!O6</f>
        <v>0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111.91</v>
      </c>
      <c r="F13" s="333"/>
      <c r="G13" s="330"/>
      <c r="H13" s="330">
        <f>'STOK DETAY'!S6</f>
        <v>111.91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16.89</v>
      </c>
      <c r="F15" s="329">
        <f>'STOK DETAY'!X6</f>
        <v>0</v>
      </c>
      <c r="G15" s="330">
        <f>'STOK DETAY'!Y6</f>
        <v>0</v>
      </c>
      <c r="H15" s="330">
        <f>'STOK DETAY'!Z6</f>
        <v>16.89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25.8</v>
      </c>
      <c r="F16" s="329">
        <f>'STOK DETAY'!AA6</f>
        <v>0</v>
      </c>
      <c r="G16" s="330">
        <f>'STOK DETAY'!AB6</f>
        <v>0</v>
      </c>
      <c r="H16" s="330">
        <f>'STOK DETAY'!AC6</f>
        <v>25.8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91.415000000000006</v>
      </c>
      <c r="F19" s="329">
        <f>'STOK DETAY'!AL6</f>
        <v>0</v>
      </c>
      <c r="G19" s="330">
        <f>'STOK DETAY'!AM6</f>
        <v>0</v>
      </c>
      <c r="H19" s="330">
        <f>'STOK DETAY'!AN6</f>
        <v>91.415000000000006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7.83</v>
      </c>
      <c r="F20" s="329">
        <f>'STOK DETAY'!AP6</f>
        <v>0</v>
      </c>
      <c r="G20" s="330">
        <f>'STOK DETAY'!AQ6</f>
        <v>0</v>
      </c>
      <c r="H20" s="330">
        <f>'STOK DETAY'!AR6</f>
        <v>7.83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24.24</v>
      </c>
      <c r="F21" s="329">
        <f>'STOK DETAY'!AU6</f>
        <v>0</v>
      </c>
      <c r="G21" s="330">
        <f>'STOK DETAY'!AV6</f>
        <v>0</v>
      </c>
      <c r="H21" s="330">
        <f>'STOK DETAY'!AW6</f>
        <v>24.24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25.94</v>
      </c>
      <c r="F22" s="329">
        <f>'STOK DETAY'!BA6</f>
        <v>0</v>
      </c>
      <c r="G22" s="330">
        <f>'STOK DETAY'!BB6</f>
        <v>0</v>
      </c>
      <c r="H22" s="330">
        <f>'STOK DETAY'!BC6</f>
        <v>25.94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8.625</v>
      </c>
      <c r="F23" s="329">
        <f>'STOK DETAY'!BG6</f>
        <v>0</v>
      </c>
      <c r="G23" s="330">
        <f>'STOK DETAY'!BH6</f>
        <v>0</v>
      </c>
      <c r="H23" s="330">
        <f>'STOK DETAY'!BI6</f>
        <v>8.625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8.83</v>
      </c>
      <c r="F24" s="329">
        <f>'STOK DETAY'!BM6</f>
        <v>0</v>
      </c>
      <c r="G24" s="330">
        <f>'STOK DETAY'!BN6</f>
        <v>0</v>
      </c>
      <c r="H24" s="330">
        <f>'STOK DETAY'!BO6</f>
        <v>8.83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34.134999999999998</v>
      </c>
      <c r="F25" s="329">
        <f>'STOK DETAY'!BS6</f>
        <v>0</v>
      </c>
      <c r="G25" s="330">
        <f>'STOK DETAY'!BT6</f>
        <v>0</v>
      </c>
      <c r="H25" s="330">
        <f>'STOK DETAY'!BU6</f>
        <v>34.134999999999998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26.145</v>
      </c>
      <c r="F26" s="329">
        <f>'STOK DETAY'!BY6</f>
        <v>0</v>
      </c>
      <c r="G26" s="330">
        <f>'STOK DETAY'!BZ6</f>
        <v>0</v>
      </c>
      <c r="H26" s="330">
        <f>'STOK DETAY'!CA6</f>
        <v>9.5649999999999995</v>
      </c>
      <c r="I26" s="330">
        <f>'STOK DETAY'!CB6</f>
        <v>0</v>
      </c>
      <c r="J26" s="330">
        <f>'STOK DETAY'!CC6</f>
        <v>0</v>
      </c>
      <c r="K26" s="331">
        <f>'STOK DETAY'!CD6</f>
        <v>16.579999999999998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0</v>
      </c>
      <c r="F27" s="329">
        <f>'STOK DETAY'!CE6</f>
        <v>0</v>
      </c>
      <c r="G27" s="330">
        <f>'STOK DETAY'!CF6</f>
        <v>0</v>
      </c>
      <c r="H27" s="330">
        <f>'STOK DETAY'!CG6</f>
        <v>0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24.885000000000002</v>
      </c>
      <c r="F28" s="329">
        <f>'STOK DETAY'!CK6</f>
        <v>0</v>
      </c>
      <c r="G28" s="330">
        <f>'STOK DETAY'!CL6</f>
        <v>0</v>
      </c>
      <c r="H28" s="330">
        <f>'STOK DETAY'!CM6</f>
        <v>24.885000000000002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129.74</v>
      </c>
      <c r="F29" s="329">
        <f>'STOK DETAY'!CQ6</f>
        <v>0</v>
      </c>
      <c r="G29" s="330">
        <f>'STOK DETAY'!CR6</f>
        <v>0</v>
      </c>
      <c r="H29" s="330">
        <f>'STOK DETAY'!CS6</f>
        <v>129.74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17.600000000000001</v>
      </c>
      <c r="F30" s="329">
        <f>'STOK DETAY'!CW6</f>
        <v>0</v>
      </c>
      <c r="G30" s="330">
        <f>'STOK DETAY'!CX6</f>
        <v>0</v>
      </c>
      <c r="H30" s="330">
        <f>'STOK DETAY'!CY6</f>
        <v>17.600000000000001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130.63499999999999</v>
      </c>
      <c r="F31" s="329">
        <f>'STOK DETAY'!DC6</f>
        <v>0</v>
      </c>
      <c r="G31" s="330">
        <f>'STOK DETAY'!DD6</f>
        <v>0</v>
      </c>
      <c r="H31" s="330">
        <f>'STOK DETAY'!DE6</f>
        <v>130.63499999999999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128.38999999999999</v>
      </c>
      <c r="F32" s="329">
        <f>'STOK DETAY'!DI6</f>
        <v>0</v>
      </c>
      <c r="G32" s="330">
        <f>'STOK DETAY'!DJ6</f>
        <v>0</v>
      </c>
      <c r="H32" s="330">
        <f>'STOK DETAY'!DK6</f>
        <v>94.94</v>
      </c>
      <c r="I32" s="330">
        <f>'STOK DETAY'!DL6</f>
        <v>0</v>
      </c>
      <c r="J32" s="330">
        <f>'STOK DETAY'!DM6</f>
        <v>33.450000000000003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75.900000000000006</v>
      </c>
      <c r="F35" s="329">
        <f>'STOK DETAY'!DY6</f>
        <v>0</v>
      </c>
      <c r="G35" s="330">
        <f>'STOK DETAY'!DZ6</f>
        <v>0</v>
      </c>
      <c r="H35" s="330">
        <f>'STOK DETAY'!EA6</f>
        <v>75.900000000000006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278.73</v>
      </c>
      <c r="F36" s="329">
        <f>'STOK DETAY'!EE6</f>
        <v>0</v>
      </c>
      <c r="G36" s="330">
        <f>'STOK DETAY'!EF6</f>
        <v>0</v>
      </c>
      <c r="H36" s="330">
        <f>'STOK DETAY'!EG6</f>
        <v>268.54000000000002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391" t="s">
        <v>4</v>
      </c>
      <c r="B57" s="392"/>
      <c r="C57" s="392"/>
      <c r="D57" s="393"/>
      <c r="E57" s="316">
        <f>SUM(F57:K57)</f>
        <v>1841.8050000000001</v>
      </c>
      <c r="F57" s="317">
        <f t="shared" ref="F57:K57" si="3">SUM(F9:F56)</f>
        <v>9.1999999999999993</v>
      </c>
      <c r="G57" s="318">
        <f t="shared" si="3"/>
        <v>0</v>
      </c>
      <c r="H57" s="318">
        <f t="shared" si="3"/>
        <v>1445.7850000000001</v>
      </c>
      <c r="I57" s="318">
        <f t="shared" si="3"/>
        <v>1.75</v>
      </c>
      <c r="J57" s="318">
        <f t="shared" si="3"/>
        <v>368.49</v>
      </c>
      <c r="K57" s="319">
        <f t="shared" si="3"/>
        <v>16.579999999999998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394" t="s">
        <v>30</v>
      </c>
      <c r="B58" s="395"/>
      <c r="C58" s="396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>
        <v>601</v>
      </c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88" t="s">
        <v>4</v>
      </c>
      <c r="B89" s="389"/>
      <c r="C89" s="389"/>
      <c r="D89" s="390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394" t="s">
        <v>10</v>
      </c>
      <c r="B90" s="395"/>
      <c r="C90" s="397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414"/>
      <c r="C91" s="415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416"/>
      <c r="C92" s="417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416"/>
      <c r="C93" s="417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416"/>
      <c r="C94" s="417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416"/>
      <c r="C95" s="417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416"/>
      <c r="C96" s="417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416"/>
      <c r="C97" s="417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416"/>
      <c r="C98" s="417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416"/>
      <c r="C99" s="417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416"/>
      <c r="C100" s="417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416"/>
      <c r="C101" s="417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09"/>
      <c r="C102" s="410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398"/>
      <c r="C103" s="399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04" t="s">
        <v>4</v>
      </c>
      <c r="B104" s="405"/>
      <c r="C104" s="405"/>
      <c r="D104" s="406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85" t="s">
        <v>1</v>
      </c>
      <c r="B105" s="386"/>
      <c r="C105" s="386"/>
      <c r="D105" s="387"/>
      <c r="E105" s="351">
        <f>SUM(F105:K105)</f>
        <v>3269.8229999999999</v>
      </c>
      <c r="F105" s="352">
        <f t="shared" ref="F105:K105" si="8">F7+F57+F89+F104</f>
        <v>366.9</v>
      </c>
      <c r="G105" s="353">
        <f t="shared" si="8"/>
        <v>248.71</v>
      </c>
      <c r="H105" s="353">
        <f t="shared" si="8"/>
        <v>1796.873</v>
      </c>
      <c r="I105" s="353">
        <f t="shared" si="8"/>
        <v>1.75</v>
      </c>
      <c r="J105" s="353">
        <f t="shared" si="8"/>
        <v>368.49</v>
      </c>
      <c r="K105" s="354">
        <f t="shared" si="8"/>
        <v>487.1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B96:C96"/>
    <mergeCell ref="B97:C97"/>
    <mergeCell ref="B100:C100"/>
    <mergeCell ref="B101:C101"/>
    <mergeCell ref="B98:C98"/>
    <mergeCell ref="B99:C99"/>
    <mergeCell ref="B91:C91"/>
    <mergeCell ref="B92:C92"/>
    <mergeCell ref="B93:C93"/>
    <mergeCell ref="B94:C94"/>
    <mergeCell ref="B95:C95"/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</mergeCells>
  <conditionalFormatting sqref="F102:K103 F3:K6 F9:K56 F59:K87">
    <cfRule type="cellIs" dxfId="3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5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6" activePane="bottomLeft" state="frozen"/>
      <selection activeCell="C37" sqref="C37"/>
      <selection pane="bottomLeft" activeCell="A6155" sqref="A6155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1" customWidth="1"/>
    <col min="81" max="81" width="12.7109375" style="126" customWidth="1"/>
    <col min="82" max="82" width="12.7109375" style="182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1" customWidth="1"/>
    <col min="117" max="117" width="12.7109375" style="150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0" t="s">
        <v>86</v>
      </c>
      <c r="B1" s="420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70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70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70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70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70" t="s">
        <v>113</v>
      </c>
      <c r="CB1" s="117" t="s">
        <v>5</v>
      </c>
      <c r="CC1" s="122" t="s">
        <v>6</v>
      </c>
      <c r="CD1" s="181" t="s">
        <v>115</v>
      </c>
      <c r="CE1" s="39" t="s">
        <v>2</v>
      </c>
      <c r="CF1" s="65" t="s">
        <v>3</v>
      </c>
      <c r="CG1" s="102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70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70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70" t="s">
        <v>113</v>
      </c>
      <c r="DL1" s="117" t="s">
        <v>5</v>
      </c>
      <c r="DM1" s="146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0"/>
      <c r="B2" s="420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70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70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70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70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70" t="s">
        <v>7</v>
      </c>
      <c r="CB2" s="117" t="s">
        <v>7</v>
      </c>
      <c r="CC2" s="122" t="s">
        <v>7</v>
      </c>
      <c r="CD2" s="181" t="s">
        <v>7</v>
      </c>
      <c r="CE2" s="39" t="s">
        <v>7</v>
      </c>
      <c r="CF2" s="65" t="s">
        <v>7</v>
      </c>
      <c r="CG2" s="102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70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70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70" t="s">
        <v>7</v>
      </c>
      <c r="DL2" s="117" t="s">
        <v>7</v>
      </c>
      <c r="DM2" s="146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0"/>
      <c r="B3" s="420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70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70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70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70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70" t="s">
        <v>55</v>
      </c>
      <c r="CB3" s="117" t="s">
        <v>55</v>
      </c>
      <c r="CC3" s="122" t="s">
        <v>55</v>
      </c>
      <c r="CD3" s="181" t="s">
        <v>55</v>
      </c>
      <c r="CE3" s="39" t="s">
        <v>55</v>
      </c>
      <c r="CF3" s="65" t="s">
        <v>55</v>
      </c>
      <c r="CG3" s="102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70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70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70" t="s">
        <v>55</v>
      </c>
      <c r="DL3" s="117" t="s">
        <v>55</v>
      </c>
      <c r="DM3" s="146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0"/>
      <c r="B4" s="420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71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71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71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71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71">
        <v>0.85</v>
      </c>
      <c r="CB4" s="118">
        <v>0.85</v>
      </c>
      <c r="CC4" s="123">
        <v>0.85</v>
      </c>
      <c r="CD4" s="151">
        <v>0.85</v>
      </c>
      <c r="CE4" s="40">
        <v>0.9</v>
      </c>
      <c r="CF4" s="66">
        <v>0.9</v>
      </c>
      <c r="CG4" s="103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71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71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71">
        <v>1.1499999999999999</v>
      </c>
      <c r="DL4" s="118">
        <v>1.1499999999999999</v>
      </c>
      <c r="DM4" s="147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0"/>
      <c r="B5" s="420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67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72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72"/>
      <c r="BD5" s="119"/>
      <c r="BE5" s="124"/>
      <c r="BF5" s="113"/>
      <c r="BG5" s="41"/>
      <c r="BH5" s="67"/>
      <c r="BI5" s="72"/>
      <c r="BJ5" s="119"/>
      <c r="BK5" s="124"/>
      <c r="BL5" s="113"/>
      <c r="BM5" s="87"/>
      <c r="BN5" s="67"/>
      <c r="BO5" s="72"/>
      <c r="BP5" s="119"/>
      <c r="BQ5" s="124"/>
      <c r="BR5" s="113"/>
      <c r="BS5" s="41"/>
      <c r="BT5" s="67"/>
      <c r="BU5" s="72"/>
      <c r="BV5" s="119"/>
      <c r="BW5" s="124"/>
      <c r="BX5" s="113"/>
      <c r="BY5" s="41"/>
      <c r="BZ5" s="67"/>
      <c r="CA5" s="72"/>
      <c r="CB5" s="119"/>
      <c r="CC5" s="124"/>
      <c r="CD5" s="152"/>
      <c r="CE5" s="41"/>
      <c r="CF5" s="67"/>
      <c r="CG5" s="104"/>
      <c r="CH5" s="119"/>
      <c r="CI5" s="124"/>
      <c r="CJ5" s="113"/>
      <c r="CK5" s="41"/>
      <c r="CL5" s="67"/>
      <c r="CM5" s="72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72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72"/>
      <c r="DL5" s="119"/>
      <c r="DM5" s="148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3269.8229999999999</v>
      </c>
      <c r="D6" s="214">
        <f t="shared" ref="D6:BO6" si="0">SUM(D8:D1048576)</f>
        <v>0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217">
        <f t="shared" si="0"/>
        <v>0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111.91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16.89</v>
      </c>
      <c r="AA6" s="216">
        <f t="shared" si="0"/>
        <v>0</v>
      </c>
      <c r="AB6" s="217">
        <f t="shared" si="0"/>
        <v>0</v>
      </c>
      <c r="AC6" s="220">
        <f t="shared" si="0"/>
        <v>25.8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91.415000000000006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0">
        <f t="shared" si="0"/>
        <v>7.83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0">
        <f t="shared" si="0"/>
        <v>24.24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0">
        <f t="shared" si="0"/>
        <v>25.94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0">
        <f t="shared" si="0"/>
        <v>8.625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0">
        <f t="shared" si="0"/>
        <v>8.83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0">
        <f t="shared" si="1"/>
        <v>34.134999999999998</v>
      </c>
      <c r="BV6" s="222">
        <f t="shared" si="1"/>
        <v>0</v>
      </c>
      <c r="BW6" s="223">
        <f t="shared" si="1"/>
        <v>0</v>
      </c>
      <c r="BX6" s="214">
        <f t="shared" si="1"/>
        <v>0</v>
      </c>
      <c r="BY6" s="216">
        <f t="shared" si="1"/>
        <v>0</v>
      </c>
      <c r="BZ6" s="217">
        <f t="shared" si="1"/>
        <v>0</v>
      </c>
      <c r="CA6" s="220">
        <f t="shared" si="1"/>
        <v>9.5649999999999995</v>
      </c>
      <c r="CB6" s="222">
        <f t="shared" si="1"/>
        <v>0</v>
      </c>
      <c r="CC6" s="223">
        <f t="shared" si="1"/>
        <v>0</v>
      </c>
      <c r="CD6" s="361">
        <f t="shared" si="1"/>
        <v>16.579999999999998</v>
      </c>
      <c r="CE6" s="216">
        <f t="shared" si="1"/>
        <v>0</v>
      </c>
      <c r="CF6" s="217">
        <f t="shared" si="1"/>
        <v>0</v>
      </c>
      <c r="CG6" s="228">
        <f t="shared" si="1"/>
        <v>0</v>
      </c>
      <c r="CH6" s="222">
        <f t="shared" si="1"/>
        <v>0</v>
      </c>
      <c r="CI6" s="223">
        <f t="shared" si="1"/>
        <v>0</v>
      </c>
      <c r="CJ6" s="214">
        <f t="shared" si="1"/>
        <v>0</v>
      </c>
      <c r="CK6" s="216">
        <f t="shared" si="1"/>
        <v>0</v>
      </c>
      <c r="CL6" s="217">
        <f t="shared" si="1"/>
        <v>0</v>
      </c>
      <c r="CM6" s="220">
        <f t="shared" si="1"/>
        <v>24.885000000000002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129.74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0">
        <f t="shared" si="1"/>
        <v>17.600000000000001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130.63499999999999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0">
        <f t="shared" si="1"/>
        <v>94.94</v>
      </c>
      <c r="DL6" s="222">
        <f t="shared" si="1"/>
        <v>0</v>
      </c>
      <c r="DM6" s="227">
        <f t="shared" si="1"/>
        <v>33.450000000000003</v>
      </c>
      <c r="DN6" s="216">
        <f t="shared" si="1"/>
        <v>0</v>
      </c>
      <c r="DO6" s="217">
        <f t="shared" si="1"/>
        <v>0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75.900000000000006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268.54000000000002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263">
        <f t="shared" si="3"/>
        <v>64.48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68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73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73"/>
      <c r="BD7" s="120"/>
      <c r="BE7" s="125"/>
      <c r="BF7" s="114"/>
      <c r="BG7" s="60"/>
      <c r="BH7" s="68"/>
      <c r="BI7" s="73"/>
      <c r="BJ7" s="120"/>
      <c r="BK7" s="125"/>
      <c r="BL7" s="114"/>
      <c r="BM7" s="93"/>
      <c r="BN7" s="68"/>
      <c r="BO7" s="73"/>
      <c r="BP7" s="120"/>
      <c r="BQ7" s="125"/>
      <c r="BR7" s="114"/>
      <c r="BS7" s="60"/>
      <c r="BT7" s="68"/>
      <c r="BU7" s="73"/>
      <c r="BV7" s="120"/>
      <c r="BW7" s="125"/>
      <c r="BX7" s="114"/>
      <c r="BY7" s="60"/>
      <c r="BZ7" s="68"/>
      <c r="CA7" s="73"/>
      <c r="CB7" s="120"/>
      <c r="CC7" s="125"/>
      <c r="CD7" s="290"/>
      <c r="CE7" s="60"/>
      <c r="CF7" s="68"/>
      <c r="CG7" s="105"/>
      <c r="CH7" s="120"/>
      <c r="CI7" s="125"/>
      <c r="CJ7" s="114"/>
      <c r="CK7" s="60"/>
      <c r="CL7" s="68"/>
      <c r="CM7" s="73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73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73"/>
      <c r="DL7" s="120"/>
      <c r="DM7" s="14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2"/>
      <c r="IN7" s="363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67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72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72"/>
      <c r="BD8" s="119"/>
      <c r="BE8" s="124"/>
      <c r="BF8" s="113">
        <v>22.81</v>
      </c>
      <c r="BG8" s="41">
        <v>8.43</v>
      </c>
      <c r="BH8" s="67"/>
      <c r="BI8" s="72"/>
      <c r="BJ8" s="119"/>
      <c r="BK8" s="124"/>
      <c r="BL8" s="113">
        <v>42.34</v>
      </c>
      <c r="BM8" s="87">
        <v>76.819999999999993</v>
      </c>
      <c r="BN8" s="67">
        <v>34.104999999999997</v>
      </c>
      <c r="BO8" s="72"/>
      <c r="BP8" s="119"/>
      <c r="BQ8" s="124"/>
      <c r="BR8" s="113">
        <v>49.48</v>
      </c>
      <c r="BS8" s="41">
        <v>375.55</v>
      </c>
      <c r="BT8" s="67">
        <v>8.51</v>
      </c>
      <c r="BU8" s="72"/>
      <c r="BV8" s="119"/>
      <c r="BW8" s="124"/>
      <c r="BX8" s="113">
        <v>0</v>
      </c>
      <c r="BY8" s="41">
        <v>662.91</v>
      </c>
      <c r="BZ8" s="67">
        <v>0</v>
      </c>
      <c r="CA8" s="72"/>
      <c r="CB8" s="119"/>
      <c r="CC8" s="124">
        <f>16.27-8.73</f>
        <v>7.54</v>
      </c>
      <c r="CD8" s="152"/>
      <c r="CE8" s="41">
        <v>365.38</v>
      </c>
      <c r="CF8" s="67">
        <v>0</v>
      </c>
      <c r="CG8" s="104"/>
      <c r="CH8" s="119"/>
      <c r="CI8" s="124"/>
      <c r="CJ8" s="113">
        <v>0</v>
      </c>
      <c r="CK8" s="41">
        <v>325.45999999999998</v>
      </c>
      <c r="CL8" s="67">
        <v>0</v>
      </c>
      <c r="CM8" s="72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72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72"/>
      <c r="DL8" s="119"/>
      <c r="DM8" s="148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67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72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72"/>
      <c r="BD9" s="119"/>
      <c r="BE9" s="124"/>
      <c r="BF9" s="113"/>
      <c r="BG9" s="41"/>
      <c r="BH9" s="67"/>
      <c r="BI9" s="72"/>
      <c r="BJ9" s="119"/>
      <c r="BK9" s="124"/>
      <c r="BL9" s="113"/>
      <c r="BM9" s="87"/>
      <c r="BN9" s="67"/>
      <c r="BO9" s="72"/>
      <c r="BP9" s="119"/>
      <c r="BQ9" s="124"/>
      <c r="BR9" s="113"/>
      <c r="BS9" s="41"/>
      <c r="BT9" s="67"/>
      <c r="BU9" s="72"/>
      <c r="BV9" s="119"/>
      <c r="BW9" s="124"/>
      <c r="BX9" s="113"/>
      <c r="BY9" s="41"/>
      <c r="BZ9" s="67"/>
      <c r="CA9" s="72"/>
      <c r="CB9" s="119"/>
      <c r="CC9" s="124"/>
      <c r="CD9" s="152"/>
      <c r="CE9" s="41"/>
      <c r="CF9" s="67"/>
      <c r="CG9" s="104"/>
      <c r="CH9" s="119"/>
      <c r="CI9" s="124"/>
      <c r="CJ9" s="113"/>
      <c r="CK9" s="41"/>
      <c r="CL9" s="67"/>
      <c r="CM9" s="72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72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72"/>
      <c r="DL9" s="119"/>
      <c r="DM9" s="148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67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72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72"/>
      <c r="BD10" s="119"/>
      <c r="BE10" s="124"/>
      <c r="BF10" s="113"/>
      <c r="BG10" s="41"/>
      <c r="BH10" s="67"/>
      <c r="BI10" s="72"/>
      <c r="BJ10" s="119"/>
      <c r="BK10" s="124"/>
      <c r="BL10" s="113"/>
      <c r="BM10" s="87"/>
      <c r="BN10" s="67"/>
      <c r="BO10" s="72"/>
      <c r="BP10" s="119"/>
      <c r="BQ10" s="124"/>
      <c r="BR10" s="113"/>
      <c r="BS10" s="41"/>
      <c r="BT10" s="67"/>
      <c r="BU10" s="72"/>
      <c r="BV10" s="119"/>
      <c r="BW10" s="124"/>
      <c r="BX10" s="113"/>
      <c r="BY10" s="41"/>
      <c r="BZ10" s="67"/>
      <c r="CA10" s="72"/>
      <c r="CB10" s="119"/>
      <c r="CC10" s="124"/>
      <c r="CD10" s="152"/>
      <c r="CE10" s="41"/>
      <c r="CF10" s="67"/>
      <c r="CG10" s="104"/>
      <c r="CH10" s="119"/>
      <c r="CI10" s="124"/>
      <c r="CJ10" s="113"/>
      <c r="CK10" s="41"/>
      <c r="CL10" s="67"/>
      <c r="CM10" s="72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72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72"/>
      <c r="DL10" s="119"/>
      <c r="DM10" s="148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67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72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72"/>
      <c r="BD11" s="119"/>
      <c r="BE11" s="124"/>
      <c r="BF11" s="113"/>
      <c r="BG11" s="41"/>
      <c r="BH11" s="67"/>
      <c r="BI11" s="72"/>
      <c r="BJ11" s="119"/>
      <c r="BK11" s="124"/>
      <c r="BL11" s="113"/>
      <c r="BM11" s="87"/>
      <c r="BN11" s="67"/>
      <c r="BO11" s="72"/>
      <c r="BP11" s="119"/>
      <c r="BQ11" s="124"/>
      <c r="BR11" s="113"/>
      <c r="BS11" s="41"/>
      <c r="BT11" s="67"/>
      <c r="BU11" s="72"/>
      <c r="BV11" s="119"/>
      <c r="BW11" s="124"/>
      <c r="BX11" s="113"/>
      <c r="BY11" s="41"/>
      <c r="BZ11" s="67"/>
      <c r="CA11" s="72"/>
      <c r="CB11" s="119"/>
      <c r="CC11" s="124"/>
      <c r="CD11" s="152"/>
      <c r="CE11" s="41"/>
      <c r="CF11" s="67"/>
      <c r="CG11" s="104"/>
      <c r="CH11" s="119"/>
      <c r="CI11" s="124"/>
      <c r="CJ11" s="113"/>
      <c r="CK11" s="41"/>
      <c r="CL11" s="67"/>
      <c r="CM11" s="72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72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72"/>
      <c r="DL11" s="119"/>
      <c r="DM11" s="148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67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72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72"/>
      <c r="BD12" s="119"/>
      <c r="BE12" s="124"/>
      <c r="BF12" s="113"/>
      <c r="BG12" s="41"/>
      <c r="BH12" s="67"/>
      <c r="BI12" s="72"/>
      <c r="BJ12" s="119"/>
      <c r="BK12" s="124"/>
      <c r="BL12" s="113"/>
      <c r="BM12" s="87"/>
      <c r="BN12" s="67"/>
      <c r="BO12" s="72"/>
      <c r="BP12" s="119"/>
      <c r="BQ12" s="124"/>
      <c r="BR12" s="113"/>
      <c r="BS12" s="41"/>
      <c r="BT12" s="67"/>
      <c r="BU12" s="72"/>
      <c r="BV12" s="119"/>
      <c r="BW12" s="124"/>
      <c r="BX12" s="113"/>
      <c r="BY12" s="41"/>
      <c r="BZ12" s="67"/>
      <c r="CA12" s="72"/>
      <c r="CB12" s="119"/>
      <c r="CC12" s="124"/>
      <c r="CD12" s="152"/>
      <c r="CE12" s="41"/>
      <c r="CF12" s="67"/>
      <c r="CG12" s="104"/>
      <c r="CH12" s="119"/>
      <c r="CI12" s="124"/>
      <c r="CJ12" s="113"/>
      <c r="CK12" s="41"/>
      <c r="CL12" s="67"/>
      <c r="CM12" s="72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72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72"/>
      <c r="DL12" s="119"/>
      <c r="DM12" s="148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67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72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72"/>
      <c r="BD13" s="119"/>
      <c r="BE13" s="124"/>
      <c r="BF13" s="113"/>
      <c r="BG13" s="41"/>
      <c r="BH13" s="67"/>
      <c r="BI13" s="72"/>
      <c r="BJ13" s="119"/>
      <c r="BK13" s="124"/>
      <c r="BL13" s="113"/>
      <c r="BM13" s="87"/>
      <c r="BN13" s="67"/>
      <c r="BO13" s="72"/>
      <c r="BP13" s="119"/>
      <c r="BQ13" s="124"/>
      <c r="BR13" s="113"/>
      <c r="BS13" s="41"/>
      <c r="BT13" s="67"/>
      <c r="BU13" s="72"/>
      <c r="BV13" s="119"/>
      <c r="BW13" s="124"/>
      <c r="BX13" s="113"/>
      <c r="BY13" s="41"/>
      <c r="BZ13" s="67"/>
      <c r="CA13" s="72"/>
      <c r="CB13" s="119"/>
      <c r="CC13" s="124"/>
      <c r="CD13" s="152"/>
      <c r="CE13" s="41"/>
      <c r="CF13" s="67"/>
      <c r="CG13" s="104"/>
      <c r="CH13" s="119"/>
      <c r="CI13" s="124"/>
      <c r="CJ13" s="113"/>
      <c r="CK13" s="41"/>
      <c r="CL13" s="67"/>
      <c r="CM13" s="72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72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72"/>
      <c r="DL13" s="119"/>
      <c r="DM13" s="148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67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72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72"/>
      <c r="BD14" s="119"/>
      <c r="BE14" s="124"/>
      <c r="BF14" s="113"/>
      <c r="BG14" s="41">
        <v>-8.43</v>
      </c>
      <c r="BH14" s="67"/>
      <c r="BI14" s="72"/>
      <c r="BJ14" s="119"/>
      <c r="BK14" s="124"/>
      <c r="BL14" s="113"/>
      <c r="BM14" s="87">
        <v>-8.77</v>
      </c>
      <c r="BN14" s="67"/>
      <c r="BO14" s="72"/>
      <c r="BP14" s="119"/>
      <c r="BQ14" s="124"/>
      <c r="BR14" s="113"/>
      <c r="BS14" s="41"/>
      <c r="BT14" s="67">
        <v>-8.27</v>
      </c>
      <c r="BU14" s="72"/>
      <c r="BV14" s="119"/>
      <c r="BW14" s="124"/>
      <c r="BX14" s="113"/>
      <c r="BY14" s="41"/>
      <c r="BZ14" s="67"/>
      <c r="CA14" s="72"/>
      <c r="CB14" s="119"/>
      <c r="CC14" s="124"/>
      <c r="CD14" s="152"/>
      <c r="CE14" s="41"/>
      <c r="CF14" s="67"/>
      <c r="CG14" s="104"/>
      <c r="CH14" s="119"/>
      <c r="CI14" s="124"/>
      <c r="CJ14" s="113"/>
      <c r="CK14" s="41"/>
      <c r="CL14" s="67"/>
      <c r="CM14" s="72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72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72"/>
      <c r="DL14" s="119"/>
      <c r="DM14" s="148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67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72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72"/>
      <c r="BD15" s="119"/>
      <c r="BE15" s="124"/>
      <c r="BF15" s="113"/>
      <c r="BG15" s="41"/>
      <c r="BH15" s="67">
        <v>1010.05</v>
      </c>
      <c r="BI15" s="72"/>
      <c r="BJ15" s="119"/>
      <c r="BK15" s="124"/>
      <c r="BL15" s="113"/>
      <c r="BM15" s="87"/>
      <c r="BN15" s="67">
        <v>1004.44</v>
      </c>
      <c r="BO15" s="72"/>
      <c r="BP15" s="119"/>
      <c r="BQ15" s="124"/>
      <c r="BR15" s="113"/>
      <c r="BS15" s="41"/>
      <c r="BT15" s="67">
        <v>499.99</v>
      </c>
      <c r="BU15" s="72"/>
      <c r="BV15" s="119"/>
      <c r="BW15" s="124"/>
      <c r="BX15" s="113"/>
      <c r="BY15" s="41"/>
      <c r="BZ15" s="67">
        <v>503.08</v>
      </c>
      <c r="CA15" s="72"/>
      <c r="CB15" s="119"/>
      <c r="CC15" s="124"/>
      <c r="CD15" s="152"/>
      <c r="CE15" s="41"/>
      <c r="CF15" s="67">
        <v>509.55</v>
      </c>
      <c r="CG15" s="104"/>
      <c r="CH15" s="119"/>
      <c r="CI15" s="124"/>
      <c r="CJ15" s="113"/>
      <c r="CK15" s="41"/>
      <c r="CL15" s="67">
        <v>504.61</v>
      </c>
      <c r="CM15" s="72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72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72"/>
      <c r="DL15" s="119"/>
      <c r="DM15" s="148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67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72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72"/>
      <c r="BD16" s="119"/>
      <c r="BE16" s="124"/>
      <c r="BF16" s="113"/>
      <c r="BG16" s="41"/>
      <c r="BH16" s="67">
        <v>-102.30500000000001</v>
      </c>
      <c r="BI16" s="72"/>
      <c r="BJ16" s="119"/>
      <c r="BK16" s="124"/>
      <c r="BL16" s="113"/>
      <c r="BM16" s="87">
        <v>-58.45</v>
      </c>
      <c r="BN16" s="67">
        <v>-34</v>
      </c>
      <c r="BO16" s="72"/>
      <c r="BP16" s="119"/>
      <c r="BQ16" s="124"/>
      <c r="BR16" s="113"/>
      <c r="BS16" s="41"/>
      <c r="BT16" s="67"/>
      <c r="BU16" s="72"/>
      <c r="BV16" s="119"/>
      <c r="BW16" s="124"/>
      <c r="BX16" s="113"/>
      <c r="BY16" s="41"/>
      <c r="BZ16" s="67"/>
      <c r="CA16" s="72"/>
      <c r="CB16" s="119"/>
      <c r="CC16" s="124"/>
      <c r="CD16" s="152"/>
      <c r="CE16" s="41"/>
      <c r="CF16" s="67"/>
      <c r="CG16" s="104"/>
      <c r="CH16" s="119"/>
      <c r="CI16" s="124"/>
      <c r="CJ16" s="113"/>
      <c r="CK16" s="41"/>
      <c r="CL16" s="67"/>
      <c r="CM16" s="72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72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72"/>
      <c r="DL16" s="119"/>
      <c r="DM16" s="148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67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72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72"/>
      <c r="BD17" s="119"/>
      <c r="BE17" s="124"/>
      <c r="BF17" s="113"/>
      <c r="BG17" s="41"/>
      <c r="BH17" s="67"/>
      <c r="BI17" s="72"/>
      <c r="BJ17" s="119"/>
      <c r="BK17" s="124"/>
      <c r="BL17" s="113"/>
      <c r="BM17" s="87"/>
      <c r="BN17" s="67"/>
      <c r="BO17" s="72"/>
      <c r="BP17" s="119"/>
      <c r="BQ17" s="124"/>
      <c r="BR17" s="113"/>
      <c r="BS17" s="41"/>
      <c r="BT17" s="67"/>
      <c r="BU17" s="72"/>
      <c r="BV17" s="119"/>
      <c r="BW17" s="124"/>
      <c r="BX17" s="113"/>
      <c r="BY17" s="41"/>
      <c r="BZ17" s="67"/>
      <c r="CA17" s="72"/>
      <c r="CB17" s="119"/>
      <c r="CC17" s="124"/>
      <c r="CD17" s="152"/>
      <c r="CE17" s="41"/>
      <c r="CF17" s="67"/>
      <c r="CG17" s="104"/>
      <c r="CH17" s="119"/>
      <c r="CI17" s="124"/>
      <c r="CJ17" s="113"/>
      <c r="CK17" s="41"/>
      <c r="CL17" s="67"/>
      <c r="CM17" s="72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72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72"/>
      <c r="DL17" s="119"/>
      <c r="DM17" s="148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67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72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72"/>
      <c r="BD18" s="119"/>
      <c r="BE18" s="124"/>
      <c r="BF18" s="113"/>
      <c r="BG18" s="41"/>
      <c r="BH18" s="67"/>
      <c r="BI18" s="72"/>
      <c r="BJ18" s="119"/>
      <c r="BK18" s="124"/>
      <c r="BL18" s="113"/>
      <c r="BM18" s="87"/>
      <c r="BN18" s="67"/>
      <c r="BO18" s="72"/>
      <c r="BP18" s="119"/>
      <c r="BQ18" s="124"/>
      <c r="BR18" s="113">
        <v>-8.1999999999999993</v>
      </c>
      <c r="BS18" s="41"/>
      <c r="BT18" s="67"/>
      <c r="BU18" s="72"/>
      <c r="BV18" s="119"/>
      <c r="BW18" s="124"/>
      <c r="BX18" s="113"/>
      <c r="BY18" s="41"/>
      <c r="BZ18" s="67"/>
      <c r="CA18" s="72"/>
      <c r="CB18" s="119"/>
      <c r="CC18" s="124"/>
      <c r="CD18" s="152"/>
      <c r="CE18" s="41"/>
      <c r="CF18" s="67"/>
      <c r="CG18" s="104"/>
      <c r="CH18" s="119"/>
      <c r="CI18" s="124"/>
      <c r="CJ18" s="113"/>
      <c r="CK18" s="41"/>
      <c r="CL18" s="67"/>
      <c r="CM18" s="72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72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72"/>
      <c r="DL18" s="119"/>
      <c r="DM18" s="148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67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72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72"/>
      <c r="BD19" s="119"/>
      <c r="BE19" s="124"/>
      <c r="BF19" s="113"/>
      <c r="BG19" s="41"/>
      <c r="BH19" s="67">
        <v>-8.5950000000000006</v>
      </c>
      <c r="BI19" s="72"/>
      <c r="BJ19" s="119"/>
      <c r="BK19" s="124"/>
      <c r="BL19" s="113"/>
      <c r="BM19" s="87"/>
      <c r="BN19" s="67"/>
      <c r="BO19" s="72"/>
      <c r="BP19" s="119"/>
      <c r="BQ19" s="124"/>
      <c r="BR19" s="113"/>
      <c r="BS19" s="41"/>
      <c r="BT19" s="67">
        <v>-8.3450000000000006</v>
      </c>
      <c r="BU19" s="72"/>
      <c r="BV19" s="119"/>
      <c r="BW19" s="124"/>
      <c r="BX19" s="113"/>
      <c r="BY19" s="41"/>
      <c r="BZ19" s="67"/>
      <c r="CA19" s="72"/>
      <c r="CB19" s="119"/>
      <c r="CC19" s="124"/>
      <c r="CD19" s="152"/>
      <c r="CE19" s="41"/>
      <c r="CF19" s="67"/>
      <c r="CG19" s="104"/>
      <c r="CH19" s="119"/>
      <c r="CI19" s="124"/>
      <c r="CJ19" s="113"/>
      <c r="CK19" s="41"/>
      <c r="CL19" s="67"/>
      <c r="CM19" s="72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72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72"/>
      <c r="DL19" s="119"/>
      <c r="DM19" s="148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67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72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72"/>
      <c r="BD20" s="119"/>
      <c r="BE20" s="124"/>
      <c r="BF20" s="113"/>
      <c r="BG20" s="41"/>
      <c r="BH20" s="67"/>
      <c r="BI20" s="72"/>
      <c r="BJ20" s="119"/>
      <c r="BK20" s="124"/>
      <c r="BL20" s="113"/>
      <c r="BM20" s="87"/>
      <c r="BN20" s="67"/>
      <c r="BO20" s="72"/>
      <c r="BP20" s="119"/>
      <c r="BQ20" s="124"/>
      <c r="BR20" s="113"/>
      <c r="BS20" s="41"/>
      <c r="BT20" s="67"/>
      <c r="BU20" s="72"/>
      <c r="BV20" s="119"/>
      <c r="BW20" s="124"/>
      <c r="BX20" s="113"/>
      <c r="BY20" s="41"/>
      <c r="BZ20" s="67"/>
      <c r="CA20" s="72"/>
      <c r="CB20" s="119"/>
      <c r="CC20" s="124"/>
      <c r="CD20" s="152"/>
      <c r="CE20" s="41"/>
      <c r="CF20" s="67"/>
      <c r="CG20" s="104"/>
      <c r="CH20" s="119"/>
      <c r="CI20" s="124"/>
      <c r="CJ20" s="113"/>
      <c r="CK20" s="41"/>
      <c r="CL20" s="67"/>
      <c r="CM20" s="72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72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72"/>
      <c r="DL20" s="119"/>
      <c r="DM20" s="148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67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72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72"/>
      <c r="BD21" s="119"/>
      <c r="BE21" s="124"/>
      <c r="BF21" s="113"/>
      <c r="BG21" s="41"/>
      <c r="BH21" s="67"/>
      <c r="BI21" s="72"/>
      <c r="BJ21" s="119"/>
      <c r="BK21" s="124"/>
      <c r="BL21" s="113"/>
      <c r="BM21" s="87"/>
      <c r="BN21" s="67"/>
      <c r="BO21" s="72"/>
      <c r="BP21" s="119"/>
      <c r="BQ21" s="124"/>
      <c r="BR21" s="113"/>
      <c r="BS21" s="41"/>
      <c r="BT21" s="67"/>
      <c r="BU21" s="72"/>
      <c r="BV21" s="119"/>
      <c r="BW21" s="124"/>
      <c r="BX21" s="113"/>
      <c r="BY21" s="41"/>
      <c r="BZ21" s="67"/>
      <c r="CA21" s="72"/>
      <c r="CB21" s="119"/>
      <c r="CC21" s="124"/>
      <c r="CD21" s="152"/>
      <c r="CE21" s="41"/>
      <c r="CF21" s="67"/>
      <c r="CG21" s="104"/>
      <c r="CH21" s="119"/>
      <c r="CI21" s="124"/>
      <c r="CJ21" s="113"/>
      <c r="CK21" s="41"/>
      <c r="CL21" s="67"/>
      <c r="CM21" s="72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72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72"/>
      <c r="DL21" s="119"/>
      <c r="DM21" s="148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67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72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72"/>
      <c r="BD22" s="119"/>
      <c r="BE22" s="124"/>
      <c r="BF22" s="113"/>
      <c r="BG22" s="41"/>
      <c r="BH22" s="67"/>
      <c r="BI22" s="72"/>
      <c r="BJ22" s="119"/>
      <c r="BK22" s="124"/>
      <c r="BL22" s="113"/>
      <c r="BM22" s="87"/>
      <c r="BN22" s="67"/>
      <c r="BO22" s="72"/>
      <c r="BP22" s="119"/>
      <c r="BQ22" s="124"/>
      <c r="BR22" s="113"/>
      <c r="BS22" s="41"/>
      <c r="BT22" s="67"/>
      <c r="BU22" s="72"/>
      <c r="BV22" s="119"/>
      <c r="BW22" s="124"/>
      <c r="BX22" s="113"/>
      <c r="BY22" s="41"/>
      <c r="BZ22" s="67">
        <v>-63.67</v>
      </c>
      <c r="CA22" s="72"/>
      <c r="CB22" s="119"/>
      <c r="CC22" s="124"/>
      <c r="CD22" s="152"/>
      <c r="CE22" s="41"/>
      <c r="CF22" s="67"/>
      <c r="CG22" s="104"/>
      <c r="CH22" s="119"/>
      <c r="CI22" s="124"/>
      <c r="CJ22" s="113"/>
      <c r="CK22" s="41"/>
      <c r="CL22" s="67"/>
      <c r="CM22" s="72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72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72"/>
      <c r="DL22" s="119"/>
      <c r="DM22" s="148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67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72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72"/>
      <c r="BD23" s="119"/>
      <c r="BE23" s="124"/>
      <c r="BF23" s="113"/>
      <c r="BG23" s="41"/>
      <c r="BH23" s="67">
        <v>-8.5850000000000009</v>
      </c>
      <c r="BI23" s="72"/>
      <c r="BJ23" s="119"/>
      <c r="BK23" s="124"/>
      <c r="BL23" s="113"/>
      <c r="BM23" s="87">
        <v>-8.7799999999999994</v>
      </c>
      <c r="BN23" s="67"/>
      <c r="BO23" s="72"/>
      <c r="BP23" s="119"/>
      <c r="BQ23" s="124"/>
      <c r="BR23" s="113"/>
      <c r="BS23" s="41"/>
      <c r="BT23" s="67">
        <v>-16.594999999999999</v>
      </c>
      <c r="BU23" s="72"/>
      <c r="BV23" s="119"/>
      <c r="BW23" s="124"/>
      <c r="BX23" s="113"/>
      <c r="BY23" s="41">
        <v>-8.59</v>
      </c>
      <c r="BZ23" s="67"/>
      <c r="CA23" s="72"/>
      <c r="CB23" s="119"/>
      <c r="CC23" s="124"/>
      <c r="CD23" s="152"/>
      <c r="CE23" s="41">
        <v>-8.75</v>
      </c>
      <c r="CF23" s="67"/>
      <c r="CG23" s="104"/>
      <c r="CH23" s="119"/>
      <c r="CI23" s="124"/>
      <c r="CJ23" s="113"/>
      <c r="CK23" s="41"/>
      <c r="CL23" s="67"/>
      <c r="CM23" s="72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72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72"/>
      <c r="DL23" s="119"/>
      <c r="DM23" s="148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67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72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72"/>
      <c r="BD24" s="119"/>
      <c r="BE24" s="124"/>
      <c r="BF24" s="113"/>
      <c r="BG24" s="41"/>
      <c r="BH24" s="67"/>
      <c r="BI24" s="72"/>
      <c r="BJ24" s="119"/>
      <c r="BK24" s="124"/>
      <c r="BL24" s="113"/>
      <c r="BM24" s="87"/>
      <c r="BN24" s="67">
        <v>-66.86</v>
      </c>
      <c r="BO24" s="72"/>
      <c r="BP24" s="119"/>
      <c r="BQ24" s="124"/>
      <c r="BR24" s="113"/>
      <c r="BS24" s="41"/>
      <c r="BT24" s="67">
        <v>-66.784999999999997</v>
      </c>
      <c r="BU24" s="72"/>
      <c r="BV24" s="119"/>
      <c r="BW24" s="124"/>
      <c r="BX24" s="113"/>
      <c r="BY24" s="41">
        <v>-69.13</v>
      </c>
      <c r="BZ24" s="67"/>
      <c r="CA24" s="72"/>
      <c r="CB24" s="119"/>
      <c r="CC24" s="124"/>
      <c r="CD24" s="152"/>
      <c r="CE24" s="41"/>
      <c r="CF24" s="67">
        <v>-34.005000000000003</v>
      </c>
      <c r="CG24" s="104"/>
      <c r="CH24" s="119"/>
      <c r="CI24" s="124"/>
      <c r="CJ24" s="113"/>
      <c r="CK24" s="41"/>
      <c r="CL24" s="67">
        <v>-33.479999999999997</v>
      </c>
      <c r="CM24" s="72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72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72"/>
      <c r="DL24" s="119"/>
      <c r="DM24" s="148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67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72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72"/>
      <c r="BD25" s="119"/>
      <c r="BE25" s="124"/>
      <c r="BF25" s="113"/>
      <c r="BG25" s="41"/>
      <c r="BH25" s="67">
        <v>-33.604999999999997</v>
      </c>
      <c r="BI25" s="72"/>
      <c r="BJ25" s="119"/>
      <c r="BK25" s="124"/>
      <c r="BL25" s="113"/>
      <c r="BM25" s="87"/>
      <c r="BN25" s="67">
        <v>-33.479999999999997</v>
      </c>
      <c r="BO25" s="72"/>
      <c r="BP25" s="119"/>
      <c r="BQ25" s="124"/>
      <c r="BR25" s="113"/>
      <c r="BS25" s="41">
        <v>-34.9</v>
      </c>
      <c r="BT25" s="67"/>
      <c r="BU25" s="72"/>
      <c r="BV25" s="119"/>
      <c r="BW25" s="124"/>
      <c r="BX25" s="113"/>
      <c r="BY25" s="41"/>
      <c r="BZ25" s="67">
        <v>-33.924999999999997</v>
      </c>
      <c r="CA25" s="72"/>
      <c r="CB25" s="119"/>
      <c r="CC25" s="124"/>
      <c r="CD25" s="152"/>
      <c r="CE25" s="41"/>
      <c r="CF25" s="67"/>
      <c r="CG25" s="104"/>
      <c r="CH25" s="119"/>
      <c r="CI25" s="124"/>
      <c r="CJ25" s="113"/>
      <c r="CK25" s="41"/>
      <c r="CL25" s="67">
        <v>-33.965000000000003</v>
      </c>
      <c r="CM25" s="72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72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72"/>
      <c r="DL25" s="119"/>
      <c r="DM25" s="148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67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72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72"/>
      <c r="BD26" s="119"/>
      <c r="BE26" s="124"/>
      <c r="BF26" s="113"/>
      <c r="BG26" s="41"/>
      <c r="BH26" s="67">
        <v>-33.47</v>
      </c>
      <c r="BI26" s="72"/>
      <c r="BJ26" s="119"/>
      <c r="BK26" s="124"/>
      <c r="BL26" s="113"/>
      <c r="BM26" s="87"/>
      <c r="BN26" s="67">
        <v>-33.54</v>
      </c>
      <c r="BO26" s="72"/>
      <c r="BP26" s="119"/>
      <c r="BQ26" s="124"/>
      <c r="BR26" s="113"/>
      <c r="BS26" s="41"/>
      <c r="BT26" s="67"/>
      <c r="BU26" s="72"/>
      <c r="BV26" s="119"/>
      <c r="BW26" s="124"/>
      <c r="BX26" s="113"/>
      <c r="BY26" s="41">
        <v>-35.54</v>
      </c>
      <c r="BZ26" s="67"/>
      <c r="CA26" s="72"/>
      <c r="CB26" s="119"/>
      <c r="CC26" s="124"/>
      <c r="CD26" s="152"/>
      <c r="CE26" s="41"/>
      <c r="CF26" s="67"/>
      <c r="CG26" s="104"/>
      <c r="CH26" s="119"/>
      <c r="CI26" s="124"/>
      <c r="CJ26" s="113"/>
      <c r="CK26" s="41"/>
      <c r="CL26" s="67"/>
      <c r="CM26" s="72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72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72"/>
      <c r="DL26" s="119"/>
      <c r="DM26" s="148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67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72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72"/>
      <c r="BD27" s="119"/>
      <c r="BE27" s="124"/>
      <c r="BF27" s="113"/>
      <c r="BG27" s="41"/>
      <c r="BH27" s="67">
        <v>-17.184999999999999</v>
      </c>
      <c r="BI27" s="72"/>
      <c r="BJ27" s="119"/>
      <c r="BK27" s="124"/>
      <c r="BL27" s="113"/>
      <c r="BM27" s="87"/>
      <c r="BN27" s="67"/>
      <c r="BO27" s="72"/>
      <c r="BP27" s="119"/>
      <c r="BQ27" s="124"/>
      <c r="BR27" s="113"/>
      <c r="BS27" s="41">
        <v>-8.34</v>
      </c>
      <c r="BT27" s="67"/>
      <c r="BU27" s="72"/>
      <c r="BV27" s="119"/>
      <c r="BW27" s="124"/>
      <c r="BX27" s="113"/>
      <c r="BY27" s="41"/>
      <c r="BZ27" s="67">
        <v>-8.48</v>
      </c>
      <c r="CA27" s="72"/>
      <c r="CB27" s="119"/>
      <c r="CC27" s="124"/>
      <c r="CD27" s="152"/>
      <c r="CE27" s="41"/>
      <c r="CF27" s="67"/>
      <c r="CG27" s="104"/>
      <c r="CH27" s="119"/>
      <c r="CI27" s="124"/>
      <c r="CJ27" s="113"/>
      <c r="CK27" s="41"/>
      <c r="CL27" s="67"/>
      <c r="CM27" s="72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72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72"/>
      <c r="DL27" s="119"/>
      <c r="DM27" s="148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67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72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72"/>
      <c r="BD28" s="119"/>
      <c r="BE28" s="124"/>
      <c r="BF28" s="113"/>
      <c r="BG28" s="41"/>
      <c r="BH28" s="67"/>
      <c r="BI28" s="72"/>
      <c r="BJ28" s="119"/>
      <c r="BK28" s="124"/>
      <c r="BL28" s="113"/>
      <c r="BM28" s="87"/>
      <c r="BN28" s="67"/>
      <c r="BO28" s="72"/>
      <c r="BP28" s="119"/>
      <c r="BQ28" s="124"/>
      <c r="BR28" s="113"/>
      <c r="BS28" s="41">
        <v>-70.02</v>
      </c>
      <c r="BT28" s="67"/>
      <c r="BU28" s="72"/>
      <c r="BV28" s="119"/>
      <c r="BW28" s="124"/>
      <c r="BX28" s="113"/>
      <c r="BY28" s="41">
        <v>-68.47</v>
      </c>
      <c r="BZ28" s="67"/>
      <c r="CA28" s="72"/>
      <c r="CB28" s="119"/>
      <c r="CC28" s="124"/>
      <c r="CD28" s="152"/>
      <c r="CE28" s="41">
        <v>-69.599999999999994</v>
      </c>
      <c r="CF28" s="67"/>
      <c r="CG28" s="104"/>
      <c r="CH28" s="119"/>
      <c r="CI28" s="124"/>
      <c r="CJ28" s="113"/>
      <c r="CK28" s="41">
        <v>-64.760000000000005</v>
      </c>
      <c r="CL28" s="67"/>
      <c r="CM28" s="72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72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72"/>
      <c r="DL28" s="119"/>
      <c r="DM28" s="148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67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72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72"/>
      <c r="BD29" s="119"/>
      <c r="BE29" s="124"/>
      <c r="BF29" s="113"/>
      <c r="BG29" s="41"/>
      <c r="BH29" s="67">
        <v>-99.47</v>
      </c>
      <c r="BI29" s="72"/>
      <c r="BJ29" s="119"/>
      <c r="BK29" s="124"/>
      <c r="BL29" s="113"/>
      <c r="BM29" s="87"/>
      <c r="BN29" s="67">
        <v>-234.44</v>
      </c>
      <c r="BO29" s="72"/>
      <c r="BP29" s="119"/>
      <c r="BQ29" s="124"/>
      <c r="BR29" s="113"/>
      <c r="BS29" s="41"/>
      <c r="BT29" s="67">
        <v>-100.005</v>
      </c>
      <c r="BU29" s="72"/>
      <c r="BV29" s="119"/>
      <c r="BW29" s="124"/>
      <c r="BX29" s="113"/>
      <c r="BY29" s="41"/>
      <c r="BZ29" s="67">
        <v>-101.495</v>
      </c>
      <c r="CA29" s="72"/>
      <c r="CB29" s="119"/>
      <c r="CC29" s="124"/>
      <c r="CD29" s="152"/>
      <c r="CE29" s="41"/>
      <c r="CF29" s="67">
        <v>-102.185</v>
      </c>
      <c r="CG29" s="104"/>
      <c r="CH29" s="119"/>
      <c r="CI29" s="124"/>
      <c r="CJ29" s="113"/>
      <c r="CK29" s="41"/>
      <c r="CL29" s="67">
        <v>-33.634999999999998</v>
      </c>
      <c r="CM29" s="72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72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72"/>
      <c r="DL29" s="119"/>
      <c r="DM29" s="148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67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72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72"/>
      <c r="BD30" s="119"/>
      <c r="BE30" s="124"/>
      <c r="BF30" s="113"/>
      <c r="BG30" s="41"/>
      <c r="BH30" s="67"/>
      <c r="BI30" s="72"/>
      <c r="BJ30" s="119"/>
      <c r="BK30" s="124"/>
      <c r="BL30" s="113"/>
      <c r="BM30" s="87"/>
      <c r="BN30" s="67"/>
      <c r="BO30" s="72"/>
      <c r="BP30" s="119"/>
      <c r="BQ30" s="124"/>
      <c r="BR30" s="113"/>
      <c r="BS30" s="41"/>
      <c r="BT30" s="67"/>
      <c r="BU30" s="72"/>
      <c r="BV30" s="119"/>
      <c r="BW30" s="124"/>
      <c r="BX30" s="113"/>
      <c r="BY30" s="41"/>
      <c r="BZ30" s="67"/>
      <c r="CA30" s="72"/>
      <c r="CB30" s="119"/>
      <c r="CC30" s="124"/>
      <c r="CD30" s="152"/>
      <c r="CE30" s="41"/>
      <c r="CF30" s="67"/>
      <c r="CG30" s="104"/>
      <c r="CH30" s="119"/>
      <c r="CI30" s="124"/>
      <c r="CJ30" s="113"/>
      <c r="CK30" s="41"/>
      <c r="CL30" s="67"/>
      <c r="CM30" s="72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72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72"/>
      <c r="DL30" s="119"/>
      <c r="DM30" s="148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67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72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72"/>
      <c r="BD31" s="119"/>
      <c r="BE31" s="124"/>
      <c r="BF31" s="113"/>
      <c r="BG31" s="41"/>
      <c r="BH31" s="67"/>
      <c r="BI31" s="72"/>
      <c r="BJ31" s="119"/>
      <c r="BK31" s="124"/>
      <c r="BL31" s="113">
        <v>-8.31</v>
      </c>
      <c r="BM31" s="87"/>
      <c r="BN31" s="67"/>
      <c r="BO31" s="72"/>
      <c r="BP31" s="119"/>
      <c r="BQ31" s="124"/>
      <c r="BR31" s="113"/>
      <c r="BS31" s="41"/>
      <c r="BT31" s="67"/>
      <c r="BU31" s="72"/>
      <c r="BV31" s="119"/>
      <c r="BW31" s="124"/>
      <c r="BX31" s="113"/>
      <c r="BY31" s="41"/>
      <c r="BZ31" s="67"/>
      <c r="CA31" s="72"/>
      <c r="CB31" s="119"/>
      <c r="CC31" s="124"/>
      <c r="CD31" s="152"/>
      <c r="CE31" s="41"/>
      <c r="CF31" s="67"/>
      <c r="CG31" s="104"/>
      <c r="CH31" s="119"/>
      <c r="CI31" s="124"/>
      <c r="CJ31" s="113"/>
      <c r="CK31" s="41"/>
      <c r="CL31" s="67"/>
      <c r="CM31" s="72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72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72"/>
      <c r="DL31" s="119"/>
      <c r="DM31" s="148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67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72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72"/>
      <c r="BD32" s="119"/>
      <c r="BE32" s="124"/>
      <c r="BF32" s="113"/>
      <c r="BG32" s="41"/>
      <c r="BH32" s="67"/>
      <c r="BI32" s="72"/>
      <c r="BJ32" s="119"/>
      <c r="BK32" s="124"/>
      <c r="BL32" s="113"/>
      <c r="BM32" s="87">
        <v>-8.7899999999999991</v>
      </c>
      <c r="BN32" s="67"/>
      <c r="BO32" s="72"/>
      <c r="BP32" s="119"/>
      <c r="BQ32" s="124"/>
      <c r="BR32" s="113"/>
      <c r="BS32" s="41"/>
      <c r="BT32" s="67">
        <v>-8.75</v>
      </c>
      <c r="BU32" s="72"/>
      <c r="BV32" s="119"/>
      <c r="BW32" s="124"/>
      <c r="BX32" s="113"/>
      <c r="BY32" s="41"/>
      <c r="BZ32" s="67"/>
      <c r="CA32" s="72"/>
      <c r="CB32" s="119"/>
      <c r="CC32" s="124"/>
      <c r="CD32" s="152"/>
      <c r="CE32" s="41"/>
      <c r="CF32" s="67"/>
      <c r="CG32" s="104"/>
      <c r="CH32" s="119"/>
      <c r="CI32" s="124"/>
      <c r="CJ32" s="113"/>
      <c r="CK32" s="41"/>
      <c r="CL32" s="67"/>
      <c r="CM32" s="72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72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72"/>
      <c r="DL32" s="119"/>
      <c r="DM32" s="148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67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72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72"/>
      <c r="BD33" s="119"/>
      <c r="BE33" s="124"/>
      <c r="BF33" s="113"/>
      <c r="BG33" s="41"/>
      <c r="BH33" s="67">
        <v>504.59500000000003</v>
      </c>
      <c r="BI33" s="72"/>
      <c r="BJ33" s="119"/>
      <c r="BK33" s="124"/>
      <c r="BL33" s="113"/>
      <c r="BM33" s="87"/>
      <c r="BN33" s="67">
        <v>499.01</v>
      </c>
      <c r="BO33" s="72"/>
      <c r="BP33" s="119"/>
      <c r="BQ33" s="124"/>
      <c r="BR33" s="113"/>
      <c r="BS33" s="41"/>
      <c r="BT33" s="67">
        <v>506.17</v>
      </c>
      <c r="BU33" s="72"/>
      <c r="BV33" s="119"/>
      <c r="BW33" s="124"/>
      <c r="BX33" s="113"/>
      <c r="BY33" s="41"/>
      <c r="BZ33" s="67"/>
      <c r="CA33" s="72"/>
      <c r="CB33" s="119"/>
      <c r="CC33" s="124"/>
      <c r="CD33" s="152"/>
      <c r="CE33" s="41"/>
      <c r="CF33" s="67">
        <v>506.935</v>
      </c>
      <c r="CG33" s="104"/>
      <c r="CH33" s="119"/>
      <c r="CI33" s="124"/>
      <c r="CJ33" s="113"/>
      <c r="CK33" s="41"/>
      <c r="CL33" s="67">
        <v>505.91500000000002</v>
      </c>
      <c r="CM33" s="72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72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72"/>
      <c r="DL33" s="119"/>
      <c r="DM33" s="148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67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72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72"/>
      <c r="BD34" s="119"/>
      <c r="BE34" s="124"/>
      <c r="BF34" s="113"/>
      <c r="BG34" s="41"/>
      <c r="BH34" s="67">
        <v>-32.704999999999998</v>
      </c>
      <c r="BI34" s="72"/>
      <c r="BJ34" s="119"/>
      <c r="BK34" s="124"/>
      <c r="BL34" s="113"/>
      <c r="BM34" s="87"/>
      <c r="BN34" s="67">
        <v>-33.340000000000003</v>
      </c>
      <c r="BO34" s="72"/>
      <c r="BP34" s="119"/>
      <c r="BQ34" s="124"/>
      <c r="BR34" s="113"/>
      <c r="BS34" s="41"/>
      <c r="BT34" s="67">
        <v>-33.375</v>
      </c>
      <c r="BU34" s="72"/>
      <c r="BV34" s="119"/>
      <c r="BW34" s="124"/>
      <c r="BX34" s="113"/>
      <c r="BY34" s="41"/>
      <c r="BZ34" s="67">
        <v>-33.744999999999997</v>
      </c>
      <c r="CA34" s="72"/>
      <c r="CB34" s="119"/>
      <c r="CC34" s="124"/>
      <c r="CD34" s="152"/>
      <c r="CE34" s="41"/>
      <c r="CF34" s="67"/>
      <c r="CG34" s="104"/>
      <c r="CH34" s="119"/>
      <c r="CI34" s="124"/>
      <c r="CJ34" s="113"/>
      <c r="CK34" s="41"/>
      <c r="CL34" s="67"/>
      <c r="CM34" s="72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72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72"/>
      <c r="DL34" s="119"/>
      <c r="DM34" s="148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67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72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72"/>
      <c r="BD35" s="119"/>
      <c r="BE35" s="124"/>
      <c r="BF35" s="113"/>
      <c r="BG35" s="41"/>
      <c r="BH35" s="67">
        <v>-33.695</v>
      </c>
      <c r="BI35" s="72"/>
      <c r="BJ35" s="119"/>
      <c r="BK35" s="124"/>
      <c r="BL35" s="113"/>
      <c r="BM35" s="87"/>
      <c r="BN35" s="67"/>
      <c r="BO35" s="72"/>
      <c r="BP35" s="119"/>
      <c r="BQ35" s="124"/>
      <c r="BR35" s="113"/>
      <c r="BS35" s="41"/>
      <c r="BT35" s="67">
        <v>-33.284999999999997</v>
      </c>
      <c r="BU35" s="72"/>
      <c r="BV35" s="119"/>
      <c r="BW35" s="124"/>
      <c r="BX35" s="113"/>
      <c r="BY35" s="41"/>
      <c r="BZ35" s="67">
        <v>-33.74</v>
      </c>
      <c r="CA35" s="72"/>
      <c r="CB35" s="119"/>
      <c r="CC35" s="124"/>
      <c r="CD35" s="152"/>
      <c r="CE35" s="41"/>
      <c r="CF35" s="67">
        <v>-33.869999999999997</v>
      </c>
      <c r="CG35" s="104"/>
      <c r="CH35" s="119"/>
      <c r="CI35" s="124"/>
      <c r="CJ35" s="113"/>
      <c r="CK35" s="41"/>
      <c r="CL35" s="67"/>
      <c r="CM35" s="72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72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72"/>
      <c r="DL35" s="119"/>
      <c r="DM35" s="148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67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72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72"/>
      <c r="BD36" s="119"/>
      <c r="BE36" s="124"/>
      <c r="BF36" s="113"/>
      <c r="BG36" s="41"/>
      <c r="BH36" s="67">
        <v>-32.840000000000003</v>
      </c>
      <c r="BI36" s="72"/>
      <c r="BJ36" s="119"/>
      <c r="BK36" s="124"/>
      <c r="BL36" s="113"/>
      <c r="BM36" s="87"/>
      <c r="BN36" s="67"/>
      <c r="BO36" s="72"/>
      <c r="BP36" s="119"/>
      <c r="BQ36" s="124"/>
      <c r="BR36" s="113"/>
      <c r="BS36" s="41">
        <v>-34.57</v>
      </c>
      <c r="BT36" s="67"/>
      <c r="BU36" s="72"/>
      <c r="BV36" s="119"/>
      <c r="BW36" s="124"/>
      <c r="BX36" s="113"/>
      <c r="BY36" s="41">
        <v>-34.49</v>
      </c>
      <c r="BZ36" s="67"/>
      <c r="CA36" s="72"/>
      <c r="CB36" s="119"/>
      <c r="CC36" s="124"/>
      <c r="CD36" s="152"/>
      <c r="CE36" s="41"/>
      <c r="CF36" s="67"/>
      <c r="CG36" s="104"/>
      <c r="CH36" s="119"/>
      <c r="CI36" s="124"/>
      <c r="CJ36" s="113"/>
      <c r="CK36" s="41">
        <v>-14.58</v>
      </c>
      <c r="CL36" s="67"/>
      <c r="CM36" s="72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72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72"/>
      <c r="DL36" s="119"/>
      <c r="DM36" s="148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67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72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72"/>
      <c r="BD37" s="119"/>
      <c r="BE37" s="124"/>
      <c r="BF37" s="113"/>
      <c r="BG37" s="41"/>
      <c r="BH37" s="67"/>
      <c r="BI37" s="72"/>
      <c r="BJ37" s="119"/>
      <c r="BK37" s="124"/>
      <c r="BL37" s="113"/>
      <c r="BM37" s="87"/>
      <c r="BN37" s="67">
        <v>-33.25</v>
      </c>
      <c r="BO37" s="72"/>
      <c r="BP37" s="119"/>
      <c r="BQ37" s="124"/>
      <c r="BR37" s="113"/>
      <c r="BS37" s="41"/>
      <c r="BT37" s="67"/>
      <c r="BU37" s="72"/>
      <c r="BV37" s="119"/>
      <c r="BW37" s="124"/>
      <c r="BX37" s="113"/>
      <c r="BY37" s="41"/>
      <c r="BZ37" s="67"/>
      <c r="CA37" s="72"/>
      <c r="CB37" s="119"/>
      <c r="CC37" s="124"/>
      <c r="CD37" s="152"/>
      <c r="CE37" s="41"/>
      <c r="CF37" s="67"/>
      <c r="CG37" s="104"/>
      <c r="CH37" s="119"/>
      <c r="CI37" s="124"/>
      <c r="CJ37" s="113"/>
      <c r="CK37" s="41"/>
      <c r="CL37" s="67"/>
      <c r="CM37" s="72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72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72"/>
      <c r="DL37" s="119"/>
      <c r="DM37" s="148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67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72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72"/>
      <c r="BD38" s="119"/>
      <c r="BE38" s="124"/>
      <c r="BF38" s="113"/>
      <c r="BG38" s="41"/>
      <c r="BH38" s="67"/>
      <c r="BI38" s="72"/>
      <c r="BJ38" s="119"/>
      <c r="BK38" s="124"/>
      <c r="BL38" s="113"/>
      <c r="BM38" s="87"/>
      <c r="BN38" s="67"/>
      <c r="BO38" s="72"/>
      <c r="BP38" s="119"/>
      <c r="BQ38" s="124"/>
      <c r="BR38" s="113"/>
      <c r="BS38" s="41"/>
      <c r="BT38" s="67"/>
      <c r="BU38" s="72"/>
      <c r="BV38" s="119"/>
      <c r="BW38" s="124"/>
      <c r="BX38" s="113"/>
      <c r="BY38" s="41"/>
      <c r="BZ38" s="67"/>
      <c r="CA38" s="72"/>
      <c r="CB38" s="119"/>
      <c r="CC38" s="124"/>
      <c r="CD38" s="152"/>
      <c r="CE38" s="41"/>
      <c r="CF38" s="67"/>
      <c r="CG38" s="104"/>
      <c r="CH38" s="119"/>
      <c r="CI38" s="124"/>
      <c r="CJ38" s="113"/>
      <c r="CK38" s="41"/>
      <c r="CL38" s="67"/>
      <c r="CM38" s="72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72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72"/>
      <c r="DL38" s="119"/>
      <c r="DM38" s="148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67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72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72"/>
      <c r="BD39" s="119"/>
      <c r="BE39" s="124"/>
      <c r="BF39" s="113"/>
      <c r="BG39" s="41"/>
      <c r="BH39" s="67">
        <v>-33.68</v>
      </c>
      <c r="BI39" s="72"/>
      <c r="BJ39" s="119"/>
      <c r="BK39" s="124"/>
      <c r="BL39" s="113"/>
      <c r="BM39" s="87"/>
      <c r="BN39" s="67">
        <v>-33.31</v>
      </c>
      <c r="BO39" s="72"/>
      <c r="BP39" s="119"/>
      <c r="BQ39" s="124"/>
      <c r="BR39" s="113"/>
      <c r="BS39" s="41"/>
      <c r="BT39" s="67"/>
      <c r="BU39" s="72"/>
      <c r="BV39" s="119"/>
      <c r="BW39" s="124"/>
      <c r="BX39" s="113"/>
      <c r="BY39" s="41"/>
      <c r="BZ39" s="67"/>
      <c r="CA39" s="72"/>
      <c r="CB39" s="119"/>
      <c r="CC39" s="124"/>
      <c r="CD39" s="152"/>
      <c r="CE39" s="41"/>
      <c r="CF39" s="67"/>
      <c r="CG39" s="104"/>
      <c r="CH39" s="119"/>
      <c r="CI39" s="124"/>
      <c r="CJ39" s="113"/>
      <c r="CK39" s="41"/>
      <c r="CL39" s="67"/>
      <c r="CM39" s="72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72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72"/>
      <c r="DL39" s="119"/>
      <c r="DM39" s="148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67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72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72"/>
      <c r="BD40" s="119"/>
      <c r="BE40" s="124"/>
      <c r="BF40" s="113"/>
      <c r="BG40" s="41"/>
      <c r="BH40" s="67"/>
      <c r="BI40" s="72"/>
      <c r="BJ40" s="119"/>
      <c r="BK40" s="124"/>
      <c r="BL40" s="113"/>
      <c r="BM40" s="87"/>
      <c r="BN40" s="67"/>
      <c r="BO40" s="72"/>
      <c r="BP40" s="119"/>
      <c r="BQ40" s="124"/>
      <c r="BR40" s="113"/>
      <c r="BS40" s="41"/>
      <c r="BT40" s="67"/>
      <c r="BU40" s="72"/>
      <c r="BV40" s="119"/>
      <c r="BW40" s="124"/>
      <c r="BX40" s="113"/>
      <c r="BY40" s="41"/>
      <c r="BZ40" s="67"/>
      <c r="CA40" s="72"/>
      <c r="CB40" s="119"/>
      <c r="CC40" s="124"/>
      <c r="CD40" s="152"/>
      <c r="CE40" s="41"/>
      <c r="CF40" s="67"/>
      <c r="CG40" s="104"/>
      <c r="CH40" s="119"/>
      <c r="CI40" s="124"/>
      <c r="CJ40" s="113"/>
      <c r="CK40" s="41"/>
      <c r="CL40" s="67"/>
      <c r="CM40" s="72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72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72"/>
      <c r="DL40" s="119"/>
      <c r="DM40" s="148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67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72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72"/>
      <c r="BD41" s="119"/>
      <c r="BE41" s="124"/>
      <c r="BF41" s="113"/>
      <c r="BG41" s="41"/>
      <c r="BH41" s="67">
        <v>-33.585000000000001</v>
      </c>
      <c r="BI41" s="72"/>
      <c r="BJ41" s="119"/>
      <c r="BK41" s="124"/>
      <c r="BL41" s="113"/>
      <c r="BM41" s="87"/>
      <c r="BN41" s="67"/>
      <c r="BO41" s="72"/>
      <c r="BP41" s="119"/>
      <c r="BQ41" s="124"/>
      <c r="BR41" s="113"/>
      <c r="BS41" s="41"/>
      <c r="BT41" s="67">
        <v>-33.454999999999998</v>
      </c>
      <c r="BU41" s="72"/>
      <c r="BV41" s="119"/>
      <c r="BW41" s="124"/>
      <c r="BX41" s="113"/>
      <c r="BY41" s="41"/>
      <c r="BZ41" s="67"/>
      <c r="CA41" s="72"/>
      <c r="CB41" s="119"/>
      <c r="CC41" s="124"/>
      <c r="CD41" s="152"/>
      <c r="CE41" s="41"/>
      <c r="CF41" s="67"/>
      <c r="CG41" s="104"/>
      <c r="CH41" s="119"/>
      <c r="CI41" s="124"/>
      <c r="CJ41" s="113"/>
      <c r="CK41" s="41"/>
      <c r="CL41" s="67"/>
      <c r="CM41" s="72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72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72"/>
      <c r="DL41" s="119"/>
      <c r="DM41" s="148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67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72"/>
      <c r="BD42" s="119"/>
      <c r="BE42" s="124"/>
      <c r="BF42" s="113"/>
      <c r="BG42" s="41"/>
      <c r="BH42" s="67"/>
      <c r="BI42" s="72"/>
      <c r="BJ42" s="119"/>
      <c r="BK42" s="124"/>
      <c r="BL42" s="113"/>
      <c r="BM42" s="87"/>
      <c r="BN42" s="67">
        <v>-33.28</v>
      </c>
      <c r="BO42" s="72"/>
      <c r="BP42" s="119"/>
      <c r="BQ42" s="124"/>
      <c r="BR42" s="113"/>
      <c r="BS42" s="41">
        <v>-70.09</v>
      </c>
      <c r="BT42" s="67"/>
      <c r="BU42" s="72"/>
      <c r="BV42" s="119"/>
      <c r="BW42" s="124"/>
      <c r="BX42" s="113"/>
      <c r="BY42" s="41"/>
      <c r="BZ42" s="67">
        <v>-67.36</v>
      </c>
      <c r="CA42" s="72"/>
      <c r="CB42" s="119"/>
      <c r="CC42" s="124"/>
      <c r="CD42" s="152"/>
      <c r="CE42" s="41"/>
      <c r="CF42" s="67">
        <v>-101.49</v>
      </c>
      <c r="CG42" s="104"/>
      <c r="CH42" s="119"/>
      <c r="CI42" s="124"/>
      <c r="CJ42" s="113"/>
      <c r="CK42" s="41"/>
      <c r="CL42" s="67">
        <v>-33.56</v>
      </c>
      <c r="CM42" s="72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72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72"/>
      <c r="DL42" s="119"/>
      <c r="DM42" s="148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67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72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72"/>
      <c r="BD43" s="119"/>
      <c r="BE43" s="124"/>
      <c r="BF43" s="113"/>
      <c r="BG43" s="41"/>
      <c r="BH43" s="67"/>
      <c r="BI43" s="72"/>
      <c r="BJ43" s="119"/>
      <c r="BK43" s="124"/>
      <c r="BL43" s="113"/>
      <c r="BM43" s="87"/>
      <c r="BN43" s="67"/>
      <c r="BO43" s="72"/>
      <c r="BP43" s="119"/>
      <c r="BQ43" s="124"/>
      <c r="BR43" s="113"/>
      <c r="BS43" s="41"/>
      <c r="BT43" s="67"/>
      <c r="BU43" s="72"/>
      <c r="BV43" s="119"/>
      <c r="BW43" s="124"/>
      <c r="BX43" s="113"/>
      <c r="BY43" s="41"/>
      <c r="BZ43" s="67"/>
      <c r="CA43" s="72"/>
      <c r="CB43" s="119"/>
      <c r="CC43" s="124"/>
      <c r="CD43" s="152"/>
      <c r="CE43" s="41"/>
      <c r="CF43" s="67"/>
      <c r="CG43" s="104"/>
      <c r="CH43" s="119"/>
      <c r="CI43" s="124"/>
      <c r="CJ43" s="113"/>
      <c r="CK43" s="41"/>
      <c r="CL43" s="67"/>
      <c r="CM43" s="72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72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72"/>
      <c r="DL43" s="119"/>
      <c r="DM43" s="148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4"/>
      <c r="IN43" s="365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67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72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72"/>
      <c r="BD44" s="119"/>
      <c r="BE44" s="124"/>
      <c r="BF44" s="113"/>
      <c r="BG44" s="41"/>
      <c r="BH44" s="67"/>
      <c r="BI44" s="72"/>
      <c r="BJ44" s="119"/>
      <c r="BK44" s="124"/>
      <c r="BL44" s="113"/>
      <c r="BM44" s="87"/>
      <c r="BN44" s="67"/>
      <c r="BO44" s="72"/>
      <c r="BP44" s="119"/>
      <c r="BQ44" s="124"/>
      <c r="BR44" s="113"/>
      <c r="BS44" s="41"/>
      <c r="BT44" s="67">
        <v>-100.63</v>
      </c>
      <c r="BU44" s="72"/>
      <c r="BV44" s="119"/>
      <c r="BW44" s="124"/>
      <c r="BX44" s="113"/>
      <c r="BY44" s="41"/>
      <c r="BZ44" s="67"/>
      <c r="CA44" s="72"/>
      <c r="CB44" s="119"/>
      <c r="CC44" s="124"/>
      <c r="CD44" s="152"/>
      <c r="CE44" s="41"/>
      <c r="CF44" s="67"/>
      <c r="CG44" s="104"/>
      <c r="CH44" s="119"/>
      <c r="CI44" s="124"/>
      <c r="CJ44" s="113"/>
      <c r="CK44" s="41"/>
      <c r="CL44" s="67"/>
      <c r="CM44" s="72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72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72"/>
      <c r="DL44" s="119"/>
      <c r="DM44" s="148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4"/>
      <c r="IN44" s="365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150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69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150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69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69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150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150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150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69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7"/>
        <v>0</v>
      </c>
    </row>
    <row r="886" spans="1:249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18" t="s">
        <v>105</v>
      </c>
      <c r="B896" s="419"/>
      <c r="C896" s="270">
        <f>SUM(D896:JT896)</f>
        <v>56.231000000000002</v>
      </c>
      <c r="D896" s="366">
        <v>-1.37</v>
      </c>
      <c r="E896" s="52">
        <v>0.57999999999999996</v>
      </c>
      <c r="F896" s="366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74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2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6"/>
      <c r="IN896" s="367"/>
      <c r="IO896" s="54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74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106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69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74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74"/>
      <c r="BD1457" s="140"/>
      <c r="BE1457" s="140"/>
      <c r="BF1457" s="138"/>
      <c r="BG1457" s="185"/>
      <c r="BH1457" s="69"/>
      <c r="BI1457" s="74"/>
      <c r="BJ1457" s="140"/>
      <c r="BK1457" s="140"/>
      <c r="BL1457" s="115"/>
      <c r="BM1457" s="88">
        <v>34</v>
      </c>
      <c r="BN1457" s="69"/>
      <c r="BO1457" s="74"/>
      <c r="BP1457" s="140"/>
      <c r="BQ1457" s="126"/>
      <c r="BR1457" s="115"/>
      <c r="BS1457" s="139"/>
      <c r="BT1457" s="69"/>
      <c r="BU1457" s="74"/>
      <c r="BV1457" s="140"/>
      <c r="BW1457" s="126"/>
      <c r="BX1457" s="115"/>
      <c r="BY1457" s="42"/>
      <c r="BZ1457" s="69"/>
      <c r="CA1457" s="74"/>
      <c r="CB1457" s="140"/>
      <c r="CC1457" s="140"/>
      <c r="CD1457" s="182"/>
      <c r="CE1457" s="42"/>
      <c r="CF1457" s="69"/>
      <c r="CG1457" s="106">
        <v>-11.43</v>
      </c>
      <c r="CH1457" s="140"/>
      <c r="CI1457" s="140"/>
      <c r="CJ1457" s="138"/>
      <c r="CK1457" s="42">
        <v>34.93</v>
      </c>
      <c r="CL1457" s="69"/>
      <c r="CM1457" s="74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74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74"/>
      <c r="DL1457" s="121"/>
      <c r="DM1457" s="150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106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74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74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74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74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74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74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74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106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74">
        <v>-8.19</v>
      </c>
      <c r="CG1851" s="106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106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69">
        <v>-8.49</v>
      </c>
      <c r="CA1863" s="74">
        <v>-8.11</v>
      </c>
      <c r="CG1863" s="106">
        <v>-32.700000000000003</v>
      </c>
      <c r="CN1863" s="121">
        <v>-16.78</v>
      </c>
      <c r="CY1863" s="74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106">
        <v>-8.25</v>
      </c>
      <c r="CM1867" s="74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6">
        <v>-8.61</v>
      </c>
      <c r="CG1890" s="106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74">
        <v>-16.68</v>
      </c>
      <c r="BC1895" s="74">
        <v>-8.35</v>
      </c>
      <c r="BI1895" s="74">
        <v>-8.19</v>
      </c>
      <c r="BR1895" s="115">
        <v>-28.32</v>
      </c>
      <c r="BU1895" s="74">
        <v>-17.350000000000001</v>
      </c>
      <c r="CC1895" s="126">
        <v>-25.58</v>
      </c>
      <c r="CG1895" s="106">
        <v>-24.65</v>
      </c>
      <c r="CP1895" s="115">
        <v>-16.59</v>
      </c>
      <c r="CV1895" s="115">
        <v>-16.43</v>
      </c>
      <c r="DE1895" s="74">
        <v>-16.68</v>
      </c>
      <c r="DM1895" s="150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6">
        <v>-8.75</v>
      </c>
      <c r="CG1901" s="106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74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74">
        <v>-17.45</v>
      </c>
      <c r="CG1931" s="106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74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74">
        <v>-344.5</v>
      </c>
      <c r="CG1978" s="106">
        <v>-334.58</v>
      </c>
      <c r="DK1978" s="74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1">
        <v>-6.97</v>
      </c>
      <c r="BI2011" s="74">
        <v>-16.8</v>
      </c>
      <c r="BO2011" s="74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65.95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74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74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5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74">
        <f>-9.35-8.89</f>
        <v>-18.239999999999998</v>
      </c>
      <c r="BI2061" s="74">
        <f>-8.9-8.89</f>
        <v>-17.79</v>
      </c>
      <c r="DK2061" s="74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74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74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742.07</v>
      </c>
      <c r="CM2090" s="74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106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74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74">
        <v>-8.15</v>
      </c>
      <c r="BC2212" s="74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74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74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74">
        <v>-25.88</v>
      </c>
      <c r="AU2317" s="42">
        <v>8.59</v>
      </c>
      <c r="BA2317" s="42">
        <f>8.8+16.69</f>
        <v>25.49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-65.180000000000007</v>
      </c>
      <c r="CG2330" s="106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74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74">
        <v>-98.22</v>
      </c>
      <c r="BU2394" s="74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74">
        <f>-8.99-8.95</f>
        <v>-17.940000000000001</v>
      </c>
      <c r="CS2395" s="74">
        <f>-8.75-7.63</f>
        <v>-16.38</v>
      </c>
      <c r="CY2395" s="74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74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74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74">
        <v>-8.3000000000000007</v>
      </c>
      <c r="BU2563" s="74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74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74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74">
        <v>-33.71</v>
      </c>
      <c r="CG2593" s="106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74">
        <v>-31.6</v>
      </c>
      <c r="BU2605" s="74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74">
        <v>-23.49</v>
      </c>
      <c r="BC2626" s="74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74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74">
        <v>-8.0500000000000007</v>
      </c>
      <c r="BU2634" s="74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74">
        <v>-8.5</v>
      </c>
      <c r="BO2718" s="74">
        <v>-8.0500000000000007</v>
      </c>
      <c r="BX2718" s="115">
        <v>-8.2799999999999994</v>
      </c>
      <c r="CG2718" s="106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74">
        <v>-8.25</v>
      </c>
      <c r="BC2731" s="74">
        <v>-7.91</v>
      </c>
      <c r="BI2731" s="74">
        <v>-9.08</v>
      </c>
      <c r="BO2731" s="74">
        <v>-8</v>
      </c>
      <c r="BX2731" s="115">
        <v>-8.24</v>
      </c>
      <c r="CA2731" s="74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5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5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74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5">
        <v>-8.4649999999999999</v>
      </c>
      <c r="BU2815" s="74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5">
        <v>-8.2949999999999999</v>
      </c>
      <c r="CM2826" s="74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5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74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74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106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5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74">
        <v>-33.950000000000003</v>
      </c>
      <c r="CM2916" s="74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74">
        <v>-17.600000000000001</v>
      </c>
      <c r="CG2927" s="106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74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74">
        <v>-7.15</v>
      </c>
      <c r="BO2938" s="74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74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74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74">
        <v>-8.4499999999999993</v>
      </c>
      <c r="BI2966" s="74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74">
        <v>-8.5500000000000007</v>
      </c>
      <c r="BU2986" s="74">
        <v>-7.9</v>
      </c>
      <c r="BX2986" s="115">
        <v>-8.5549999999999997</v>
      </c>
      <c r="CA2986" s="74">
        <v>-17.2</v>
      </c>
      <c r="CM2986" s="74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74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74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74">
        <v>-8.0500000000000007</v>
      </c>
      <c r="BI3032" s="74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74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74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-19.010000000000002</v>
      </c>
      <c r="CM3145" s="74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74">
        <v>-30.59</v>
      </c>
      <c r="BU3146" s="74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74">
        <v>-6.3</v>
      </c>
      <c r="BI3201" s="74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106">
        <v>-25.8</v>
      </c>
      <c r="CM3207" s="74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74">
        <v>-8.26</v>
      </c>
      <c r="BI3211" s="74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74">
        <v>-7.01</v>
      </c>
      <c r="BI3213" s="74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74">
        <v>-16.98</v>
      </c>
      <c r="CG3227" s="106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74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74">
        <v>-16.84</v>
      </c>
      <c r="BO3336" s="74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74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74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74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74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74">
        <v>-8.2100000000000009</v>
      </c>
      <c r="BI3458" s="74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74">
        <v>-7.5149999999999997</v>
      </c>
      <c r="BU3464" s="74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106">
        <v>-8.2650000000000006</v>
      </c>
      <c r="CM3497" s="74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74">
        <f>-9-8.01</f>
        <v>-17.010000000000002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74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150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74">
        <v>-3.82</v>
      </c>
      <c r="DM3552" s="150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74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74">
        <v>-68.234999999999999</v>
      </c>
      <c r="CY3577" s="74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74">
        <v>-3.48</v>
      </c>
      <c r="CY3602" s="74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74">
        <v>-17.66</v>
      </c>
      <c r="BC3658" s="74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74">
        <v>-8</v>
      </c>
      <c r="BU3659" s="74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-26.3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125.23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106">
        <v>-17.035</v>
      </c>
      <c r="CM3698" s="74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74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74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74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-26.105</v>
      </c>
      <c r="BO3843" s="74">
        <f>-8.15-8.18-8.165</f>
        <v>-24.495000000000001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106">
        <v>-8.2949999999999999</v>
      </c>
      <c r="CM3851" s="74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106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74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74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74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74">
        <v>-7.92</v>
      </c>
      <c r="BL4022" s="115">
        <v>-8.3800000000000008</v>
      </c>
      <c r="BO4022" s="74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74">
        <v>-9.06</v>
      </c>
      <c r="BO4040" s="74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74">
        <v>-8.15</v>
      </c>
      <c r="BO4045" s="74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74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6">
        <v>-7.56</v>
      </c>
      <c r="CG4092" s="106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74">
        <v>-8.0549999999999997</v>
      </c>
      <c r="CA4109" s="74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106">
        <v>-33.884999999999998</v>
      </c>
      <c r="CY4113" s="74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5">
        <v>-8.3699999999999992</v>
      </c>
      <c r="BO4143" s="74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1">
        <v>-7.39</v>
      </c>
      <c r="BO4147" s="74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74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6">
        <v>-9</v>
      </c>
      <c r="CG4154" s="106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106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0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1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74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74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74">
        <v>-8.91</v>
      </c>
      <c r="BU4244" s="74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74">
        <v>-7.8650000000000002</v>
      </c>
      <c r="BI4279" s="74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74">
        <v>-7.93</v>
      </c>
      <c r="BU4280" s="74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</v>
      </c>
      <c r="CA4284" s="74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74">
        <v>-8.8149999999999995</v>
      </c>
      <c r="CA4303" s="74">
        <v>-9.0050000000000008</v>
      </c>
      <c r="CH4303" s="121">
        <v>-8.33</v>
      </c>
      <c r="CM4303" s="74">
        <v>-8.49</v>
      </c>
      <c r="CY4303" s="74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74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74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74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74">
        <v>-7.89</v>
      </c>
      <c r="BI4389" s="74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74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74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5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74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0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74">
        <v>-8.5</v>
      </c>
      <c r="BO4437" s="74">
        <v>-8.2449999999999992</v>
      </c>
      <c r="BX4437" s="115">
        <v>-10.02</v>
      </c>
      <c r="CG4437" s="106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74">
        <f>-8.365-7.125</f>
        <v>-15.49</v>
      </c>
      <c r="CA4459" s="74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5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74">
        <v>-8.2750000000000004</v>
      </c>
      <c r="BI4484" s="74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1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74">
        <v>-8.4</v>
      </c>
      <c r="DM4522" s="150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74">
        <f>-31.97-32.24</f>
        <v>-64.209999999999994</v>
      </c>
      <c r="BO4530" s="74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5"/>
        <v>-134.30000000000001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179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74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74"/>
      <c r="BD4537" s="179"/>
      <c r="BE4537" s="179"/>
      <c r="BF4537" s="177"/>
      <c r="BG4537" s="178"/>
      <c r="BH4537" s="69"/>
      <c r="BI4537" s="74"/>
      <c r="BJ4537" s="179"/>
      <c r="BK4537" s="179"/>
      <c r="BL4537" s="115"/>
      <c r="BM4537" s="178"/>
      <c r="BN4537" s="69"/>
      <c r="BO4537" s="74"/>
      <c r="BP4537" s="179"/>
      <c r="BQ4537" s="179"/>
      <c r="BR4537" s="115"/>
      <c r="BS4537" s="178"/>
      <c r="BT4537" s="69"/>
      <c r="BU4537" s="74"/>
      <c r="BV4537" s="179"/>
      <c r="BW4537" s="179"/>
      <c r="BX4537" s="115"/>
      <c r="BY4537" s="178"/>
      <c r="BZ4537" s="179"/>
      <c r="CA4537" s="74">
        <v>2.0299999999999998</v>
      </c>
      <c r="CB4537" s="179"/>
      <c r="CC4537" s="179"/>
      <c r="CD4537" s="182"/>
      <c r="CE4537" s="178"/>
      <c r="CF4537" s="69"/>
      <c r="CG4537" s="106">
        <v>5.0000000000000001E-3</v>
      </c>
      <c r="CH4537" s="179"/>
      <c r="CI4537" s="179"/>
      <c r="CJ4537" s="177"/>
      <c r="CK4537" s="178"/>
      <c r="CL4537" s="179"/>
      <c r="CM4537" s="74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74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74">
        <v>8.2850000000000001</v>
      </c>
      <c r="DL4537" s="179"/>
      <c r="DM4537" s="177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5"/>
        <v>-57.87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-64.334999999999994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74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74">
        <v>-33.049999999999997</v>
      </c>
      <c r="DK4597" s="74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74">
        <f>109.145+109.65</f>
        <v>218.79499999999999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74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74">
        <v>-32.185000000000002</v>
      </c>
      <c r="BI4748" s="74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74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-65.260000000000005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74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74">
        <v>-8.1649999999999991</v>
      </c>
      <c r="BU4794" s="74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150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74">
        <v>-8.8699999999999992</v>
      </c>
      <c r="CA4842" s="74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74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27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80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179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74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74" t="s">
        <v>216</v>
      </c>
      <c r="BD4895" s="179"/>
      <c r="BE4895" s="179"/>
      <c r="BF4895" s="177"/>
      <c r="BG4895" s="178"/>
      <c r="BH4895" s="69"/>
      <c r="BI4895" s="74" t="s">
        <v>216</v>
      </c>
      <c r="BJ4895" s="179"/>
      <c r="BK4895" s="179"/>
      <c r="BL4895" s="115"/>
      <c r="BM4895" s="178"/>
      <c r="BN4895" s="69"/>
      <c r="BO4895" s="74" t="s">
        <v>216</v>
      </c>
      <c r="BP4895" s="179"/>
      <c r="BQ4895" s="179"/>
      <c r="BR4895" s="115"/>
      <c r="BS4895" s="178"/>
      <c r="BT4895" s="69"/>
      <c r="BU4895" s="74" t="s">
        <v>216</v>
      </c>
      <c r="BV4895" s="179"/>
      <c r="BW4895" s="179"/>
      <c r="BX4895" s="115"/>
      <c r="BY4895" s="178"/>
      <c r="BZ4895" s="179"/>
      <c r="CA4895" s="74"/>
      <c r="CB4895" s="179"/>
      <c r="CC4895" s="179"/>
      <c r="CD4895" s="182"/>
      <c r="CE4895" s="178"/>
      <c r="CF4895" s="69" t="s">
        <v>216</v>
      </c>
      <c r="CG4895" s="106"/>
      <c r="CH4895" s="179"/>
      <c r="CI4895" s="179"/>
      <c r="CJ4895" s="177"/>
      <c r="CK4895" s="178"/>
      <c r="CL4895" s="179"/>
      <c r="CM4895" s="74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74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74">
        <v>-6.875</v>
      </c>
      <c r="DL4895" s="179"/>
      <c r="DM4895" s="177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74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74">
        <v>-7.8449999999999998</v>
      </c>
      <c r="BO4901" s="74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15">
        <v>33.33</v>
      </c>
      <c r="CD4902" s="182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5">
        <v>-16.98</v>
      </c>
      <c r="BX4903" s="115">
        <v>-16.66</v>
      </c>
      <c r="CD4903" s="182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82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74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82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5">
        <v>-8.4749999999999996</v>
      </c>
      <c r="CM4908" s="74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74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5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69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74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-56.994999999999997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74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69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6">
        <v>-9.23</v>
      </c>
      <c r="DD5013" s="69">
        <v>-5.8</v>
      </c>
      <c r="DK5013" s="74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74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74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74">
        <v>-7.5650000000000004</v>
      </c>
      <c r="BO5043" s="74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74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106">
        <v>-8.5150000000000006</v>
      </c>
      <c r="CM5139" s="74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0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74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74">
        <v>-8.31</v>
      </c>
      <c r="CA5210" s="74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74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74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74">
        <v>-8.0950000000000006</v>
      </c>
      <c r="BO5245" s="74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74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74">
        <v>-8.3849999999999998</v>
      </c>
      <c r="AW5268" s="74">
        <f>-8.17-8.015-9.06</f>
        <v>-25.245000000000001</v>
      </c>
      <c r="BC5268" s="74">
        <f>-8.01-8.02</f>
        <v>-16.03</v>
      </c>
      <c r="BO5268" s="74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74">
        <v>-8.3450000000000006</v>
      </c>
      <c r="BC5270" s="74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-8.7799999999999994</v>
      </c>
      <c r="AW5293" s="74">
        <v>-7.98</v>
      </c>
      <c r="BI5293" s="74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74">
        <v>-7.9</v>
      </c>
      <c r="BO5314" s="74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74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74">
        <v>-14.545</v>
      </c>
      <c r="BQ5331" s="126">
        <v>-8.89</v>
      </c>
      <c r="CA5331" s="74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74">
        <v>-16.87</v>
      </c>
      <c r="CA5334" s="74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74">
        <v>-7.9950000000000001</v>
      </c>
      <c r="BQ5336" s="126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150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74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106">
        <v>-8.07</v>
      </c>
      <c r="CU5352" s="126">
        <v>-8.1999999999999993</v>
      </c>
      <c r="CY5352" s="74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74">
        <v>-16.785</v>
      </c>
      <c r="BI5361" s="74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74">
        <v>-8.5</v>
      </c>
      <c r="DA5367" s="126">
        <v>-7.77</v>
      </c>
      <c r="DK5367" s="74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74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74">
        <v>-7.49</v>
      </c>
      <c r="CG5447" s="106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150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74">
        <v>-7.5049999999999999</v>
      </c>
      <c r="BO5454" s="74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74">
        <v>-7.85</v>
      </c>
      <c r="CM5468" s="74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106">
        <v>-8.5350000000000001</v>
      </c>
      <c r="CM5500" s="74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-16.995000000000001</v>
      </c>
      <c r="BU5515" s="74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74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74">
        <f>8.11+5.7</f>
        <v>13.81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74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74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74">
        <f>-7.4-7.7</f>
        <v>-15.1</v>
      </c>
      <c r="BU5631" s="74">
        <f>-8.45-7.8</f>
        <v>-16.25</v>
      </c>
      <c r="CA5631" s="74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150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74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74">
        <v>-6.65</v>
      </c>
      <c r="CA5684" s="74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74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5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74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150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74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74">
        <v>-8.5150000000000006</v>
      </c>
      <c r="BU5762" s="74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74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74">
        <v>-16.045000000000002</v>
      </c>
      <c r="BU5790" s="74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74">
        <v>-17.920000000000002</v>
      </c>
      <c r="CG5799" s="106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74">
        <v>-8.19</v>
      </c>
      <c r="BU5814" s="74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0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74">
        <v>-24.49</v>
      </c>
      <c r="BU5833" s="74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74">
        <v>-7.98</v>
      </c>
      <c r="BD5835" s="121">
        <v>-16.46</v>
      </c>
      <c r="BO5835" s="74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74">
        <v>-8.35</v>
      </c>
      <c r="CA5839" s="74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150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74">
        <f>-9.035-9.345-8.12</f>
        <v>-26.5</v>
      </c>
      <c r="BO5875" s="74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74">
        <f>-4.3-8.645-8.665</f>
        <v>-21.61</v>
      </c>
      <c r="CG5887" s="106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74">
        <v>-25.32</v>
      </c>
      <c r="CA5888" s="74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74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74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74">
        <v>-8.1850000000000005</v>
      </c>
      <c r="DA5913" s="126">
        <v>-8.57</v>
      </c>
      <c r="DE5913" s="74">
        <v>-8.6300000000000008</v>
      </c>
      <c r="DM5913" s="150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-24.504999999999999</v>
      </c>
      <c r="CG5920" s="106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74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74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74">
        <v>-8.68</v>
      </c>
      <c r="AY5935" s="126">
        <v>8.68</v>
      </c>
      <c r="BU5935" s="74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74">
        <v>-8.9</v>
      </c>
      <c r="BW5944" s="126">
        <v>-7.03</v>
      </c>
      <c r="CA5944" s="74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-25.395</v>
      </c>
      <c r="CM5947" s="74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74">
        <v>-7.9850000000000003</v>
      </c>
      <c r="BI5957" s="74">
        <v>-7.7750000000000004</v>
      </c>
      <c r="BW5957" s="126">
        <v>-6.65</v>
      </c>
      <c r="CA5957" s="74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106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6">
        <v>-21.01</v>
      </c>
      <c r="CA5959" s="74">
        <v>-16.844999999999999</v>
      </c>
      <c r="CM5959" s="74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74">
        <v>-7.89</v>
      </c>
      <c r="CA5962" s="74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74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-66.989999999999995</v>
      </c>
      <c r="CG5975" s="106">
        <f>-34.555-34.735</f>
        <v>-69.290000000000006</v>
      </c>
      <c r="CM5975" s="74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0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74">
        <v>-30.02</v>
      </c>
      <c r="CA6034" s="74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74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74">
        <v>-8.125</v>
      </c>
      <c r="BZ6045" s="69">
        <v>16.829999999999998</v>
      </c>
      <c r="DM6045" s="150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74">
        <v>-8.4149999999999991</v>
      </c>
      <c r="CM6066" s="74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74">
        <v>-17.975000000000001</v>
      </c>
      <c r="BU6087" s="74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5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74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74">
        <v>-8.6199999999999992</v>
      </c>
      <c r="AW6108" s="74">
        <f>-8.045-8.145</f>
        <v>-16.190000000000001</v>
      </c>
      <c r="BC6108" s="74">
        <v>-7.915</v>
      </c>
      <c r="CS6108" s="74">
        <f>-8.645-8.67</f>
        <v>-17.315000000000001</v>
      </c>
      <c r="CY6108" s="74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3" si="115">SUM(D6121:JT6121)</f>
        <v>265.5</v>
      </c>
      <c r="BL6121" s="115">
        <v>32.494999999999997</v>
      </c>
      <c r="BR6121" s="115">
        <v>33.57</v>
      </c>
      <c r="BX6121" s="115">
        <v>66.63</v>
      </c>
      <c r="CD6121" s="182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15">
        <v>-16.62</v>
      </c>
      <c r="CD6122" s="182">
        <v>-16.635000000000002</v>
      </c>
      <c r="CJ6122" s="115">
        <v>-16.59</v>
      </c>
      <c r="CM6122" s="74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5">
        <v>-16.670000000000002</v>
      </c>
      <c r="CD6123" s="182">
        <v>-16.594999999999999</v>
      </c>
      <c r="CJ6123" s="115">
        <v>-16.63</v>
      </c>
      <c r="CM6123" s="74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82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74">
        <f>-8.51-7.93</f>
        <v>-16.440000000000001</v>
      </c>
      <c r="BC6133" s="74">
        <v>-8.58</v>
      </c>
      <c r="BI6133" s="74">
        <f>-8.62-8.595</f>
        <v>-17.215</v>
      </c>
      <c r="BO6133" s="74">
        <v>-8.58</v>
      </c>
      <c r="CD6133" s="182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74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145">
        <v>-7.24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1" t="s">
        <v>10</v>
      </c>
      <c r="C3" s="421"/>
      <c r="D3" s="245"/>
    </row>
    <row r="4" spans="1:4" ht="20.100000000000001" customHeight="1" x14ac:dyDescent="0.25">
      <c r="A4" s="245"/>
      <c r="B4" s="421"/>
      <c r="C4" s="421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>
      <selection activeCell="F14" sqref="F14"/>
    </sheetView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9" t="s">
        <v>240</v>
      </c>
      <c r="B1" s="369" t="s">
        <v>241</v>
      </c>
      <c r="C1" s="369" t="s">
        <v>220</v>
      </c>
      <c r="D1" s="369" t="s">
        <v>4</v>
      </c>
      <c r="E1" s="368" t="s">
        <v>2</v>
      </c>
      <c r="F1" s="368" t="s">
        <v>3</v>
      </c>
      <c r="G1" s="368" t="s">
        <v>113</v>
      </c>
      <c r="H1" s="368" t="s">
        <v>5</v>
      </c>
      <c r="I1" s="368" t="s">
        <v>6</v>
      </c>
      <c r="J1" s="368" t="s">
        <v>115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32">
        <v>0.4</v>
      </c>
      <c r="B2" s="369" t="s">
        <v>128</v>
      </c>
      <c r="C2" s="369">
        <v>102</v>
      </c>
      <c r="D2" s="330">
        <f>SUM(E2:J2)</f>
        <v>0</v>
      </c>
      <c r="E2" s="308"/>
      <c r="F2" s="308"/>
      <c r="G2" s="308"/>
      <c r="H2" s="308"/>
      <c r="I2" s="308"/>
      <c r="J2" s="308">
        <f>'STOK DETAY'!D6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32">
        <v>0.5</v>
      </c>
      <c r="B3" s="369" t="s">
        <v>128</v>
      </c>
      <c r="C3" s="369">
        <v>102</v>
      </c>
      <c r="D3" s="330">
        <f t="shared" ref="D3:D5" si="0">SUM(E3:J3)</f>
        <v>0</v>
      </c>
      <c r="E3" s="308"/>
      <c r="F3" s="308"/>
      <c r="G3" s="308"/>
      <c r="H3" s="308"/>
      <c r="I3" s="308"/>
      <c r="J3" s="308">
        <f>'STOK DETAY'!E6</f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32">
        <v>0.6</v>
      </c>
      <c r="B4" s="369" t="s">
        <v>128</v>
      </c>
      <c r="C4" s="369">
        <v>102</v>
      </c>
      <c r="D4" s="330">
        <f t="shared" si="0"/>
        <v>0</v>
      </c>
      <c r="E4" s="308"/>
      <c r="F4" s="308"/>
      <c r="G4" s="308"/>
      <c r="H4" s="308"/>
      <c r="I4" s="308"/>
      <c r="J4" s="308">
        <f>'STOK DETAY'!F6</f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32">
        <v>2.6</v>
      </c>
      <c r="B5" s="369" t="s">
        <v>128</v>
      </c>
      <c r="C5" s="369"/>
      <c r="D5" s="330">
        <f t="shared" si="0"/>
        <v>0</v>
      </c>
      <c r="E5" s="330"/>
      <c r="F5" s="330"/>
      <c r="G5" s="330"/>
      <c r="H5" s="330"/>
      <c r="I5" s="330"/>
      <c r="J5" s="330">
        <f>'STOK DETAY'!G6</f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32">
        <v>0.1</v>
      </c>
      <c r="B6" s="369" t="s">
        <v>55</v>
      </c>
      <c r="C6" s="369">
        <v>312</v>
      </c>
      <c r="D6" s="330">
        <f>SUM(E6:J6)</f>
        <v>92.75</v>
      </c>
      <c r="E6" s="308"/>
      <c r="F6" s="308"/>
      <c r="G6" s="308">
        <f>'STOK DETAY'!H6</f>
        <v>92.75</v>
      </c>
      <c r="H6" s="308"/>
      <c r="I6" s="308"/>
      <c r="J6" s="308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32">
        <v>0.16</v>
      </c>
      <c r="B7" s="369" t="s">
        <v>55</v>
      </c>
      <c r="C7" s="369">
        <v>113</v>
      </c>
      <c r="D7" s="330">
        <f t="shared" ref="D7:D53" si="1">SUM(E7:J7)</f>
        <v>38.11</v>
      </c>
      <c r="E7" s="330"/>
      <c r="F7" s="330"/>
      <c r="G7" s="330">
        <f>'STOK DETAY'!I6</f>
        <v>38.11</v>
      </c>
      <c r="H7" s="330"/>
      <c r="I7" s="330"/>
      <c r="J7" s="330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32">
        <v>0.2</v>
      </c>
      <c r="B8" s="369" t="s">
        <v>55</v>
      </c>
      <c r="C8" s="369">
        <v>103</v>
      </c>
      <c r="D8" s="330">
        <f t="shared" si="1"/>
        <v>0</v>
      </c>
      <c r="E8" s="330"/>
      <c r="F8" s="330">
        <f>'STOK DETAY'!L6</f>
        <v>0</v>
      </c>
      <c r="G8" s="330">
        <f>'STOK DETAY'!M6</f>
        <v>0</v>
      </c>
      <c r="H8" s="330"/>
      <c r="I8" s="330"/>
      <c r="J8" s="330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32">
        <v>0.25</v>
      </c>
      <c r="B9" s="369" t="s">
        <v>55</v>
      </c>
      <c r="C9" s="369">
        <v>103</v>
      </c>
      <c r="D9" s="330">
        <f t="shared" si="1"/>
        <v>0</v>
      </c>
      <c r="E9" s="330">
        <f>'STOK DETAY'!N6</f>
        <v>0</v>
      </c>
      <c r="F9" s="330">
        <f>'STOK DETAY'!O6</f>
        <v>0</v>
      </c>
      <c r="G9" s="330">
        <f>'STOK DETAY'!P6</f>
        <v>0</v>
      </c>
      <c r="H9" s="330"/>
      <c r="I9" s="330">
        <f>'STOK DETAY'!Q6</f>
        <v>0</v>
      </c>
      <c r="J9" s="330">
        <f>'STOK DETAY'!R6</f>
        <v>0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32">
        <v>0.28000000000000003</v>
      </c>
      <c r="B10" s="369" t="s">
        <v>143</v>
      </c>
      <c r="C10" s="369"/>
      <c r="D10" s="330">
        <f t="shared" si="1"/>
        <v>111.91</v>
      </c>
      <c r="E10" s="330"/>
      <c r="F10" s="330"/>
      <c r="G10" s="330">
        <f>'STOK DETAY'!S6</f>
        <v>111.91</v>
      </c>
      <c r="H10" s="330"/>
      <c r="I10" s="330"/>
      <c r="J10" s="330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32">
        <v>0.3</v>
      </c>
      <c r="B11" s="369" t="s">
        <v>55</v>
      </c>
      <c r="C11" s="369">
        <v>201</v>
      </c>
      <c r="D11" s="330">
        <f t="shared" si="1"/>
        <v>54.594999999999999</v>
      </c>
      <c r="E11" s="330">
        <f>'STOK DETAY'!T6</f>
        <v>0</v>
      </c>
      <c r="F11" s="330">
        <f>'STOK DETAY'!U6</f>
        <v>0</v>
      </c>
      <c r="G11" s="334">
        <f>'STOK DETAY'!V6</f>
        <v>54.594999999999999</v>
      </c>
      <c r="H11" s="330"/>
      <c r="I11" s="330"/>
      <c r="J11" s="330">
        <f>'STOK DETAY'!W6</f>
        <v>0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32">
        <v>0.35</v>
      </c>
      <c r="B12" s="369" t="s">
        <v>55</v>
      </c>
      <c r="C12" s="369">
        <v>201</v>
      </c>
      <c r="D12" s="330">
        <f t="shared" si="1"/>
        <v>16.89</v>
      </c>
      <c r="E12" s="330">
        <f>'STOK DETAY'!X6</f>
        <v>0</v>
      </c>
      <c r="F12" s="330">
        <f>'STOK DETAY'!Y6</f>
        <v>0</v>
      </c>
      <c r="G12" s="330">
        <f>'STOK DETAY'!Z6</f>
        <v>16.89</v>
      </c>
      <c r="H12" s="330"/>
      <c r="I12" s="330"/>
      <c r="J12" s="330"/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32">
        <v>0.4</v>
      </c>
      <c r="B13" s="369" t="s">
        <v>55</v>
      </c>
      <c r="C13" s="369">
        <v>202</v>
      </c>
      <c r="D13" s="330">
        <f t="shared" si="1"/>
        <v>25.8</v>
      </c>
      <c r="E13" s="330">
        <f>'STOK DETAY'!AA6</f>
        <v>0</v>
      </c>
      <c r="F13" s="330">
        <f>'STOK DETAY'!AB6</f>
        <v>0</v>
      </c>
      <c r="G13" s="330">
        <f>'STOK DETAY'!AC6</f>
        <v>25.8</v>
      </c>
      <c r="H13" s="330"/>
      <c r="I13" s="330"/>
      <c r="J13" s="330">
        <f>'STOK DETAY'!AD6</f>
        <v>0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32">
        <v>0.45</v>
      </c>
      <c r="B14" s="369" t="s">
        <v>55</v>
      </c>
      <c r="C14" s="369">
        <v>202</v>
      </c>
      <c r="D14" s="330">
        <f t="shared" si="1"/>
        <v>0</v>
      </c>
      <c r="E14" s="330">
        <f>'STOK DETAY'!AE6</f>
        <v>0</v>
      </c>
      <c r="F14" s="330">
        <f>'STOK DETAY'!AF6</f>
        <v>0</v>
      </c>
      <c r="G14" s="330">
        <f>'STOK DETAY'!AG6</f>
        <v>0</v>
      </c>
      <c r="H14" s="330">
        <f>'STOK DETAY'!AH6</f>
        <v>0</v>
      </c>
      <c r="I14" s="330">
        <f>'STOK DETAY'!AI6</f>
        <v>0</v>
      </c>
      <c r="J14" s="330">
        <f>'STOK DETAY'!AJ6</f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08">
        <v>0.47499999999999998</v>
      </c>
      <c r="B15" s="369" t="s">
        <v>55</v>
      </c>
      <c r="C15" s="369"/>
      <c r="D15" s="330">
        <f t="shared" si="1"/>
        <v>24.27</v>
      </c>
      <c r="E15" s="330"/>
      <c r="F15" s="330"/>
      <c r="G15" s="330">
        <f>'STOK DETAY'!AK6</f>
        <v>24.27</v>
      </c>
      <c r="H15" s="330"/>
      <c r="I15" s="330"/>
      <c r="J15" s="330"/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32">
        <v>0.5</v>
      </c>
      <c r="B16" s="369" t="s">
        <v>55</v>
      </c>
      <c r="C16" s="369">
        <v>203</v>
      </c>
      <c r="D16" s="330">
        <f t="shared" si="1"/>
        <v>91.415000000000006</v>
      </c>
      <c r="E16" s="330">
        <f>'STOK DETAY'!AL6</f>
        <v>0</v>
      </c>
      <c r="F16" s="330">
        <f>'STOK DETAY'!AM6</f>
        <v>0</v>
      </c>
      <c r="G16" s="330">
        <f>'STOK DETAY'!AN6</f>
        <v>91.415000000000006</v>
      </c>
      <c r="H16" s="330"/>
      <c r="I16" s="330">
        <f>'STOK DETAY'!AO6</f>
        <v>0</v>
      </c>
      <c r="J16" s="330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32">
        <v>0.55000000000000004</v>
      </c>
      <c r="B17" s="369" t="s">
        <v>55</v>
      </c>
      <c r="C17" s="369">
        <v>203</v>
      </c>
      <c r="D17" s="330">
        <f t="shared" si="1"/>
        <v>7.83</v>
      </c>
      <c r="E17" s="330">
        <f>'STOK DETAY'!AP6</f>
        <v>0</v>
      </c>
      <c r="F17" s="330">
        <f>'STOK DETAY'!AQ6</f>
        <v>0</v>
      </c>
      <c r="G17" s="330">
        <f>'STOK DETAY'!AR6</f>
        <v>7.83</v>
      </c>
      <c r="H17" s="330">
        <f>'STOK DETAY'!AS6</f>
        <v>0</v>
      </c>
      <c r="I17" s="330">
        <f>'STOK DETAY'!AT6</f>
        <v>0</v>
      </c>
      <c r="J17" s="330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32">
        <v>0.6</v>
      </c>
      <c r="B18" s="369" t="s">
        <v>55</v>
      </c>
      <c r="C18" s="369">
        <v>301</v>
      </c>
      <c r="D18" s="330">
        <f t="shared" si="1"/>
        <v>24.24</v>
      </c>
      <c r="E18" s="330">
        <f>'STOK DETAY'!AU6</f>
        <v>0</v>
      </c>
      <c r="F18" s="330">
        <f>'STOK DETAY'!AV6</f>
        <v>0</v>
      </c>
      <c r="G18" s="330">
        <f>'STOK DETAY'!AW6</f>
        <v>24.24</v>
      </c>
      <c r="H18" s="330">
        <f>'STOK DETAY'!AX6</f>
        <v>0</v>
      </c>
      <c r="I18" s="330">
        <f>'STOK DETAY'!AY6</f>
        <v>0</v>
      </c>
      <c r="J18" s="330">
        <f>'STOK DETAY'!AZ6</f>
        <v>0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32">
        <v>0.65</v>
      </c>
      <c r="B19" s="369" t="s">
        <v>55</v>
      </c>
      <c r="C19" s="369">
        <v>301</v>
      </c>
      <c r="D19" s="330">
        <f t="shared" si="1"/>
        <v>25.94</v>
      </c>
      <c r="E19" s="330">
        <f>'STOK DETAY'!BA6</f>
        <v>0</v>
      </c>
      <c r="F19" s="330">
        <f>'STOK DETAY'!BB6</f>
        <v>0</v>
      </c>
      <c r="G19" s="330">
        <f>'STOK DETAY'!BC6</f>
        <v>25.94</v>
      </c>
      <c r="H19" s="330"/>
      <c r="I19" s="330">
        <f>'STOK DETAY'!BE6</f>
        <v>0</v>
      </c>
      <c r="J19" s="330">
        <f>'STOK DETAY'!BF6</f>
        <v>0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32">
        <v>0.7</v>
      </c>
      <c r="B20" s="369" t="s">
        <v>55</v>
      </c>
      <c r="C20" s="369">
        <v>302</v>
      </c>
      <c r="D20" s="330">
        <f t="shared" si="1"/>
        <v>8.625</v>
      </c>
      <c r="E20" s="330">
        <f>'STOK DETAY'!BG6</f>
        <v>0</v>
      </c>
      <c r="F20" s="330">
        <f>'STOK DETAY'!BH6</f>
        <v>0</v>
      </c>
      <c r="G20" s="330">
        <f>'STOK DETAY'!BI6</f>
        <v>8.625</v>
      </c>
      <c r="H20" s="330">
        <f>'STOK DETAY'!BJ6</f>
        <v>0</v>
      </c>
      <c r="I20" s="330">
        <f>'STOK DETAY'!BK6</f>
        <v>0</v>
      </c>
      <c r="J20" s="330">
        <f>'STOK DETAY'!BL6</f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32">
        <v>0.75</v>
      </c>
      <c r="B21" s="369" t="s">
        <v>55</v>
      </c>
      <c r="C21" s="369">
        <v>302</v>
      </c>
      <c r="D21" s="330">
        <f t="shared" si="1"/>
        <v>8.83</v>
      </c>
      <c r="E21" s="330">
        <f>'STOK DETAY'!BM6</f>
        <v>0</v>
      </c>
      <c r="F21" s="330">
        <f>'STOK DETAY'!BN6</f>
        <v>0</v>
      </c>
      <c r="G21" s="330">
        <f>'STOK DETAY'!BO6</f>
        <v>8.83</v>
      </c>
      <c r="H21" s="330">
        <f>'STOK DETAY'!BP6</f>
        <v>0</v>
      </c>
      <c r="I21" s="330">
        <f>'STOK DETAY'!BQ6</f>
        <v>0</v>
      </c>
      <c r="J21" s="330">
        <f>'STOK DETAY'!BR6</f>
        <v>0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32">
        <v>0.8</v>
      </c>
      <c r="B22" s="369" t="s">
        <v>55</v>
      </c>
      <c r="C22" s="369">
        <v>303</v>
      </c>
      <c r="D22" s="330">
        <f t="shared" si="1"/>
        <v>34.134999999999998</v>
      </c>
      <c r="E22" s="330">
        <f>'STOK DETAY'!BS6</f>
        <v>0</v>
      </c>
      <c r="F22" s="330">
        <f>'STOK DETAY'!BT6</f>
        <v>0</v>
      </c>
      <c r="G22" s="330">
        <f>'STOK DETAY'!BU6</f>
        <v>34.134999999999998</v>
      </c>
      <c r="H22" s="330">
        <f>'STOK DETAY'!BV6</f>
        <v>0</v>
      </c>
      <c r="I22" s="330">
        <f>'STOK DETAY'!BW6</f>
        <v>0</v>
      </c>
      <c r="J22" s="330">
        <f>'STOK DETAY'!BX6</f>
        <v>0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32">
        <v>0.85</v>
      </c>
      <c r="B23" s="369" t="s">
        <v>55</v>
      </c>
      <c r="C23" s="369">
        <v>303</v>
      </c>
      <c r="D23" s="330">
        <f t="shared" si="1"/>
        <v>26.145</v>
      </c>
      <c r="E23" s="330">
        <f>'STOK DETAY'!BY6</f>
        <v>0</v>
      </c>
      <c r="F23" s="330">
        <f>'STOK DETAY'!BZ6</f>
        <v>0</v>
      </c>
      <c r="G23" s="330">
        <f>'STOK DETAY'!CA6</f>
        <v>9.5649999999999995</v>
      </c>
      <c r="H23" s="330">
        <f>'STOK DETAY'!CB6</f>
        <v>0</v>
      </c>
      <c r="I23" s="330">
        <f>'STOK DETAY'!CC6</f>
        <v>0</v>
      </c>
      <c r="J23" s="330">
        <f>'STOK DETAY'!CD6</f>
        <v>16.579999999999998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32">
        <v>0.9</v>
      </c>
      <c r="B24" s="369" t="s">
        <v>55</v>
      </c>
      <c r="C24" s="369">
        <v>401</v>
      </c>
      <c r="D24" s="330">
        <f t="shared" si="1"/>
        <v>0</v>
      </c>
      <c r="E24" s="330">
        <f>'STOK DETAY'!CE6</f>
        <v>0</v>
      </c>
      <c r="F24" s="330">
        <f>'STOK DETAY'!CF6</f>
        <v>0</v>
      </c>
      <c r="G24" s="330">
        <f>'STOK DETAY'!CG6</f>
        <v>0</v>
      </c>
      <c r="H24" s="330">
        <f>'STOK DETAY'!CH6</f>
        <v>0</v>
      </c>
      <c r="I24" s="330">
        <f>'STOK DETAY'!CI6</f>
        <v>0</v>
      </c>
      <c r="J24" s="330">
        <f>'STOK DETAY'!CJ6</f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32">
        <v>0.95</v>
      </c>
      <c r="B25" s="369" t="s">
        <v>55</v>
      </c>
      <c r="C25" s="369">
        <v>401</v>
      </c>
      <c r="D25" s="330">
        <f t="shared" si="1"/>
        <v>24.885000000000002</v>
      </c>
      <c r="E25" s="330">
        <f>'STOK DETAY'!CK6</f>
        <v>0</v>
      </c>
      <c r="F25" s="330">
        <f>'STOK DETAY'!CL6</f>
        <v>0</v>
      </c>
      <c r="G25" s="330">
        <f>'STOK DETAY'!CM6</f>
        <v>24.885000000000002</v>
      </c>
      <c r="H25" s="330">
        <f>'STOK DETAY'!CN6</f>
        <v>0</v>
      </c>
      <c r="I25" s="330">
        <f>'STOK DETAY'!CO6</f>
        <v>0</v>
      </c>
      <c r="J25" s="330">
        <f>'STOK DETAY'!CP6</f>
        <v>0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32">
        <v>1</v>
      </c>
      <c r="B26" s="369" t="s">
        <v>55</v>
      </c>
      <c r="C26" s="369">
        <v>402</v>
      </c>
      <c r="D26" s="330">
        <f t="shared" si="1"/>
        <v>129.74</v>
      </c>
      <c r="E26" s="330">
        <f>'STOK DETAY'!CQ6</f>
        <v>0</v>
      </c>
      <c r="F26" s="330">
        <f>'STOK DETAY'!CR6</f>
        <v>0</v>
      </c>
      <c r="G26" s="330">
        <f>'STOK DETAY'!CS6</f>
        <v>129.74</v>
      </c>
      <c r="H26" s="330">
        <f>'STOK DETAY'!CT6</f>
        <v>0</v>
      </c>
      <c r="I26" s="330">
        <f>'STOK DETAY'!CU6</f>
        <v>0</v>
      </c>
      <c r="J26" s="330">
        <f>'STOK DETAY'!CV6</f>
        <v>0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32">
        <v>1.05</v>
      </c>
      <c r="B27" s="369" t="s">
        <v>55</v>
      </c>
      <c r="C27" s="369">
        <v>402</v>
      </c>
      <c r="D27" s="330">
        <f t="shared" si="1"/>
        <v>17.600000000000001</v>
      </c>
      <c r="E27" s="330">
        <f>'STOK DETAY'!CW6</f>
        <v>0</v>
      </c>
      <c r="F27" s="330">
        <f>'STOK DETAY'!CX6</f>
        <v>0</v>
      </c>
      <c r="G27" s="330">
        <f>'STOK DETAY'!CY6</f>
        <v>17.600000000000001</v>
      </c>
      <c r="H27" s="330">
        <f>'STOK DETAY'!CZ6</f>
        <v>0</v>
      </c>
      <c r="I27" s="330">
        <f>'STOK DETAY'!DA6</f>
        <v>0</v>
      </c>
      <c r="J27" s="330">
        <f>'STOK DETAY'!DB6</f>
        <v>0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32">
        <v>1.1000000000000001</v>
      </c>
      <c r="B28" s="369" t="s">
        <v>55</v>
      </c>
      <c r="C28" s="369">
        <v>403</v>
      </c>
      <c r="D28" s="330">
        <f t="shared" si="1"/>
        <v>130.63499999999999</v>
      </c>
      <c r="E28" s="330">
        <f>'STOK DETAY'!DC6</f>
        <v>0</v>
      </c>
      <c r="F28" s="330">
        <f>'STOK DETAY'!DD6</f>
        <v>0</v>
      </c>
      <c r="G28" s="330">
        <f>'STOK DETAY'!DE6</f>
        <v>130.63499999999999</v>
      </c>
      <c r="H28" s="330">
        <f>'STOK DETAY'!DF6</f>
        <v>0</v>
      </c>
      <c r="I28" s="330">
        <f>'STOK DETAY'!DG6</f>
        <v>0</v>
      </c>
      <c r="J28" s="330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32">
        <v>1.1499999999999999</v>
      </c>
      <c r="B29" s="369" t="s">
        <v>55</v>
      </c>
      <c r="C29" s="369">
        <v>403</v>
      </c>
      <c r="D29" s="330">
        <f t="shared" si="1"/>
        <v>128.38999999999999</v>
      </c>
      <c r="E29" s="330">
        <f>'STOK DETAY'!DI6</f>
        <v>0</v>
      </c>
      <c r="F29" s="330">
        <f>'STOK DETAY'!DJ6</f>
        <v>0</v>
      </c>
      <c r="G29" s="330">
        <f>'STOK DETAY'!DK6</f>
        <v>94.94</v>
      </c>
      <c r="H29" s="330">
        <f>'STOK DETAY'!DL6</f>
        <v>0</v>
      </c>
      <c r="I29" s="330">
        <f>'STOK DETAY'!DM6</f>
        <v>33.450000000000003</v>
      </c>
      <c r="J29" s="330"/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32">
        <v>1.2</v>
      </c>
      <c r="B30" s="369" t="s">
        <v>55</v>
      </c>
      <c r="C30" s="369">
        <v>501</v>
      </c>
      <c r="D30" s="330">
        <f t="shared" si="1"/>
        <v>8.8049999999999997</v>
      </c>
      <c r="E30" s="330">
        <f>'STOK DETAY'!DN6</f>
        <v>0</v>
      </c>
      <c r="F30" s="330">
        <f>'STOK DETAY'!DO6</f>
        <v>0</v>
      </c>
      <c r="G30" s="330">
        <f>'STOK DETAY'!DP6</f>
        <v>8.8049999999999997</v>
      </c>
      <c r="H30" s="330">
        <f>'STOK DETAY'!DQ6</f>
        <v>0</v>
      </c>
      <c r="I30" s="330">
        <f>'STOK DETAY'!DR6</f>
        <v>0</v>
      </c>
      <c r="J30" s="330"/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32">
        <v>1.25</v>
      </c>
      <c r="B31" s="369" t="s">
        <v>55</v>
      </c>
      <c r="C31" s="369">
        <v>501</v>
      </c>
      <c r="D31" s="330">
        <f t="shared" si="1"/>
        <v>0</v>
      </c>
      <c r="E31" s="330">
        <f>'STOK DETAY'!DS6</f>
        <v>0</v>
      </c>
      <c r="F31" s="330">
        <f>'STOK DETAY'!DT6</f>
        <v>0</v>
      </c>
      <c r="G31" s="330">
        <f>'STOK DETAY'!DU6</f>
        <v>0</v>
      </c>
      <c r="H31" s="330">
        <f>'STOK DETAY'!DV6</f>
        <v>0</v>
      </c>
      <c r="I31" s="330">
        <f>'STOK DETAY'!DW6</f>
        <v>0</v>
      </c>
      <c r="J31" s="330">
        <f>'STOK DETAY'!DX6</f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32">
        <v>1.3</v>
      </c>
      <c r="B32" s="369" t="s">
        <v>55</v>
      </c>
      <c r="C32" s="369">
        <v>502</v>
      </c>
      <c r="D32" s="330">
        <f t="shared" si="1"/>
        <v>75.900000000000006</v>
      </c>
      <c r="E32" s="330">
        <f>'STOK DETAY'!DY6</f>
        <v>0</v>
      </c>
      <c r="F32" s="330">
        <f>'STOK DETAY'!DZ6</f>
        <v>0</v>
      </c>
      <c r="G32" s="330">
        <f>'STOK DETAY'!EA6</f>
        <v>75.900000000000006</v>
      </c>
      <c r="H32" s="330">
        <f>'STOK DETAY'!EB6</f>
        <v>0</v>
      </c>
      <c r="I32" s="330">
        <f>'STOK DETAY'!EC6</f>
        <v>0</v>
      </c>
      <c r="J32" s="330">
        <f>'STOK DETAY'!ED6</f>
        <v>0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32">
        <v>1.35</v>
      </c>
      <c r="B33" s="369" t="s">
        <v>55</v>
      </c>
      <c r="C33" s="369">
        <v>502</v>
      </c>
      <c r="D33" s="330">
        <f t="shared" si="1"/>
        <v>278.73</v>
      </c>
      <c r="E33" s="330">
        <f>'STOK DETAY'!EE6</f>
        <v>0</v>
      </c>
      <c r="F33" s="330">
        <f>'STOK DETAY'!EF6</f>
        <v>0</v>
      </c>
      <c r="G33" s="330">
        <f>'STOK DETAY'!EG6</f>
        <v>268.54000000000002</v>
      </c>
      <c r="H33" s="330">
        <f>'STOK DETAY'!EH6</f>
        <v>1.75</v>
      </c>
      <c r="I33" s="330">
        <f>'STOK DETAY'!EI6</f>
        <v>8.44</v>
      </c>
      <c r="J33" s="330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32">
        <v>1.4</v>
      </c>
      <c r="B34" s="369" t="s">
        <v>55</v>
      </c>
      <c r="C34" s="369">
        <v>503</v>
      </c>
      <c r="D34" s="330">
        <f t="shared" si="1"/>
        <v>68.8</v>
      </c>
      <c r="E34" s="330">
        <f>'STOK DETAY'!EJ6</f>
        <v>0</v>
      </c>
      <c r="F34" s="330">
        <f>'STOK DETAY'!EK6</f>
        <v>0</v>
      </c>
      <c r="G34" s="330">
        <f>'STOK DETAY'!EL6</f>
        <v>0</v>
      </c>
      <c r="H34" s="330"/>
      <c r="I34" s="330">
        <f>'STOK DETAY'!EM6</f>
        <v>68.8</v>
      </c>
      <c r="J34" s="330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32">
        <v>1.45</v>
      </c>
      <c r="B35" s="369" t="s">
        <v>55</v>
      </c>
      <c r="C35" s="369">
        <v>503</v>
      </c>
      <c r="D35" s="330">
        <f t="shared" si="1"/>
        <v>16.170000000000002</v>
      </c>
      <c r="E35" s="330">
        <f>'STOK DETAY'!EN6</f>
        <v>0</v>
      </c>
      <c r="F35" s="330">
        <f>'STOK DETAY'!EO6</f>
        <v>0</v>
      </c>
      <c r="G35" s="330">
        <f>'STOK DETAY'!EP6</f>
        <v>16.170000000000002</v>
      </c>
      <c r="H35" s="330"/>
      <c r="I35" s="330">
        <f>'STOK DETAY'!EQ6</f>
        <v>0</v>
      </c>
      <c r="J35" s="330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32">
        <v>1.5</v>
      </c>
      <c r="B36" s="369" t="s">
        <v>55</v>
      </c>
      <c r="C36" s="369"/>
      <c r="D36" s="330">
        <f t="shared" si="1"/>
        <v>0</v>
      </c>
      <c r="E36" s="330">
        <f>'STOK DETAY'!ER6</f>
        <v>0</v>
      </c>
      <c r="F36" s="330">
        <f>'STOK DETAY'!ES6</f>
        <v>0</v>
      </c>
      <c r="G36" s="330">
        <f>'STOK DETAY'!ET6</f>
        <v>0</v>
      </c>
      <c r="H36" s="330"/>
      <c r="I36" s="330">
        <f>'STOK DETAY'!EU6</f>
        <v>0</v>
      </c>
      <c r="J36" s="330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32">
        <v>1.55</v>
      </c>
      <c r="B37" s="369" t="s">
        <v>55</v>
      </c>
      <c r="C37" s="369">
        <v>211</v>
      </c>
      <c r="D37" s="330">
        <f t="shared" si="1"/>
        <v>27.65</v>
      </c>
      <c r="E37" s="330"/>
      <c r="F37" s="330"/>
      <c r="G37" s="330"/>
      <c r="H37" s="330"/>
      <c r="I37" s="330">
        <f>'STOK DETAY'!EV6</f>
        <v>27.65</v>
      </c>
      <c r="J37" s="330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32">
        <v>1.6</v>
      </c>
      <c r="B38" s="369" t="s">
        <v>55</v>
      </c>
      <c r="C38" s="369"/>
      <c r="D38" s="330">
        <f t="shared" si="1"/>
        <v>0</v>
      </c>
      <c r="E38" s="330"/>
      <c r="F38" s="330">
        <f>'STOK DETAY'!EW6</f>
        <v>0</v>
      </c>
      <c r="G38" s="330"/>
      <c r="H38" s="330"/>
      <c r="I38" s="330"/>
      <c r="J38" s="330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32">
        <v>1.7</v>
      </c>
      <c r="B39" s="369" t="s">
        <v>55</v>
      </c>
      <c r="C39" s="369"/>
      <c r="D39" s="330">
        <f t="shared" si="1"/>
        <v>0</v>
      </c>
      <c r="E39" s="330"/>
      <c r="F39" s="330">
        <f>'STOK DETAY'!EY6</f>
        <v>0</v>
      </c>
      <c r="G39" s="330">
        <f>'STOK DETAY'!EZ6</f>
        <v>0</v>
      </c>
      <c r="H39" s="330"/>
      <c r="I39" s="330"/>
      <c r="J39" s="330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32">
        <v>1.8</v>
      </c>
      <c r="B40" s="369" t="s">
        <v>55</v>
      </c>
      <c r="C40" s="369"/>
      <c r="D40" s="330">
        <f t="shared" si="1"/>
        <v>0</v>
      </c>
      <c r="E40" s="330">
        <f>'STOK DETAY'!FA6</f>
        <v>0</v>
      </c>
      <c r="F40" s="330">
        <f>'STOK DETAY'!FB6</f>
        <v>0</v>
      </c>
      <c r="G40" s="330">
        <f>'STOK DETAY'!FC6</f>
        <v>0</v>
      </c>
      <c r="H40" s="330"/>
      <c r="I40" s="330">
        <f>'STOK DETAY'!FD6</f>
        <v>0</v>
      </c>
      <c r="J40" s="330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32">
        <v>1.85</v>
      </c>
      <c r="B41" s="369" t="s">
        <v>55</v>
      </c>
      <c r="C41" s="369"/>
      <c r="D41" s="330">
        <f t="shared" si="1"/>
        <v>28</v>
      </c>
      <c r="E41" s="330"/>
      <c r="F41" s="330"/>
      <c r="G41" s="330"/>
      <c r="H41" s="330"/>
      <c r="I41" s="330">
        <f>'STOK DETAY'!FE6</f>
        <v>28</v>
      </c>
      <c r="J41" s="330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32">
        <v>1.9</v>
      </c>
      <c r="B42" s="369" t="s">
        <v>55</v>
      </c>
      <c r="C42" s="369"/>
      <c r="D42" s="330">
        <f t="shared" si="1"/>
        <v>103.66500000000001</v>
      </c>
      <c r="E42" s="330"/>
      <c r="F42" s="330">
        <f>'STOK DETAY'!FF6</f>
        <v>0</v>
      </c>
      <c r="G42" s="330">
        <f>'STOK DETAY'!FG6</f>
        <v>103.66500000000001</v>
      </c>
      <c r="H42" s="330"/>
      <c r="I42" s="330">
        <f>'STOK DETAY'!FH6</f>
        <v>0</v>
      </c>
      <c r="J42" s="330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32">
        <v>2</v>
      </c>
      <c r="B43" s="369" t="s">
        <v>55</v>
      </c>
      <c r="C43" s="369"/>
      <c r="D43" s="330">
        <f t="shared" si="1"/>
        <v>0</v>
      </c>
      <c r="E43" s="330"/>
      <c r="F43" s="330">
        <f>'STOK DETAY'!FJ6</f>
        <v>0</v>
      </c>
      <c r="G43" s="330">
        <f>'STOK DETAY'!FK6</f>
        <v>0</v>
      </c>
      <c r="H43" s="330"/>
      <c r="I43" s="330">
        <f>'STOK DETAY'!FL6</f>
        <v>0</v>
      </c>
      <c r="J43" s="330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32">
        <v>2.2000000000000002</v>
      </c>
      <c r="B44" s="369" t="s">
        <v>55</v>
      </c>
      <c r="C44" s="369"/>
      <c r="D44" s="330">
        <f t="shared" si="1"/>
        <v>45.85</v>
      </c>
      <c r="E44" s="330">
        <f>'STOK DETAY'!FM6</f>
        <v>0</v>
      </c>
      <c r="F44" s="330"/>
      <c r="G44" s="330"/>
      <c r="H44" s="330"/>
      <c r="I44" s="330">
        <f>'STOK DETAY'!FN6</f>
        <v>45.85</v>
      </c>
      <c r="J44" s="330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32">
        <v>2.2999999999999998</v>
      </c>
      <c r="B45" s="369" t="s">
        <v>55</v>
      </c>
      <c r="C45" s="369"/>
      <c r="D45" s="330">
        <f t="shared" si="1"/>
        <v>0</v>
      </c>
      <c r="E45" s="330"/>
      <c r="F45" s="330"/>
      <c r="G45" s="330"/>
      <c r="H45" s="330"/>
      <c r="I45" s="330">
        <f>'STOK DETAY'!FO6</f>
        <v>0</v>
      </c>
      <c r="J45" s="330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32">
        <v>2.4</v>
      </c>
      <c r="B46" s="369" t="s">
        <v>55</v>
      </c>
      <c r="C46" s="369"/>
      <c r="D46" s="330">
        <f t="shared" si="1"/>
        <v>0</v>
      </c>
      <c r="E46" s="330"/>
      <c r="F46" s="330"/>
      <c r="G46" s="330"/>
      <c r="H46" s="330"/>
      <c r="I46" s="330">
        <f>'STOK DETAY'!FP6</f>
        <v>0</v>
      </c>
      <c r="J46" s="330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32">
        <v>2.5</v>
      </c>
      <c r="B47" s="369" t="s">
        <v>55</v>
      </c>
      <c r="C47" s="369"/>
      <c r="D47" s="330">
        <f t="shared" si="1"/>
        <v>0</v>
      </c>
      <c r="E47" s="330">
        <f>'STOK DETAY'!FQ6</f>
        <v>0</v>
      </c>
      <c r="F47" s="330">
        <f>'STOK DETAY'!FR6</f>
        <v>0</v>
      </c>
      <c r="G47" s="330">
        <f>'STOK DETAY'!FS6</f>
        <v>0</v>
      </c>
      <c r="H47" s="330"/>
      <c r="I47" s="330"/>
      <c r="J47" s="330">
        <f>'STOK DETAY'!FT6</f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32">
        <v>2.6</v>
      </c>
      <c r="B48" s="369" t="s">
        <v>55</v>
      </c>
      <c r="C48" s="369"/>
      <c r="D48" s="330">
        <f t="shared" si="1"/>
        <v>45.4</v>
      </c>
      <c r="E48" s="330"/>
      <c r="F48" s="330">
        <f>'STOK DETAY'!FU6</f>
        <v>0</v>
      </c>
      <c r="G48" s="330">
        <f>'STOK DETAY'!FV6</f>
        <v>0</v>
      </c>
      <c r="H48" s="330"/>
      <c r="I48" s="330">
        <f>'STOK DETAY'!FW6</f>
        <v>45.4</v>
      </c>
      <c r="J48" s="330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32">
        <v>2.7</v>
      </c>
      <c r="B49" s="369" t="s">
        <v>55</v>
      </c>
      <c r="C49" s="369">
        <v>113</v>
      </c>
      <c r="D49" s="330">
        <f t="shared" si="1"/>
        <v>9.1999999999999993</v>
      </c>
      <c r="E49" s="330">
        <f>'STOK DETAY'!FX6</f>
        <v>9.1999999999999993</v>
      </c>
      <c r="F49" s="330"/>
      <c r="G49" s="330"/>
      <c r="H49" s="330"/>
      <c r="I49" s="330">
        <f>'STOK DETAY'!FY6</f>
        <v>0</v>
      </c>
      <c r="J49" s="330">
        <f>'STOK DETAY'!FZ6</f>
        <v>0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32">
        <v>3</v>
      </c>
      <c r="B50" s="369" t="s">
        <v>55</v>
      </c>
      <c r="C50" s="369"/>
      <c r="D50" s="330">
        <f t="shared" si="1"/>
        <v>89.45</v>
      </c>
      <c r="E50" s="330"/>
      <c r="F50" s="330">
        <f>'STOK DETAY'!GA6</f>
        <v>0</v>
      </c>
      <c r="G50" s="330">
        <f>'STOK DETAY'!GB6</f>
        <v>0</v>
      </c>
      <c r="H50" s="330"/>
      <c r="I50" s="330">
        <f>'STOK DETAY'!GC6</f>
        <v>89.45</v>
      </c>
      <c r="J50" s="330">
        <f>'STOK DETAY'!GD6</f>
        <v>0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32">
        <v>3.2</v>
      </c>
      <c r="B51" s="369" t="s">
        <v>55</v>
      </c>
      <c r="C51" s="369">
        <v>211</v>
      </c>
      <c r="D51" s="330">
        <f t="shared" si="1"/>
        <v>21.45</v>
      </c>
      <c r="E51" s="330"/>
      <c r="F51" s="330">
        <f>'STOK DETAY'!GE6</f>
        <v>0</v>
      </c>
      <c r="G51" s="330"/>
      <c r="H51" s="330"/>
      <c r="I51" s="330">
        <f>'STOK DETAY'!GF6</f>
        <v>21.45</v>
      </c>
      <c r="J51" s="330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32">
        <v>3.5</v>
      </c>
      <c r="B52" s="369" t="s">
        <v>55</v>
      </c>
      <c r="C52" s="369"/>
      <c r="D52" s="330">
        <f t="shared" si="1"/>
        <v>0</v>
      </c>
      <c r="E52" s="330"/>
      <c r="F52" s="330"/>
      <c r="G52" s="330"/>
      <c r="H52" s="330"/>
      <c r="I52" s="330">
        <f>'STOK DETAY'!GG6</f>
        <v>0</v>
      </c>
      <c r="J52" s="330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32">
        <v>4</v>
      </c>
      <c r="B53" s="369" t="s">
        <v>55</v>
      </c>
      <c r="C53" s="368"/>
      <c r="D53" s="330">
        <f t="shared" si="1"/>
        <v>0</v>
      </c>
      <c r="E53" s="330"/>
      <c r="F53" s="330"/>
      <c r="G53" s="330"/>
      <c r="H53" s="330"/>
      <c r="I53" s="330">
        <f>'STOK DETAY'!GI6</f>
        <v>0</v>
      </c>
      <c r="J53" s="330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9">
        <v>0.08</v>
      </c>
      <c r="B54" s="369" t="s">
        <v>30</v>
      </c>
      <c r="C54" s="368">
        <v>611</v>
      </c>
      <c r="D54" s="330">
        <f t="shared" ref="D54:D83" si="2">SUM(E54:J54)</f>
        <v>76.703000000000003</v>
      </c>
      <c r="E54" s="330">
        <f>'STOK DETAY'!GJ6</f>
        <v>0</v>
      </c>
      <c r="F54" s="330"/>
      <c r="G54" s="330">
        <f>'STOK DETAY'!GK6</f>
        <v>76.703000000000003</v>
      </c>
      <c r="H54" s="330"/>
      <c r="I54" s="330"/>
      <c r="J54" s="330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32">
        <v>0.1</v>
      </c>
      <c r="B55" s="332" t="s">
        <v>30</v>
      </c>
      <c r="C55" s="368"/>
      <c r="D55" s="330">
        <f t="shared" si="2"/>
        <v>0</v>
      </c>
      <c r="E55" s="330">
        <f>'STOK DETAY'!GL6</f>
        <v>0</v>
      </c>
      <c r="F55" s="330"/>
      <c r="G55" s="330">
        <f>'STOK DETAY'!GM6</f>
        <v>0</v>
      </c>
      <c r="H55" s="330"/>
      <c r="I55" s="330"/>
      <c r="J55" s="330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32">
        <v>0.12</v>
      </c>
      <c r="B56" s="332" t="s">
        <v>30</v>
      </c>
      <c r="C56" s="368">
        <v>601</v>
      </c>
      <c r="D56" s="330">
        <f t="shared" si="2"/>
        <v>0</v>
      </c>
      <c r="E56" s="330"/>
      <c r="F56" s="330"/>
      <c r="G56" s="330">
        <f>'STOK DETAY'!GO6</f>
        <v>0</v>
      </c>
      <c r="H56" s="330"/>
      <c r="I56" s="330"/>
      <c r="J56" s="330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32">
        <v>0.14000000000000001</v>
      </c>
      <c r="B57" s="369" t="s">
        <v>30</v>
      </c>
      <c r="C57" s="368"/>
      <c r="D57" s="330">
        <f t="shared" si="2"/>
        <v>0</v>
      </c>
      <c r="E57" s="330">
        <f>'STOK DETAY'!GP6</f>
        <v>0</v>
      </c>
      <c r="F57" s="330"/>
      <c r="G57" s="330">
        <f>'STOK DETAY'!GQ6</f>
        <v>0</v>
      </c>
      <c r="H57" s="330"/>
      <c r="I57" s="330"/>
      <c r="J57" s="330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32">
        <v>0.15</v>
      </c>
      <c r="B58" s="369" t="s">
        <v>30</v>
      </c>
      <c r="C58" s="368"/>
      <c r="D58" s="330">
        <f t="shared" si="2"/>
        <v>0</v>
      </c>
      <c r="E58" s="330">
        <f>'STOK DETAY'!GR6</f>
        <v>0</v>
      </c>
      <c r="F58" s="330"/>
      <c r="G58" s="330">
        <f>'STOK DETAY'!GS6</f>
        <v>0</v>
      </c>
      <c r="H58" s="330"/>
      <c r="I58" s="330"/>
      <c r="J58" s="330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32">
        <v>0.17</v>
      </c>
      <c r="B59" s="369" t="s">
        <v>30</v>
      </c>
      <c r="C59" s="368"/>
      <c r="D59" s="330">
        <f t="shared" si="2"/>
        <v>0</v>
      </c>
      <c r="E59" s="330"/>
      <c r="F59" s="330"/>
      <c r="G59" s="330">
        <f>'STOK DETAY'!GU6</f>
        <v>0</v>
      </c>
      <c r="H59" s="330"/>
      <c r="I59" s="330"/>
      <c r="J59" s="330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32">
        <v>0.18</v>
      </c>
      <c r="B60" s="369" t="s">
        <v>30</v>
      </c>
      <c r="C60" s="368"/>
      <c r="D60" s="330">
        <f t="shared" si="2"/>
        <v>0</v>
      </c>
      <c r="E60" s="330">
        <f>'STOK DETAY'!GV6</f>
        <v>0</v>
      </c>
      <c r="F60" s="330"/>
      <c r="G60" s="330">
        <f>'STOK DETAY'!GW6</f>
        <v>0</v>
      </c>
      <c r="H60" s="330"/>
      <c r="I60" s="330"/>
      <c r="J60" s="330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32">
        <v>0.19</v>
      </c>
      <c r="B61" s="369" t="s">
        <v>30</v>
      </c>
      <c r="C61" s="368"/>
      <c r="D61" s="330">
        <f t="shared" si="2"/>
        <v>0</v>
      </c>
      <c r="E61" s="330"/>
      <c r="F61" s="330"/>
      <c r="G61" s="330">
        <f>'STOK DETAY'!GX6</f>
        <v>0</v>
      </c>
      <c r="H61" s="330"/>
      <c r="I61" s="330"/>
      <c r="J61" s="330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32">
        <v>0.2</v>
      </c>
      <c r="B62" s="369" t="s">
        <v>30</v>
      </c>
      <c r="C62" s="368"/>
      <c r="D62" s="330">
        <f t="shared" si="2"/>
        <v>0</v>
      </c>
      <c r="E62" s="330">
        <f>'STOK DETAY'!GY6</f>
        <v>0</v>
      </c>
      <c r="F62" s="330"/>
      <c r="G62" s="330">
        <f>'STOK DETAY'!GZ6</f>
        <v>0</v>
      </c>
      <c r="H62" s="330"/>
      <c r="I62" s="330"/>
      <c r="J62" s="330">
        <f>'STOK DETAY'!HA6</f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32">
        <v>0.22</v>
      </c>
      <c r="B63" s="369" t="s">
        <v>30</v>
      </c>
      <c r="C63" s="368"/>
      <c r="D63" s="330">
        <f t="shared" si="2"/>
        <v>0</v>
      </c>
      <c r="E63" s="330">
        <f>'STOK DETAY'!HB6</f>
        <v>0</v>
      </c>
      <c r="F63" s="330"/>
      <c r="G63" s="330"/>
      <c r="H63" s="330"/>
      <c r="I63" s="330"/>
      <c r="J63" s="330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32">
        <v>0.25</v>
      </c>
      <c r="B64" s="369" t="s">
        <v>30</v>
      </c>
      <c r="C64" s="368"/>
      <c r="D64" s="330">
        <f t="shared" si="2"/>
        <v>0</v>
      </c>
      <c r="E64" s="330">
        <f>'STOK DETAY'!HC6</f>
        <v>0</v>
      </c>
      <c r="F64" s="330"/>
      <c r="G64" s="330">
        <f>'STOK DETAY'!HD6</f>
        <v>0</v>
      </c>
      <c r="H64" s="330"/>
      <c r="I64" s="330"/>
      <c r="J64" s="330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32">
        <v>0.28000000000000003</v>
      </c>
      <c r="B65" s="369" t="s">
        <v>30</v>
      </c>
      <c r="C65" s="368"/>
      <c r="D65" s="330">
        <f t="shared" si="2"/>
        <v>67.03</v>
      </c>
      <c r="E65" s="330">
        <f>'STOK DETAY'!HE6</f>
        <v>0</v>
      </c>
      <c r="F65" s="330"/>
      <c r="G65" s="330">
        <f>'STOK DETAY'!HF6</f>
        <v>67.03</v>
      </c>
      <c r="H65" s="330"/>
      <c r="I65" s="330"/>
      <c r="J65" s="330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32">
        <v>0.3</v>
      </c>
      <c r="B66" s="369" t="s">
        <v>30</v>
      </c>
      <c r="C66" s="368"/>
      <c r="D66" s="330">
        <f t="shared" si="2"/>
        <v>13.32</v>
      </c>
      <c r="E66" s="330">
        <f>'STOK DETAY'!HG6</f>
        <v>0</v>
      </c>
      <c r="F66" s="330"/>
      <c r="G66" s="330">
        <f>'STOK DETAY'!HH6</f>
        <v>0</v>
      </c>
      <c r="H66" s="330"/>
      <c r="I66" s="330"/>
      <c r="J66" s="330">
        <f>'STOK DETAY'!HI6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32">
        <v>0.32</v>
      </c>
      <c r="B67" s="369" t="s">
        <v>30</v>
      </c>
      <c r="C67" s="368">
        <v>613</v>
      </c>
      <c r="D67" s="330">
        <f t="shared" si="2"/>
        <v>8.9849999999999994</v>
      </c>
      <c r="E67" s="330"/>
      <c r="F67" s="330"/>
      <c r="G67" s="330">
        <f>'STOK DETAY'!HJ6</f>
        <v>8.9849999999999994</v>
      </c>
      <c r="H67" s="330"/>
      <c r="I67" s="330"/>
      <c r="J67" s="330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32">
        <v>0.33</v>
      </c>
      <c r="B68" s="369" t="s">
        <v>30</v>
      </c>
      <c r="C68" s="368"/>
      <c r="D68" s="330">
        <f t="shared" si="2"/>
        <v>0</v>
      </c>
      <c r="E68" s="330">
        <f>'STOK DETAY'!HK6</f>
        <v>0</v>
      </c>
      <c r="F68" s="330"/>
      <c r="G68" s="330"/>
      <c r="H68" s="330"/>
      <c r="I68" s="330"/>
      <c r="J68" s="330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32">
        <v>0.35</v>
      </c>
      <c r="B69" s="369" t="s">
        <v>30</v>
      </c>
      <c r="C69" s="368"/>
      <c r="D69" s="330">
        <f t="shared" si="2"/>
        <v>0</v>
      </c>
      <c r="E69" s="330">
        <f>'STOK DETAY'!HL6</f>
        <v>0</v>
      </c>
      <c r="F69" s="330"/>
      <c r="G69" s="330">
        <f>'STOK DETAY'!HM6</f>
        <v>0</v>
      </c>
      <c r="H69" s="330"/>
      <c r="I69" s="330"/>
      <c r="J69" s="330">
        <f>'STOK DETAY'!HN6</f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32">
        <v>0.38</v>
      </c>
      <c r="B70" s="369" t="s">
        <v>30</v>
      </c>
      <c r="C70" s="368">
        <v>612</v>
      </c>
      <c r="D70" s="330">
        <f t="shared" si="2"/>
        <v>51.43</v>
      </c>
      <c r="E70" s="330">
        <f>'STOK DETAY'!HO6</f>
        <v>0</v>
      </c>
      <c r="F70" s="330"/>
      <c r="G70" s="330">
        <f>'STOK DETAY'!HP6</f>
        <v>51.43</v>
      </c>
      <c r="H70" s="330"/>
      <c r="I70" s="330"/>
      <c r="J70" s="330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32">
        <v>0.4</v>
      </c>
      <c r="B71" s="369" t="s">
        <v>30</v>
      </c>
      <c r="C71" s="368"/>
      <c r="D71" s="330">
        <f t="shared" si="2"/>
        <v>0</v>
      </c>
      <c r="E71" s="330">
        <f>'STOK DETAY'!HQ6</f>
        <v>0</v>
      </c>
      <c r="F71" s="330"/>
      <c r="G71" s="330">
        <f>'STOK DETAY'!HR6</f>
        <v>0</v>
      </c>
      <c r="H71" s="330"/>
      <c r="I71" s="330"/>
      <c r="J71" s="330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32">
        <v>0.45</v>
      </c>
      <c r="B72" s="369" t="s">
        <v>30</v>
      </c>
      <c r="C72" s="368">
        <v>213</v>
      </c>
      <c r="D72" s="330">
        <f t="shared" si="2"/>
        <v>93.39</v>
      </c>
      <c r="E72" s="330">
        <f>'STOK DETAY'!HS6</f>
        <v>93.39</v>
      </c>
      <c r="F72" s="330"/>
      <c r="G72" s="330"/>
      <c r="H72" s="330"/>
      <c r="I72" s="330"/>
      <c r="J72" s="330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32">
        <v>0.45</v>
      </c>
      <c r="B73" s="369" t="s">
        <v>129</v>
      </c>
      <c r="C73" s="368">
        <v>213</v>
      </c>
      <c r="D73" s="330">
        <f t="shared" si="2"/>
        <v>31.1</v>
      </c>
      <c r="E73" s="330"/>
      <c r="F73" s="330"/>
      <c r="G73" s="330">
        <f>'STOK DETAY'!HT6</f>
        <v>31.1</v>
      </c>
      <c r="H73" s="330"/>
      <c r="I73" s="330"/>
      <c r="J73" s="330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32">
        <v>0.5</v>
      </c>
      <c r="B74" s="369" t="s">
        <v>30</v>
      </c>
      <c r="C74" s="368"/>
      <c r="D74" s="330">
        <f t="shared" si="2"/>
        <v>0</v>
      </c>
      <c r="E74" s="330">
        <f>'STOK DETAY'!HU6</f>
        <v>0</v>
      </c>
      <c r="F74" s="330"/>
      <c r="G74" s="330">
        <f>'STOK DETAY'!HV6</f>
        <v>0</v>
      </c>
      <c r="H74" s="330"/>
      <c r="I74" s="330"/>
      <c r="J74" s="330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32">
        <v>0.55000000000000004</v>
      </c>
      <c r="B75" s="369" t="s">
        <v>30</v>
      </c>
      <c r="C75" s="368"/>
      <c r="D75" s="330">
        <f t="shared" si="2"/>
        <v>0</v>
      </c>
      <c r="E75" s="330">
        <f>'STOK DETAY'!HW6</f>
        <v>0</v>
      </c>
      <c r="F75" s="330"/>
      <c r="G75" s="330">
        <f>'STOK DETAY'!HX6</f>
        <v>0</v>
      </c>
      <c r="H75" s="330"/>
      <c r="I75" s="330"/>
      <c r="J75" s="330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32">
        <v>0.6</v>
      </c>
      <c r="B76" s="369" t="s">
        <v>30</v>
      </c>
      <c r="C76" s="368"/>
      <c r="D76" s="330">
        <f t="shared" si="2"/>
        <v>8.94</v>
      </c>
      <c r="E76" s="330">
        <f>'STOK DETAY'!HY6</f>
        <v>8.94</v>
      </c>
      <c r="F76" s="330"/>
      <c r="G76" s="330"/>
      <c r="H76" s="330"/>
      <c r="I76" s="330"/>
      <c r="J76" s="330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32">
        <v>0.65</v>
      </c>
      <c r="B77" s="369" t="s">
        <v>30</v>
      </c>
      <c r="C77" s="368">
        <v>411</v>
      </c>
      <c r="D77" s="330">
        <f t="shared" si="2"/>
        <v>83.82</v>
      </c>
      <c r="E77" s="330"/>
      <c r="F77" s="330"/>
      <c r="G77" s="330">
        <f>'STOK DETAY'!IA6</f>
        <v>83.82</v>
      </c>
      <c r="H77" s="330"/>
      <c r="I77" s="330"/>
      <c r="J77" s="330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32">
        <v>0.7</v>
      </c>
      <c r="B78" s="369" t="s">
        <v>30</v>
      </c>
      <c r="C78" s="368"/>
      <c r="D78" s="330">
        <f t="shared" si="2"/>
        <v>0</v>
      </c>
      <c r="E78" s="330">
        <f>'STOK DETAY'!IB6</f>
        <v>0</v>
      </c>
      <c r="F78" s="330"/>
      <c r="G78" s="330">
        <f>'STOK DETAY'!IC6</f>
        <v>0</v>
      </c>
      <c r="H78" s="330"/>
      <c r="I78" s="330"/>
      <c r="J78" s="330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32">
        <v>0.75</v>
      </c>
      <c r="B79" s="369" t="s">
        <v>30</v>
      </c>
      <c r="C79" s="368"/>
      <c r="D79" s="330">
        <f t="shared" si="2"/>
        <v>2.42</v>
      </c>
      <c r="E79" s="330">
        <f>'STOK DETAY'!ID6</f>
        <v>0</v>
      </c>
      <c r="F79" s="330"/>
      <c r="G79" s="330">
        <f>'STOK DETAY'!IE6</f>
        <v>2.42</v>
      </c>
      <c r="H79" s="330"/>
      <c r="I79" s="330"/>
      <c r="J79" s="330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32">
        <v>0.8</v>
      </c>
      <c r="B80" s="369" t="s">
        <v>30</v>
      </c>
      <c r="C80" s="368"/>
      <c r="D80" s="330">
        <f t="shared" si="2"/>
        <v>0</v>
      </c>
      <c r="E80" s="330">
        <f>'STOK DETAY'!IF6</f>
        <v>0</v>
      </c>
      <c r="F80" s="330"/>
      <c r="G80" s="330"/>
      <c r="H80" s="330"/>
      <c r="I80" s="330"/>
      <c r="J80" s="330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32">
        <v>0.85</v>
      </c>
      <c r="B81" s="332" t="s">
        <v>30</v>
      </c>
      <c r="C81" s="368">
        <v>611</v>
      </c>
      <c r="D81" s="330">
        <f t="shared" si="2"/>
        <v>127.11</v>
      </c>
      <c r="E81" s="330">
        <f>'STOK DETAY'!IG6</f>
        <v>127.11</v>
      </c>
      <c r="F81" s="330"/>
      <c r="G81" s="330"/>
      <c r="H81" s="330"/>
      <c r="I81" s="330"/>
      <c r="J81" s="330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32">
        <v>0.9</v>
      </c>
      <c r="B82" s="369" t="s">
        <v>30</v>
      </c>
      <c r="C82" s="368">
        <v>613</v>
      </c>
      <c r="D82" s="330">
        <f t="shared" si="2"/>
        <v>128.26</v>
      </c>
      <c r="E82" s="330">
        <f>'STOK DETAY'!IH6</f>
        <v>128.26</v>
      </c>
      <c r="F82" s="330"/>
      <c r="G82" s="330"/>
      <c r="H82" s="330"/>
      <c r="I82" s="330"/>
      <c r="J82" s="330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32">
        <v>0.95</v>
      </c>
      <c r="B83" s="369" t="s">
        <v>30</v>
      </c>
      <c r="C83" s="368"/>
      <c r="D83" s="330">
        <f t="shared" si="2"/>
        <v>29.6</v>
      </c>
      <c r="E83" s="330"/>
      <c r="F83" s="330"/>
      <c r="G83" s="330">
        <f>'STOK DETAY'!II6</f>
        <v>29.6</v>
      </c>
      <c r="H83" s="330"/>
      <c r="I83" s="330"/>
      <c r="J83" s="330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32">
        <v>0.3</v>
      </c>
      <c r="B84" s="369" t="s">
        <v>10</v>
      </c>
      <c r="C84" s="368">
        <v>511</v>
      </c>
      <c r="D84" s="330">
        <f t="shared" ref="D84:D94" si="3">SUM(E84:J84)</f>
        <v>3.28</v>
      </c>
      <c r="E84" s="330"/>
      <c r="F84" s="330">
        <f>'STOK DETAY'!IJ6</f>
        <v>3.28</v>
      </c>
      <c r="G84" s="330"/>
      <c r="H84" s="330"/>
      <c r="I84" s="330"/>
      <c r="J84" s="330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32">
        <v>0.5</v>
      </c>
      <c r="B85" s="369" t="s">
        <v>10</v>
      </c>
      <c r="C85" s="368">
        <v>511</v>
      </c>
      <c r="D85" s="330">
        <f t="shared" si="3"/>
        <v>63.54</v>
      </c>
      <c r="E85" s="330"/>
      <c r="F85" s="330">
        <f>'STOK DETAY'!IK6</f>
        <v>63.54</v>
      </c>
      <c r="G85" s="330"/>
      <c r="H85" s="330"/>
      <c r="I85" s="330"/>
      <c r="J85" s="330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32">
        <v>0.55000000000000004</v>
      </c>
      <c r="B86" s="369" t="s">
        <v>10</v>
      </c>
      <c r="C86" s="368">
        <v>511</v>
      </c>
      <c r="D86" s="330">
        <f t="shared" si="3"/>
        <v>10.45</v>
      </c>
      <c r="E86" s="330"/>
      <c r="F86" s="330">
        <f>'STOK DETAY'!IL6</f>
        <v>10.45</v>
      </c>
      <c r="G86" s="330"/>
      <c r="H86" s="330"/>
      <c r="I86" s="330"/>
      <c r="J86" s="330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32">
        <v>0.6</v>
      </c>
      <c r="B87" s="369" t="s">
        <v>10</v>
      </c>
      <c r="C87" s="368">
        <v>101</v>
      </c>
      <c r="D87" s="330">
        <f t="shared" si="3"/>
        <v>0</v>
      </c>
      <c r="E87" s="330">
        <f>'STOK DETAY'!IM6</f>
        <v>0</v>
      </c>
      <c r="F87" s="330"/>
      <c r="G87" s="330"/>
      <c r="H87" s="330"/>
      <c r="I87" s="330"/>
      <c r="J87" s="330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32">
        <v>0.7</v>
      </c>
      <c r="B88" s="369" t="s">
        <v>10</v>
      </c>
      <c r="C88" s="368">
        <v>101</v>
      </c>
      <c r="D88" s="330">
        <f t="shared" si="3"/>
        <v>457.2</v>
      </c>
      <c r="E88" s="330">
        <f>'STOK DETAY'!IN6</f>
        <v>0</v>
      </c>
      <c r="F88" s="330"/>
      <c r="G88" s="330"/>
      <c r="H88" s="330"/>
      <c r="I88" s="330"/>
      <c r="J88" s="330">
        <f>'STOK DETAY'!IO6</f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32">
        <v>1</v>
      </c>
      <c r="B89" s="369" t="s">
        <v>10</v>
      </c>
      <c r="C89" s="368">
        <v>511</v>
      </c>
      <c r="D89" s="330">
        <f t="shared" si="3"/>
        <v>2.5</v>
      </c>
      <c r="E89" s="330"/>
      <c r="F89" s="330">
        <f>'STOK DETAY'!IP6</f>
        <v>2.5</v>
      </c>
      <c r="G89" s="330"/>
      <c r="H89" s="330"/>
      <c r="I89" s="330"/>
      <c r="J89" s="330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32">
        <v>1.2</v>
      </c>
      <c r="B90" s="369" t="s">
        <v>10</v>
      </c>
      <c r="C90" s="368">
        <v>511</v>
      </c>
      <c r="D90" s="330">
        <f t="shared" si="3"/>
        <v>14.7</v>
      </c>
      <c r="E90" s="330"/>
      <c r="F90" s="330">
        <f>'STOK DETAY'!IQ6</f>
        <v>14.7</v>
      </c>
      <c r="G90" s="330"/>
      <c r="H90" s="330"/>
      <c r="I90" s="330"/>
      <c r="J90" s="330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32">
        <v>1.3</v>
      </c>
      <c r="B91" s="369" t="s">
        <v>10</v>
      </c>
      <c r="C91" s="368">
        <v>511</v>
      </c>
      <c r="D91" s="330">
        <f t="shared" si="3"/>
        <v>2.85</v>
      </c>
      <c r="E91" s="330"/>
      <c r="F91" s="330">
        <f>'STOK DETAY'!IR6</f>
        <v>2.85</v>
      </c>
      <c r="G91" s="330"/>
      <c r="H91" s="330"/>
      <c r="I91" s="330"/>
      <c r="J91" s="330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32">
        <v>1.4</v>
      </c>
      <c r="B92" s="369" t="s">
        <v>10</v>
      </c>
      <c r="C92" s="368">
        <v>511</v>
      </c>
      <c r="D92" s="330">
        <f t="shared" si="3"/>
        <v>6.83</v>
      </c>
      <c r="E92" s="330"/>
      <c r="F92" s="330">
        <f>'STOK DETAY'!IS6</f>
        <v>6.83</v>
      </c>
      <c r="G92" s="330"/>
      <c r="H92" s="330"/>
      <c r="I92" s="330"/>
      <c r="J92" s="330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32">
        <v>1.6</v>
      </c>
      <c r="B93" s="369" t="s">
        <v>10</v>
      </c>
      <c r="C93" s="368">
        <v>511</v>
      </c>
      <c r="D93" s="330">
        <f t="shared" si="3"/>
        <v>9.2200000000000006</v>
      </c>
      <c r="E93" s="330"/>
      <c r="F93" s="330">
        <f>'STOK DETAY'!IT6</f>
        <v>9.2200000000000006</v>
      </c>
      <c r="G93" s="330"/>
      <c r="H93" s="330"/>
      <c r="I93" s="330"/>
      <c r="J93" s="330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32">
        <v>1.7</v>
      </c>
      <c r="B94" s="369" t="s">
        <v>10</v>
      </c>
      <c r="C94" s="368">
        <v>511</v>
      </c>
      <c r="D94" s="330">
        <f t="shared" si="3"/>
        <v>18.5</v>
      </c>
      <c r="E94" s="330"/>
      <c r="F94" s="330">
        <f>'STOK DETAY'!IU6</f>
        <v>18.5</v>
      </c>
      <c r="G94" s="330"/>
      <c r="H94" s="330"/>
      <c r="I94" s="330"/>
      <c r="J94" s="330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32">
        <v>1.8</v>
      </c>
      <c r="B95" s="369" t="s">
        <v>10</v>
      </c>
      <c r="C95" s="369">
        <v>511</v>
      </c>
      <c r="D95" s="330">
        <f>SUM(E95:J95)</f>
        <v>64.48</v>
      </c>
      <c r="E95" s="330"/>
      <c r="F95" s="330">
        <f>'STOK DETAY'!IV6</f>
        <v>64.48</v>
      </c>
      <c r="G95" s="330"/>
      <c r="H95" s="330"/>
      <c r="I95" s="330"/>
      <c r="J95" s="330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32">
        <v>3.5</v>
      </c>
      <c r="B96" s="369" t="s">
        <v>10</v>
      </c>
      <c r="C96" s="369">
        <v>511</v>
      </c>
      <c r="D96" s="330">
        <f>SUM(E96:J96)</f>
        <v>52.36</v>
      </c>
      <c r="E96" s="330"/>
      <c r="F96" s="330">
        <f>'STOK DETAY'!IW6</f>
        <v>52.36</v>
      </c>
      <c r="G96" s="330"/>
      <c r="H96" s="330"/>
      <c r="I96" s="330"/>
      <c r="J96" s="330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6"/>
      <c r="H110" s="167"/>
      <c r="I110" s="167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E95:J96 E2:J82">
    <cfRule type="cellIs" dxfId="9" priority="3" operator="equal">
      <formula>0</formula>
    </cfRule>
  </conditionalFormatting>
  <conditionalFormatting sqref="E84:J94">
    <cfRule type="cellIs" dxfId="11" priority="2" operator="between">
      <formula>-0.1</formula>
      <formula>0.1</formula>
    </cfRule>
  </conditionalFormatting>
  <conditionalFormatting sqref="E83:J83">
    <cfRule type="cellIs" dxfId="1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2026-02-24T11:21:38Z</dcterms:modified>
</cp:coreProperties>
</file>