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I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J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G83" i="22"/>
  <c r="D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F96" i="22"/>
  <c r="D96" i="22" s="1"/>
  <c r="G102" i="12"/>
  <c r="F95" i="22"/>
  <c r="D95" i="22" s="1"/>
  <c r="G100" i="12"/>
  <c r="E100" i="12" s="1"/>
  <c r="F93" i="22"/>
  <c r="D93" i="22" s="1"/>
  <c r="G98" i="12"/>
  <c r="E98" i="12" s="1"/>
  <c r="F91" i="22"/>
  <c r="D91" i="22" s="1"/>
  <c r="G96" i="12"/>
  <c r="E96" i="12" s="1"/>
  <c r="F89" i="22"/>
  <c r="D89" i="22" s="1"/>
  <c r="F94" i="12"/>
  <c r="E87" i="22"/>
  <c r="D87" i="22" s="1"/>
  <c r="G92" i="12"/>
  <c r="E92" i="12" s="1"/>
  <c r="F85" i="22"/>
  <c r="D85" i="22" s="1"/>
  <c r="G101" i="12"/>
  <c r="E101" i="12" s="1"/>
  <c r="F94" i="22"/>
  <c r="D94" i="22" s="1"/>
  <c r="G99" i="12"/>
  <c r="E99" i="12" s="1"/>
  <c r="F92" i="22"/>
  <c r="D92" i="22" s="1"/>
  <c r="G97" i="12"/>
  <c r="E97" i="12" s="1"/>
  <c r="F90" i="22"/>
  <c r="D90" i="22" s="1"/>
  <c r="F95" i="12"/>
  <c r="E95" i="12" s="1"/>
  <c r="E88" i="22"/>
  <c r="D88" i="22" s="1"/>
  <c r="G93" i="12"/>
  <c r="E93" i="12" s="1"/>
  <c r="F86" i="22"/>
  <c r="D86" i="22" s="1"/>
  <c r="G91" i="12"/>
  <c r="F84" i="22"/>
  <c r="D84" i="22" s="1"/>
  <c r="E94" i="12"/>
  <c r="F104" i="12"/>
  <c r="E91" i="12"/>
  <c r="G104" i="12"/>
  <c r="GX6" i="13"/>
  <c r="W6" i="13"/>
  <c r="K14" i="12" l="1"/>
  <c r="J11" i="22"/>
  <c r="H66" i="12"/>
  <c r="E66" i="12" s="1"/>
  <c r="G61" i="22"/>
  <c r="D61" i="22" s="1"/>
  <c r="E104" i="12"/>
  <c r="BO5696" i="13"/>
  <c r="DX6" i="13" l="1"/>
  <c r="C5692" i="13"/>
  <c r="ED6" i="13"/>
  <c r="K35" i="12" l="1"/>
  <c r="J32" i="22"/>
  <c r="K34" i="12"/>
  <c r="J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E49" i="22" s="1"/>
  <c r="J52" i="12" l="1"/>
  <c r="I49" i="22"/>
  <c r="AR5560" i="13"/>
  <c r="P5560" i="13"/>
  <c r="AK6" i="13" l="1"/>
  <c r="HB6" i="13"/>
  <c r="HM5560" i="13"/>
  <c r="HY5560" i="13"/>
  <c r="FM6" i="13"/>
  <c r="C6" i="21"/>
  <c r="H18" i="12" l="1"/>
  <c r="E18" i="12" s="1"/>
  <c r="G15" i="22"/>
  <c r="D15" i="22" s="1"/>
  <c r="F47" i="12"/>
  <c r="E44" i="22"/>
  <c r="F68" i="12"/>
  <c r="E68" i="12" s="1"/>
  <c r="E63" i="22"/>
  <c r="D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I41" i="22"/>
  <c r="D41" i="22" s="1"/>
  <c r="J55" i="12"/>
  <c r="E55" i="12" s="1"/>
  <c r="I52" i="22"/>
  <c r="D52" i="22" s="1"/>
  <c r="J53" i="12"/>
  <c r="I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J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I46" i="22"/>
  <c r="D46" i="22" s="1"/>
  <c r="J47" i="12"/>
  <c r="E47" i="12" s="1"/>
  <c r="I44" i="22"/>
  <c r="D44" i="22" s="1"/>
  <c r="J48" i="12"/>
  <c r="E48" i="12" s="1"/>
  <c r="I45" i="22"/>
  <c r="D45" i="22" s="1"/>
  <c r="J56" i="12"/>
  <c r="E56" i="12" s="1"/>
  <c r="I53" i="22"/>
  <c r="D53" i="22" s="1"/>
  <c r="CU6" i="13"/>
  <c r="J29" i="12" l="1"/>
  <c r="I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H33" i="22" s="1"/>
  <c r="AJ6" i="13"/>
  <c r="J14" i="22" s="1"/>
  <c r="K17" i="12" l="1"/>
  <c r="I36" i="12"/>
  <c r="DS4920" i="13"/>
  <c r="DN4920" i="13"/>
  <c r="CY4924" i="13"/>
  <c r="CG4924" i="13"/>
  <c r="C4920" i="13" l="1"/>
  <c r="F7" i="12"/>
  <c r="CD6" i="13" l="1"/>
  <c r="J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I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I51" i="22" s="1"/>
  <c r="FW6" i="13"/>
  <c r="I48" i="22" s="1"/>
  <c r="FU6" i="13"/>
  <c r="F48" i="22" s="1"/>
  <c r="FL6" i="13"/>
  <c r="I43" i="22" s="1"/>
  <c r="FH6" i="13"/>
  <c r="I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I37" i="22" s="1"/>
  <c r="D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I40" i="22" s="1"/>
  <c r="EQ6" i="13"/>
  <c r="I35" i="22" s="1"/>
  <c r="EU6" i="13"/>
  <c r="I36" i="22" s="1"/>
  <c r="EM6" i="13"/>
  <c r="I34" i="22" s="1"/>
  <c r="EI6" i="13"/>
  <c r="I33" i="22" s="1"/>
  <c r="J36" i="12" l="1"/>
  <c r="J39" i="12"/>
  <c r="J43" i="12"/>
  <c r="J37" i="12"/>
  <c r="J38" i="12"/>
  <c r="EP4424" i="13"/>
  <c r="R6" i="13" l="1"/>
  <c r="J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I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J5" i="22" s="1"/>
  <c r="D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G8" i="22" s="1"/>
  <c r="FG6" i="13"/>
  <c r="G42" i="22" s="1"/>
  <c r="H45" i="12" l="1"/>
  <c r="H11" i="12"/>
  <c r="C3328" i="13"/>
  <c r="AW3350" i="13" l="1"/>
  <c r="C3320" i="13" l="1"/>
  <c r="C3302" i="13" l="1"/>
  <c r="FS6" i="13" l="1"/>
  <c r="G47" i="22" s="1"/>
  <c r="H50" i="12" l="1"/>
  <c r="C3161" i="13"/>
  <c r="GN6" i="13" l="1"/>
  <c r="C3228" i="13" l="1"/>
  <c r="C3235" i="13"/>
  <c r="AN3253" i="13" l="1"/>
  <c r="HD6" i="13" l="1"/>
  <c r="G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J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I25" i="22" s="1"/>
  <c r="CI6" i="13"/>
  <c r="I24" i="22" s="1"/>
  <c r="BW6" i="13"/>
  <c r="I22" i="22" s="1"/>
  <c r="BK6" i="13"/>
  <c r="I20" i="22" s="1"/>
  <c r="BE6" i="13"/>
  <c r="I19" i="22" s="1"/>
  <c r="AX6" i="13"/>
  <c r="H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J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G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J62" i="22" s="1"/>
  <c r="K67" i="12" l="1"/>
  <c r="DS2738" i="13"/>
  <c r="C2716" i="13" l="1"/>
  <c r="C2710" i="13" l="1"/>
  <c r="C2584" i="13" l="1"/>
  <c r="C2669" i="13" l="1"/>
  <c r="EP6" i="13" l="1"/>
  <c r="G35" i="22" s="1"/>
  <c r="H38" i="12" l="1"/>
  <c r="HI6" i="13"/>
  <c r="J66" i="22" s="1"/>
  <c r="K71" i="12" l="1"/>
  <c r="K89" i="12" s="1"/>
  <c r="BI2618" i="13"/>
  <c r="HJ6" i="13" l="1"/>
  <c r="G67" i="22" s="1"/>
  <c r="D67" i="22" s="1"/>
  <c r="H72" i="12" l="1"/>
  <c r="E72" i="12" s="1"/>
  <c r="C2600" i="13"/>
  <c r="BI2580" i="13" l="1"/>
  <c r="C2578" i="13"/>
  <c r="GZ2436" i="13" l="1"/>
  <c r="C2436" i="13" s="1"/>
  <c r="P6" i="13" l="1"/>
  <c r="G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54" i="22" s="1"/>
  <c r="GW6" i="13"/>
  <c r="G60" i="22" s="1"/>
  <c r="GO6" i="13"/>
  <c r="G56" i="22" s="1"/>
  <c r="D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J4" i="22" s="1"/>
  <c r="D4" i="22" s="1"/>
  <c r="K5" i="12" l="1"/>
  <c r="E5" i="12" s="1"/>
  <c r="CM2458" i="13"/>
  <c r="CG2458" i="13"/>
  <c r="N6" i="13" l="1"/>
  <c r="E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G77" i="22" s="1"/>
  <c r="D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G43" i="22" s="1"/>
  <c r="HV6" i="13"/>
  <c r="G74" i="22" s="1"/>
  <c r="H79" i="12" l="1"/>
  <c r="H46" i="12"/>
  <c r="HH6" i="13"/>
  <c r="G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G7" i="22" s="1"/>
  <c r="D7" i="22" s="1"/>
  <c r="HX6" i="13"/>
  <c r="G75" i="22" s="1"/>
  <c r="GT6" i="13"/>
  <c r="J6" i="13"/>
  <c r="H6" i="13"/>
  <c r="G6" i="22" s="1"/>
  <c r="D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G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G33" i="22" s="1"/>
  <c r="HF6" i="13"/>
  <c r="G65" i="22" s="1"/>
  <c r="HM6" i="13"/>
  <c r="G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G48" i="22" s="1"/>
  <c r="D48" i="22" s="1"/>
  <c r="AC6" i="13"/>
  <c r="G13" i="22" s="1"/>
  <c r="Z6" i="13"/>
  <c r="G12" i="22" s="1"/>
  <c r="H15" i="12" l="1"/>
  <c r="H51" i="12"/>
  <c r="H16" i="12"/>
  <c r="AR1836" i="13"/>
  <c r="C1836" i="13" s="1"/>
  <c r="C1522" i="13" l="1"/>
  <c r="EA6" i="13" l="1"/>
  <c r="G32" i="22" s="1"/>
  <c r="H35" i="12" l="1"/>
  <c r="C1812" i="13"/>
  <c r="C1714" i="13" l="1"/>
  <c r="GZ6" i="13" l="1"/>
  <c r="G62" i="22" s="1"/>
  <c r="H67" i="12" l="1"/>
  <c r="DE6" i="13"/>
  <c r="G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J49" i="22" s="1"/>
  <c r="D49" i="22" s="1"/>
  <c r="EX6" i="13"/>
  <c r="K52" i="12" l="1"/>
  <c r="CW1652" i="13"/>
  <c r="BM1652" i="13"/>
  <c r="C1652" i="13" l="1"/>
  <c r="ET6" i="13"/>
  <c r="G36" i="22" s="1"/>
  <c r="EW6" i="13"/>
  <c r="F38" i="22" s="1"/>
  <c r="D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G30" i="22" s="1"/>
  <c r="DK6" i="13"/>
  <c r="G29" i="22" s="1"/>
  <c r="H33" i="12" l="1"/>
  <c r="H32" i="12"/>
  <c r="AR1544" i="13"/>
  <c r="C1544" i="13" s="1"/>
  <c r="GU6" i="13" l="1"/>
  <c r="FC6" i="13"/>
  <c r="G40" i="22" s="1"/>
  <c r="HT6" i="13"/>
  <c r="G73" i="22" s="1"/>
  <c r="D73" i="22" s="1"/>
  <c r="H64" i="12" l="1"/>
  <c r="E64" i="12" s="1"/>
  <c r="G59" i="22"/>
  <c r="D59" i="22" s="1"/>
  <c r="H43" i="12"/>
  <c r="H78" i="12"/>
  <c r="E78" i="12" s="1"/>
  <c r="HP1490" i="13"/>
  <c r="C1490" i="13" s="1"/>
  <c r="AR6" i="13" l="1"/>
  <c r="G17" i="22" s="1"/>
  <c r="GQ6" i="13"/>
  <c r="G57" i="22" s="1"/>
  <c r="S6" i="13"/>
  <c r="G10" i="22" s="1"/>
  <c r="D10" i="22" s="1"/>
  <c r="GB6" i="13"/>
  <c r="G50" i="22" s="1"/>
  <c r="IE6" i="13"/>
  <c r="G79" i="22" s="1"/>
  <c r="GM6" i="13"/>
  <c r="G55" i="22" s="1"/>
  <c r="EZ6" i="13"/>
  <c r="G39" i="22" s="1"/>
  <c r="EL6" i="13"/>
  <c r="G34" i="22" s="1"/>
  <c r="AN6" i="13"/>
  <c r="G16" i="22" s="1"/>
  <c r="GS6" i="13"/>
  <c r="DU6" i="13"/>
  <c r="G31" i="22" s="1"/>
  <c r="V6" i="13"/>
  <c r="G11" i="22" s="1"/>
  <c r="H63" i="12" l="1"/>
  <c r="G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J2" i="22" s="1"/>
  <c r="D2" i="22" s="1"/>
  <c r="E6" i="13"/>
  <c r="J3" i="22" s="1"/>
  <c r="D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G27" i="22" s="1"/>
  <c r="CS6" i="13"/>
  <c r="G26" i="22" s="1"/>
  <c r="CG6" i="13"/>
  <c r="G24" i="22" s="1"/>
  <c r="CA6" i="13"/>
  <c r="G23" i="22" s="1"/>
  <c r="BU6" i="13"/>
  <c r="G22" i="22" s="1"/>
  <c r="BO6" i="13"/>
  <c r="G21" i="22" s="1"/>
  <c r="BI6" i="13"/>
  <c r="G20" i="22" s="1"/>
  <c r="BC6" i="13"/>
  <c r="G19" i="22" s="1"/>
  <c r="AW6" i="13"/>
  <c r="G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H25" i="22" s="1"/>
  <c r="CH6" i="13"/>
  <c r="H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H29" i="22" s="1"/>
  <c r="AE950" i="13"/>
  <c r="I32" i="12" l="1"/>
  <c r="C1010" i="13"/>
  <c r="BS876" i="13"/>
  <c r="BM876" i="13"/>
  <c r="BA876" i="13"/>
  <c r="CK800" i="13"/>
  <c r="BS814" i="13"/>
  <c r="FA6" i="13" l="1"/>
  <c r="E40" i="22" s="1"/>
  <c r="F43" i="12" l="1"/>
  <c r="X6" i="13"/>
  <c r="E12" i="22" s="1"/>
  <c r="ER6" i="13"/>
  <c r="E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E58" i="22" s="1"/>
  <c r="D58" i="22" s="1"/>
  <c r="AA6" i="13"/>
  <c r="E13" i="22" s="1"/>
  <c r="F63" i="12" l="1"/>
  <c r="E63" i="12" s="1"/>
  <c r="F16" i="12"/>
  <c r="CW8" i="13"/>
  <c r="BJ6" i="13" l="1"/>
  <c r="H20" i="22" s="1"/>
  <c r="BD6" i="13"/>
  <c r="AV399" i="13"/>
  <c r="I23" i="12" l="1"/>
  <c r="CR395" i="13"/>
  <c r="BN395" i="13"/>
  <c r="CB6" i="13" l="1"/>
  <c r="H23" i="22" s="1"/>
  <c r="BV6" i="13"/>
  <c r="H22" i="22" s="1"/>
  <c r="BP6" i="13"/>
  <c r="H21" i="22" s="1"/>
  <c r="I25" i="12" l="1"/>
  <c r="I24" i="12"/>
  <c r="I26" i="12"/>
  <c r="CC8" i="13"/>
  <c r="HG316" i="13" l="1"/>
  <c r="GL316" i="13"/>
  <c r="IH6" i="13"/>
  <c r="E82" i="22" s="1"/>
  <c r="D82" i="22" s="1"/>
  <c r="F87" i="12" l="1"/>
  <c r="E87" i="12" s="1"/>
  <c r="CE215" i="13"/>
  <c r="CX200" i="13"/>
  <c r="GJ6" i="13" l="1"/>
  <c r="E54" i="22" s="1"/>
  <c r="D54" i="22" s="1"/>
  <c r="BM127" i="13"/>
  <c r="GL6" i="13"/>
  <c r="E55" i="22" s="1"/>
  <c r="D55" i="22" s="1"/>
  <c r="EC6" i="13"/>
  <c r="I32" i="22" s="1"/>
  <c r="CE82" i="13"/>
  <c r="F60" i="12" l="1"/>
  <c r="E60" i="12" s="1"/>
  <c r="J35" i="12"/>
  <c r="F59" i="12"/>
  <c r="IG6" i="13"/>
  <c r="E81" i="22" s="1"/>
  <c r="D81" i="22" s="1"/>
  <c r="IF6" i="13"/>
  <c r="E80" i="22" s="1"/>
  <c r="D80" i="22" s="1"/>
  <c r="ID6" i="13"/>
  <c r="E79" i="22" s="1"/>
  <c r="D79" i="22" s="1"/>
  <c r="IB6" i="13"/>
  <c r="E78" i="22" s="1"/>
  <c r="D78" i="22" s="1"/>
  <c r="HZ6" i="13"/>
  <c r="HY6" i="13"/>
  <c r="E76" i="22" s="1"/>
  <c r="D76" i="22" s="1"/>
  <c r="HW6" i="13"/>
  <c r="E75" i="22" s="1"/>
  <c r="D75" i="22" s="1"/>
  <c r="HU6" i="13"/>
  <c r="E74" i="22" s="1"/>
  <c r="D74" i="22" s="1"/>
  <c r="HS6" i="13"/>
  <c r="E72" i="22" s="1"/>
  <c r="D72" i="22" s="1"/>
  <c r="HR6" i="13"/>
  <c r="G71" i="22" s="1"/>
  <c r="HQ6" i="13"/>
  <c r="E71" i="22" s="1"/>
  <c r="HP6" i="13"/>
  <c r="G70" i="22" s="1"/>
  <c r="HO6" i="13"/>
  <c r="E70" i="22" s="1"/>
  <c r="HL6" i="13"/>
  <c r="E69" i="22" s="1"/>
  <c r="D69" i="22" s="1"/>
  <c r="HK6" i="13"/>
  <c r="E68" i="22" s="1"/>
  <c r="D68" i="22" s="1"/>
  <c r="HG6" i="13"/>
  <c r="E66" i="22" s="1"/>
  <c r="D66" i="22" s="1"/>
  <c r="HE6" i="13"/>
  <c r="E65" i="22" s="1"/>
  <c r="D65" i="22" s="1"/>
  <c r="HC6" i="13"/>
  <c r="E64" i="22" s="1"/>
  <c r="D64" i="22" s="1"/>
  <c r="GY6" i="13"/>
  <c r="E62" i="22" s="1"/>
  <c r="D62" i="22" s="1"/>
  <c r="GV6" i="13"/>
  <c r="E60" i="22" s="1"/>
  <c r="D60" i="22" s="1"/>
  <c r="GE6" i="13"/>
  <c r="F51" i="22" s="1"/>
  <c r="D51" i="22" s="1"/>
  <c r="GA6" i="13"/>
  <c r="F50" i="22" s="1"/>
  <c r="D50" i="22" s="1"/>
  <c r="F52" i="12"/>
  <c r="G51" i="12"/>
  <c r="E51" i="12" s="1"/>
  <c r="FR6" i="13"/>
  <c r="F47" i="22" s="1"/>
  <c r="FQ6" i="13"/>
  <c r="E47" i="22" s="1"/>
  <c r="D47" i="22" s="1"/>
  <c r="FJ6" i="13"/>
  <c r="F43" i="22" s="1"/>
  <c r="D43" i="22" s="1"/>
  <c r="FF6" i="13"/>
  <c r="F42" i="22" s="1"/>
  <c r="D42" i="22" s="1"/>
  <c r="FB6" i="13"/>
  <c r="F40" i="22" s="1"/>
  <c r="D40" i="22" s="1"/>
  <c r="EY6" i="13"/>
  <c r="F39" i="22" s="1"/>
  <c r="D39" i="22" s="1"/>
  <c r="G41" i="12"/>
  <c r="E41" i="12" s="1"/>
  <c r="ES6" i="13"/>
  <c r="F36" i="22" s="1"/>
  <c r="D36" i="22" s="1"/>
  <c r="EO6" i="13"/>
  <c r="F35" i="22" s="1"/>
  <c r="EN6" i="13"/>
  <c r="E35" i="22" s="1"/>
  <c r="D35" i="22" s="1"/>
  <c r="EK6" i="13"/>
  <c r="F34" i="22" s="1"/>
  <c r="EJ6" i="13"/>
  <c r="E34" i="22" s="1"/>
  <c r="D34" i="22" s="1"/>
  <c r="EF6" i="13"/>
  <c r="F33" i="22" s="1"/>
  <c r="EE6" i="13"/>
  <c r="E33" i="22" s="1"/>
  <c r="D33" i="22" s="1"/>
  <c r="EB6" i="13"/>
  <c r="H32" i="22" s="1"/>
  <c r="DZ6" i="13"/>
  <c r="F32" i="22" s="1"/>
  <c r="DY6" i="13"/>
  <c r="E32" i="22" s="1"/>
  <c r="DW6" i="13"/>
  <c r="I31" i="22" s="1"/>
  <c r="DV6" i="13"/>
  <c r="H31" i="22" s="1"/>
  <c r="DT6" i="13"/>
  <c r="F31" i="22" s="1"/>
  <c r="DS6" i="13"/>
  <c r="E31" i="22" s="1"/>
  <c r="DR6" i="13"/>
  <c r="I30" i="22" s="1"/>
  <c r="DQ6" i="13"/>
  <c r="H30" i="22" s="1"/>
  <c r="DO6" i="13"/>
  <c r="F30" i="22" s="1"/>
  <c r="DN6" i="13"/>
  <c r="E30" i="22" s="1"/>
  <c r="DM6" i="13"/>
  <c r="I29" i="22" s="1"/>
  <c r="DI6" i="13"/>
  <c r="E29" i="22" s="1"/>
  <c r="DG6" i="13"/>
  <c r="I28" i="22" s="1"/>
  <c r="DF6" i="13"/>
  <c r="H28" i="22" s="1"/>
  <c r="DD6" i="13"/>
  <c r="F28" i="22" s="1"/>
  <c r="DC6" i="13"/>
  <c r="E28" i="22" s="1"/>
  <c r="DB6" i="13"/>
  <c r="J27" i="22" s="1"/>
  <c r="CZ6" i="13"/>
  <c r="H27" i="22" s="1"/>
  <c r="CX6" i="13"/>
  <c r="F27" i="22" s="1"/>
  <c r="CW6" i="13"/>
  <c r="E27" i="22" s="1"/>
  <c r="CV6" i="13"/>
  <c r="J26" i="22" s="1"/>
  <c r="CT6" i="13"/>
  <c r="H26" i="22" s="1"/>
  <c r="CR6" i="13"/>
  <c r="F26" i="22" s="1"/>
  <c r="CQ6" i="13"/>
  <c r="E26" i="22" s="1"/>
  <c r="CP6" i="13"/>
  <c r="J25" i="22" s="1"/>
  <c r="CM6" i="13"/>
  <c r="G25" i="22" s="1"/>
  <c r="CL6" i="13"/>
  <c r="F25" i="22" s="1"/>
  <c r="CK6" i="13"/>
  <c r="E25" i="22" s="1"/>
  <c r="CJ6" i="13"/>
  <c r="J24" i="22" s="1"/>
  <c r="CF6" i="13"/>
  <c r="F24" i="22" s="1"/>
  <c r="CE6" i="13"/>
  <c r="E24" i="22" s="1"/>
  <c r="D24" i="22" s="1"/>
  <c r="CC6" i="13"/>
  <c r="I23" i="22" s="1"/>
  <c r="BZ6" i="13"/>
  <c r="F23" i="22" s="1"/>
  <c r="BY6" i="13"/>
  <c r="E23" i="22" s="1"/>
  <c r="BX6" i="13"/>
  <c r="J22" i="22" s="1"/>
  <c r="BT6" i="13"/>
  <c r="F22" i="22" s="1"/>
  <c r="BS6" i="13"/>
  <c r="E22" i="22" s="1"/>
  <c r="D22" i="22" s="1"/>
  <c r="BR6" i="13"/>
  <c r="J21" i="22" s="1"/>
  <c r="BN6" i="13"/>
  <c r="F21" i="22" s="1"/>
  <c r="BM6" i="13"/>
  <c r="E21" i="22" s="1"/>
  <c r="BL6" i="13"/>
  <c r="J20" i="22" s="1"/>
  <c r="BH6" i="13"/>
  <c r="F20" i="22" s="1"/>
  <c r="BG6" i="13"/>
  <c r="E20" i="22" s="1"/>
  <c r="D20" i="22" s="1"/>
  <c r="BF6" i="13"/>
  <c r="J19" i="22" s="1"/>
  <c r="BB6" i="13"/>
  <c r="F19" i="22" s="1"/>
  <c r="BA6" i="13"/>
  <c r="E19" i="22" s="1"/>
  <c r="AZ6" i="13"/>
  <c r="J18" i="22" s="1"/>
  <c r="AV6" i="13"/>
  <c r="F18" i="22" s="1"/>
  <c r="AU6" i="13"/>
  <c r="E18" i="22" s="1"/>
  <c r="D18" i="22" s="1"/>
  <c r="AT6" i="13"/>
  <c r="I17" i="22" s="1"/>
  <c r="AS6" i="13"/>
  <c r="H17" i="22" s="1"/>
  <c r="AQ6" i="13"/>
  <c r="F17" i="22" s="1"/>
  <c r="AP6" i="13"/>
  <c r="E17" i="22" s="1"/>
  <c r="D17" i="22" s="1"/>
  <c r="AO6" i="13"/>
  <c r="I16" i="22" s="1"/>
  <c r="AM6" i="13"/>
  <c r="F16" i="22" s="1"/>
  <c r="AL6" i="13"/>
  <c r="E16" i="22" s="1"/>
  <c r="AI6" i="13"/>
  <c r="I14" i="22" s="1"/>
  <c r="AH6" i="13"/>
  <c r="H14" i="22" s="1"/>
  <c r="AF6" i="13"/>
  <c r="F14" i="22" s="1"/>
  <c r="AE6" i="13"/>
  <c r="E14" i="22" s="1"/>
  <c r="AD6" i="13"/>
  <c r="J13" i="22" s="1"/>
  <c r="AB6" i="13"/>
  <c r="F13" i="22" s="1"/>
  <c r="Y6" i="13"/>
  <c r="F12" i="22" s="1"/>
  <c r="D12" i="22" s="1"/>
  <c r="U6" i="13"/>
  <c r="F11" i="22" s="1"/>
  <c r="T6" i="13"/>
  <c r="E11" i="22" s="1"/>
  <c r="D11" i="22" s="1"/>
  <c r="Q6" i="13"/>
  <c r="I9" i="22" s="1"/>
  <c r="O6" i="13"/>
  <c r="F9" i="22" s="1"/>
  <c r="D9" i="22" s="1"/>
  <c r="L6" i="13"/>
  <c r="F8" i="22" s="1"/>
  <c r="D8" i="22" s="1"/>
  <c r="K6" i="13"/>
  <c r="D13" i="22" l="1"/>
  <c r="D16" i="22"/>
  <c r="D19" i="22"/>
  <c r="D21" i="22"/>
  <c r="D23" i="22"/>
  <c r="D26" i="22"/>
  <c r="D27" i="22"/>
  <c r="D28" i="22"/>
  <c r="D30" i="22"/>
  <c r="D31" i="22"/>
  <c r="D32" i="22"/>
  <c r="D70" i="22"/>
  <c r="D71" i="22"/>
  <c r="D25" i="22"/>
  <c r="D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E57" i="22" s="1"/>
  <c r="D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F29" i="22"/>
  <c r="D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<sst xmlns="http://schemas.openxmlformats.org/spreadsheetml/2006/main" count="7370" uniqueCount="301">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</sst>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  <c r="AA1" s="380"/>
      <c r="AB1" s="380"/>
      <c r="AC1" s="380"/>
    </row>
    <row r="2" spans="1:29" x14ac:dyDescent="0.25">
      <c r="A2" s="381"/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</row>
    <row r="3" spans="1:29" x14ac:dyDescent="0.25">
      <c r="A3" s="3">
        <v>1.8</v>
      </c>
      <c r="B3" s="376"/>
      <c r="C3" s="2">
        <v>2.2000000000000002</v>
      </c>
      <c r="D3" s="376"/>
      <c r="E3" s="2">
        <v>2.2999999999999998</v>
      </c>
      <c r="F3" s="376"/>
      <c r="G3" s="2">
        <v>2.4500000000000002</v>
      </c>
      <c r="H3" s="376"/>
      <c r="I3" s="2"/>
      <c r="J3" s="376"/>
      <c r="K3" s="2"/>
      <c r="L3" s="376"/>
      <c r="M3" s="2"/>
      <c r="N3" s="376"/>
      <c r="O3" s="2"/>
      <c r="P3" s="376"/>
      <c r="Q3" s="2"/>
      <c r="R3" s="376"/>
      <c r="S3" s="2"/>
      <c r="T3" s="376"/>
      <c r="U3" s="2"/>
      <c r="V3" s="376"/>
      <c r="W3" s="2"/>
      <c r="X3" s="376"/>
      <c r="Y3" s="2"/>
      <c r="Z3" s="376"/>
      <c r="AA3" s="2"/>
      <c r="AB3" s="378"/>
    </row>
    <row r="4" spans="1:29" ht="6" customHeight="1" x14ac:dyDescent="0.25">
      <c r="A4" s="4"/>
      <c r="B4" s="377"/>
      <c r="C4" s="5"/>
      <c r="D4" s="377"/>
      <c r="E4" s="5"/>
      <c r="F4" s="377"/>
      <c r="G4" s="5"/>
      <c r="H4" s="377"/>
      <c r="I4" s="5"/>
      <c r="J4" s="377"/>
      <c r="K4" s="5"/>
      <c r="L4" s="377"/>
      <c r="M4" s="5"/>
      <c r="N4" s="377"/>
      <c r="O4" s="5"/>
      <c r="P4" s="377"/>
      <c r="Q4" s="5"/>
      <c r="R4" s="377"/>
      <c r="S4" s="5"/>
      <c r="T4" s="377"/>
      <c r="U4" s="5"/>
      <c r="V4" s="377"/>
      <c r="W4" s="5"/>
      <c r="X4" s="377"/>
      <c r="Y4" s="5"/>
      <c r="Z4" s="377"/>
      <c r="AA4" s="5"/>
      <c r="AB4" s="378"/>
    </row>
    <row r="5" spans="1:29" x14ac:dyDescent="0.25">
      <c r="A5" s="6">
        <v>2035.8</v>
      </c>
      <c r="B5" s="377"/>
      <c r="C5" s="7">
        <v>2018.1</v>
      </c>
      <c r="D5" s="377"/>
      <c r="E5" s="7">
        <v>2056.1</v>
      </c>
      <c r="F5" s="377"/>
      <c r="G5" s="7">
        <v>1995.7</v>
      </c>
      <c r="H5" s="377"/>
      <c r="I5" s="7"/>
      <c r="J5" s="377"/>
      <c r="K5" s="7"/>
      <c r="L5" s="377"/>
      <c r="M5" s="7"/>
      <c r="N5" s="377"/>
      <c r="O5" s="7"/>
      <c r="P5" s="377"/>
      <c r="Q5" s="7"/>
      <c r="R5" s="377"/>
      <c r="S5" s="7"/>
      <c r="T5" s="377"/>
      <c r="U5" s="7"/>
      <c r="V5" s="377"/>
      <c r="W5" s="7"/>
      <c r="X5" s="377"/>
      <c r="Y5" s="7"/>
      <c r="Z5" s="377"/>
      <c r="AA5" s="7"/>
      <c r="AB5" s="378"/>
    </row>
    <row r="6" spans="1:29" x14ac:dyDescent="0.25">
      <c r="A6" s="6"/>
      <c r="B6" s="377"/>
      <c r="C6" s="7"/>
      <c r="D6" s="377"/>
      <c r="E6" s="7"/>
      <c r="F6" s="377"/>
      <c r="G6" s="7"/>
      <c r="H6" s="377"/>
      <c r="I6" s="7"/>
      <c r="J6" s="377"/>
      <c r="K6" s="7"/>
      <c r="L6" s="377"/>
      <c r="M6" s="7"/>
      <c r="N6" s="377"/>
      <c r="O6" s="7"/>
      <c r="P6" s="377"/>
      <c r="Q6" s="7"/>
      <c r="R6" s="377"/>
      <c r="S6" s="7"/>
      <c r="T6" s="377"/>
      <c r="U6" s="7"/>
      <c r="V6" s="377"/>
      <c r="W6" s="7"/>
      <c r="X6" s="377"/>
      <c r="Y6" s="7"/>
      <c r="Z6" s="377"/>
      <c r="AA6" s="7"/>
      <c r="AB6" s="378"/>
    </row>
    <row r="7" spans="1:29" x14ac:dyDescent="0.25">
      <c r="A7" s="6"/>
      <c r="B7" s="377"/>
      <c r="C7" s="7"/>
      <c r="D7" s="377"/>
      <c r="E7" s="7"/>
      <c r="F7" s="377"/>
      <c r="G7" s="7"/>
      <c r="H7" s="377"/>
      <c r="I7" s="7"/>
      <c r="J7" s="377"/>
      <c r="K7" s="7"/>
      <c r="L7" s="377"/>
      <c r="M7" s="7"/>
      <c r="N7" s="377"/>
      <c r="O7" s="7"/>
      <c r="P7" s="377"/>
      <c r="Q7" s="7"/>
      <c r="R7" s="377"/>
      <c r="S7" s="7"/>
      <c r="T7" s="377"/>
      <c r="U7" s="7"/>
      <c r="V7" s="377"/>
      <c r="W7" s="7"/>
      <c r="X7" s="377"/>
      <c r="Y7" s="7"/>
      <c r="Z7" s="377"/>
      <c r="AA7" s="7"/>
      <c r="AB7" s="378"/>
    </row>
    <row r="8" spans="1:29" x14ac:dyDescent="0.25">
      <c r="A8" s="6"/>
      <c r="B8" s="377"/>
      <c r="C8" s="7"/>
      <c r="D8" s="377"/>
      <c r="E8" s="7"/>
      <c r="F8" s="377"/>
      <c r="G8" s="7"/>
      <c r="H8" s="377"/>
      <c r="I8" s="7"/>
      <c r="J8" s="377"/>
      <c r="K8" s="7"/>
      <c r="L8" s="377"/>
      <c r="M8" s="7"/>
      <c r="N8" s="377"/>
      <c r="O8" s="7"/>
      <c r="P8" s="377"/>
      <c r="Q8" s="7"/>
      <c r="R8" s="377"/>
      <c r="S8" s="7"/>
      <c r="T8" s="377"/>
      <c r="U8" s="7"/>
      <c r="V8" s="377"/>
      <c r="W8" s="7"/>
      <c r="X8" s="377"/>
      <c r="Y8" s="7"/>
      <c r="Z8" s="377"/>
      <c r="AA8" s="7"/>
      <c r="AB8" s="378"/>
    </row>
    <row r="9" spans="1:29" x14ac:dyDescent="0.25">
      <c r="A9" s="6"/>
      <c r="B9" s="377"/>
      <c r="C9" s="7"/>
      <c r="D9" s="377"/>
      <c r="E9" s="7"/>
      <c r="F9" s="377"/>
      <c r="G9" s="7"/>
      <c r="H9" s="377"/>
      <c r="I9" s="7"/>
      <c r="J9" s="377"/>
      <c r="K9" s="7"/>
      <c r="L9" s="377"/>
      <c r="M9" s="7"/>
      <c r="N9" s="377"/>
      <c r="O9" s="7"/>
      <c r="P9" s="377"/>
      <c r="Q9" s="7"/>
      <c r="R9" s="377"/>
      <c r="S9" s="7"/>
      <c r="T9" s="377"/>
      <c r="U9" s="7"/>
      <c r="V9" s="377"/>
      <c r="W9" s="7"/>
      <c r="X9" s="377"/>
      <c r="Y9" s="7"/>
      <c r="Z9" s="377"/>
      <c r="AA9" s="7"/>
      <c r="AB9" s="378"/>
    </row>
    <row r="10" spans="1:29" x14ac:dyDescent="0.25">
      <c r="A10" s="6"/>
      <c r="B10" s="377"/>
      <c r="C10" s="7"/>
      <c r="D10" s="377"/>
      <c r="E10" s="7"/>
      <c r="F10" s="377"/>
      <c r="G10" s="7"/>
      <c r="H10" s="377"/>
      <c r="I10" s="7"/>
      <c r="J10" s="377"/>
      <c r="K10" s="7"/>
      <c r="L10" s="377"/>
      <c r="M10" s="7"/>
      <c r="N10" s="377"/>
      <c r="O10" s="7"/>
      <c r="P10" s="377"/>
      <c r="Q10" s="7"/>
      <c r="R10" s="377"/>
      <c r="S10" s="7"/>
      <c r="T10" s="377"/>
      <c r="U10" s="7"/>
      <c r="V10" s="377"/>
      <c r="W10" s="7"/>
      <c r="X10" s="377"/>
      <c r="Y10" s="7"/>
      <c r="Z10" s="377"/>
      <c r="AA10" s="7"/>
      <c r="AB10" s="378"/>
    </row>
    <row r="11" spans="1:29" x14ac:dyDescent="0.25">
      <c r="A11" s="6"/>
      <c r="B11" s="377"/>
      <c r="C11" s="7"/>
      <c r="D11" s="377"/>
      <c r="E11" s="7"/>
      <c r="F11" s="377"/>
      <c r="G11" s="7"/>
      <c r="H11" s="377"/>
      <c r="I11" s="7"/>
      <c r="J11" s="377"/>
      <c r="K11" s="7"/>
      <c r="L11" s="377"/>
      <c r="M11" s="7"/>
      <c r="N11" s="377"/>
      <c r="O11" s="7"/>
      <c r="P11" s="377"/>
      <c r="Q11" s="7"/>
      <c r="R11" s="377"/>
      <c r="S11" s="7"/>
      <c r="T11" s="377"/>
      <c r="U11" s="7"/>
      <c r="V11" s="377"/>
      <c r="W11" s="7"/>
      <c r="X11" s="377"/>
      <c r="Y11" s="7"/>
      <c r="Z11" s="377"/>
      <c r="AA11" s="7"/>
      <c r="AB11" s="378"/>
    </row>
    <row r="12" spans="1:29" x14ac:dyDescent="0.25">
      <c r="A12" s="6"/>
      <c r="B12" s="377"/>
      <c r="C12" s="7"/>
      <c r="D12" s="377"/>
      <c r="E12" s="7"/>
      <c r="F12" s="377"/>
      <c r="G12" s="7"/>
      <c r="H12" s="377"/>
      <c r="I12" s="7"/>
      <c r="J12" s="377"/>
      <c r="K12" s="7"/>
      <c r="L12" s="377"/>
      <c r="M12" s="7"/>
      <c r="N12" s="377"/>
      <c r="O12" s="7"/>
      <c r="P12" s="377"/>
      <c r="Q12" s="7"/>
      <c r="R12" s="377"/>
      <c r="S12" s="7"/>
      <c r="T12" s="377"/>
      <c r="U12" s="7"/>
      <c r="V12" s="377"/>
      <c r="W12" s="7"/>
      <c r="X12" s="377"/>
      <c r="Y12" s="7"/>
      <c r="Z12" s="377"/>
      <c r="AA12" s="7"/>
      <c r="AB12" s="378"/>
    </row>
    <row r="13" spans="1:29" x14ac:dyDescent="0.25">
      <c r="A13" s="6"/>
      <c r="B13" s="377"/>
      <c r="C13" s="7"/>
      <c r="D13" s="377"/>
      <c r="E13" s="7"/>
      <c r="F13" s="377"/>
      <c r="G13" s="7"/>
      <c r="H13" s="377"/>
      <c r="I13" s="7"/>
      <c r="J13" s="377"/>
      <c r="K13" s="7"/>
      <c r="L13" s="377"/>
      <c r="M13" s="7"/>
      <c r="N13" s="377"/>
      <c r="O13" s="7"/>
      <c r="P13" s="377"/>
      <c r="Q13" s="7"/>
      <c r="R13" s="377"/>
      <c r="S13" s="7"/>
      <c r="T13" s="377"/>
      <c r="U13" s="7"/>
      <c r="V13" s="377"/>
      <c r="W13" s="7"/>
      <c r="X13" s="377"/>
      <c r="Y13" s="7"/>
      <c r="Z13" s="377"/>
      <c r="AA13" s="7"/>
      <c r="AB13" s="378"/>
    </row>
    <row r="14" spans="1:29" x14ac:dyDescent="0.25">
      <c r="A14" s="6"/>
      <c r="B14" s="377"/>
      <c r="C14" s="7"/>
      <c r="D14" s="377"/>
      <c r="E14" s="7"/>
      <c r="F14" s="377"/>
      <c r="G14" s="7"/>
      <c r="H14" s="377"/>
      <c r="I14" s="7"/>
      <c r="J14" s="377"/>
      <c r="K14" s="7"/>
      <c r="L14" s="377"/>
      <c r="M14" s="7"/>
      <c r="N14" s="377"/>
      <c r="O14" s="7"/>
      <c r="P14" s="377"/>
      <c r="Q14" s="7"/>
      <c r="R14" s="377"/>
      <c r="S14" s="7"/>
      <c r="T14" s="377"/>
      <c r="U14" s="7"/>
      <c r="V14" s="377"/>
      <c r="W14" s="7"/>
      <c r="X14" s="377"/>
      <c r="Y14" s="7"/>
      <c r="Z14" s="377"/>
      <c r="AA14" s="7"/>
      <c r="AB14" s="378"/>
    </row>
    <row r="15" spans="1:29" x14ac:dyDescent="0.25">
      <c r="A15" s="6"/>
      <c r="B15" s="377"/>
      <c r="C15" s="7"/>
      <c r="D15" s="377"/>
      <c r="E15" s="7"/>
      <c r="F15" s="377"/>
      <c r="G15" s="7"/>
      <c r="H15" s="377"/>
      <c r="I15" s="7"/>
      <c r="J15" s="377"/>
      <c r="K15" s="7"/>
      <c r="L15" s="377"/>
      <c r="M15" s="7"/>
      <c r="N15" s="377"/>
      <c r="O15" s="7"/>
      <c r="P15" s="377"/>
      <c r="Q15" s="7"/>
      <c r="R15" s="377"/>
      <c r="S15" s="7"/>
      <c r="T15" s="377"/>
      <c r="U15" s="7"/>
      <c r="V15" s="377"/>
      <c r="W15" s="7"/>
      <c r="X15" s="377"/>
      <c r="Y15" s="7"/>
      <c r="Z15" s="377"/>
      <c r="AA15" s="7"/>
      <c r="AB15" s="378"/>
    </row>
    <row r="16" spans="1:29" x14ac:dyDescent="0.25">
      <c r="A16" s="6"/>
      <c r="B16" s="377"/>
      <c r="C16" s="7"/>
      <c r="D16" s="377"/>
      <c r="E16" s="7"/>
      <c r="F16" s="377"/>
      <c r="G16" s="7"/>
      <c r="H16" s="377"/>
      <c r="I16" s="7"/>
      <c r="J16" s="377"/>
      <c r="K16" s="7"/>
      <c r="L16" s="377"/>
      <c r="M16" s="7"/>
      <c r="N16" s="377"/>
      <c r="O16" s="7"/>
      <c r="P16" s="377"/>
      <c r="Q16" s="7"/>
      <c r="R16" s="377"/>
      <c r="S16" s="7"/>
      <c r="T16" s="377"/>
      <c r="U16" s="7"/>
      <c r="V16" s="377"/>
      <c r="W16" s="7"/>
      <c r="X16" s="377"/>
      <c r="Y16" s="7"/>
      <c r="Z16" s="377"/>
      <c r="AA16" s="7"/>
      <c r="AB16" s="378"/>
    </row>
    <row r="17" spans="1:28" x14ac:dyDescent="0.25">
      <c r="A17" s="6"/>
      <c r="B17" s="377"/>
      <c r="C17" s="7"/>
      <c r="D17" s="377"/>
      <c r="E17" s="7"/>
      <c r="F17" s="377"/>
      <c r="G17" s="7"/>
      <c r="H17" s="377"/>
      <c r="I17" s="7"/>
      <c r="J17" s="377"/>
      <c r="K17" s="7"/>
      <c r="L17" s="377"/>
      <c r="M17" s="7"/>
      <c r="N17" s="377"/>
      <c r="O17" s="7"/>
      <c r="P17" s="377"/>
      <c r="Q17" s="7"/>
      <c r="R17" s="377"/>
      <c r="S17" s="7"/>
      <c r="T17" s="377"/>
      <c r="U17" s="7"/>
      <c r="V17" s="377"/>
      <c r="W17" s="7"/>
      <c r="X17" s="377"/>
      <c r="Y17" s="7"/>
      <c r="Z17" s="377"/>
      <c r="AA17" s="7"/>
      <c r="AB17" s="378"/>
    </row>
    <row r="18" spans="1:28" x14ac:dyDescent="0.25">
      <c r="A18" s="6"/>
      <c r="B18" s="377"/>
      <c r="C18" s="7"/>
      <c r="D18" s="377"/>
      <c r="E18" s="7"/>
      <c r="F18" s="377"/>
      <c r="G18" s="7"/>
      <c r="H18" s="377"/>
      <c r="I18" s="7"/>
      <c r="J18" s="377"/>
      <c r="K18" s="7"/>
      <c r="L18" s="377"/>
      <c r="M18" s="7"/>
      <c r="N18" s="377"/>
      <c r="O18" s="7"/>
      <c r="P18" s="377"/>
      <c r="Q18" s="7"/>
      <c r="R18" s="377"/>
      <c r="S18" s="7"/>
      <c r="T18" s="377"/>
      <c r="U18" s="7"/>
      <c r="V18" s="377"/>
      <c r="W18" s="7"/>
      <c r="X18" s="377"/>
      <c r="Y18" s="7"/>
      <c r="Z18" s="377"/>
      <c r="AA18" s="7"/>
      <c r="AB18" s="378"/>
    </row>
    <row r="19" spans="1:28" x14ac:dyDescent="0.25">
      <c r="A19" s="6"/>
      <c r="B19" s="377"/>
      <c r="C19" s="7"/>
      <c r="D19" s="377"/>
      <c r="E19" s="7"/>
      <c r="F19" s="377"/>
      <c r="G19" s="7"/>
      <c r="H19" s="377"/>
      <c r="I19" s="7"/>
      <c r="J19" s="377"/>
      <c r="K19" s="7"/>
      <c r="L19" s="377"/>
      <c r="M19" s="7"/>
      <c r="N19" s="377"/>
      <c r="O19" s="7"/>
      <c r="P19" s="377"/>
      <c r="Q19" s="7"/>
      <c r="R19" s="377"/>
      <c r="S19" s="7"/>
      <c r="T19" s="377"/>
      <c r="U19" s="7"/>
      <c r="V19" s="377"/>
      <c r="W19" s="7"/>
      <c r="X19" s="377"/>
      <c r="Y19" s="7"/>
      <c r="Z19" s="377"/>
      <c r="AA19" s="7"/>
      <c r="AB19" s="378"/>
    </row>
    <row r="20" spans="1:28" x14ac:dyDescent="0.25">
      <c r="A20" s="6"/>
      <c r="B20" s="377"/>
      <c r="C20" s="7"/>
      <c r="D20" s="377"/>
      <c r="E20" s="7"/>
      <c r="F20" s="377"/>
      <c r="G20" s="7"/>
      <c r="H20" s="377"/>
      <c r="I20" s="7"/>
      <c r="J20" s="377"/>
      <c r="K20" s="7"/>
      <c r="L20" s="377"/>
      <c r="M20" s="7"/>
      <c r="N20" s="377"/>
      <c r="O20" s="7"/>
      <c r="P20" s="377"/>
      <c r="Q20" s="7"/>
      <c r="R20" s="377"/>
      <c r="S20" s="7"/>
      <c r="T20" s="377"/>
      <c r="U20" s="7"/>
      <c r="V20" s="377"/>
      <c r="W20" s="7"/>
      <c r="X20" s="377"/>
      <c r="Y20" s="7"/>
      <c r="Z20" s="377"/>
      <c r="AA20" s="7"/>
      <c r="AB20" s="378"/>
    </row>
    <row r="21" spans="1:28" ht="15.75" customHeight="1" x14ac:dyDescent="0.25">
      <c r="A21" s="6"/>
      <c r="B21" s="377"/>
      <c r="C21" s="7"/>
      <c r="D21" s="377"/>
      <c r="E21" s="7"/>
      <c r="F21" s="377"/>
      <c r="G21" s="7"/>
      <c r="H21" s="377"/>
      <c r="I21" s="7"/>
      <c r="J21" s="377"/>
      <c r="K21" s="7"/>
      <c r="L21" s="377"/>
      <c r="M21" s="7"/>
      <c r="N21" s="377"/>
      <c r="O21" s="7"/>
      <c r="P21" s="377"/>
      <c r="Q21" s="7"/>
      <c r="R21" s="377"/>
      <c r="S21" s="7"/>
      <c r="T21" s="377"/>
      <c r="U21" s="7"/>
      <c r="V21" s="377"/>
      <c r="W21" s="7"/>
      <c r="X21" s="377"/>
      <c r="Y21" s="7"/>
      <c r="Z21" s="377"/>
      <c r="AA21" s="7"/>
      <c r="AB21" s="378"/>
    </row>
    <row r="22" spans="1:28" ht="15.75" customHeight="1" x14ac:dyDescent="0.25">
      <c r="A22" s="6"/>
      <c r="B22" s="377"/>
      <c r="C22" s="7"/>
      <c r="D22" s="377"/>
      <c r="E22" s="7"/>
      <c r="F22" s="377"/>
      <c r="G22" s="7"/>
      <c r="H22" s="377"/>
      <c r="I22" s="7"/>
      <c r="J22" s="377"/>
      <c r="K22" s="7"/>
      <c r="L22" s="377"/>
      <c r="M22" s="7"/>
      <c r="N22" s="377"/>
      <c r="O22" s="7"/>
      <c r="P22" s="377"/>
      <c r="Q22" s="7"/>
      <c r="R22" s="377"/>
      <c r="S22" s="7"/>
      <c r="T22" s="377"/>
      <c r="U22" s="7"/>
      <c r="V22" s="377"/>
      <c r="W22" s="7"/>
      <c r="X22" s="377"/>
      <c r="Y22" s="7"/>
      <c r="Z22" s="377"/>
      <c r="AA22" s="7"/>
      <c r="AB22" s="378"/>
    </row>
    <row r="23" spans="1:28" ht="15.75" customHeight="1" x14ac:dyDescent="0.25">
      <c r="A23" s="6"/>
      <c r="B23" s="377"/>
      <c r="C23" s="7"/>
      <c r="D23" s="377"/>
      <c r="E23" s="7"/>
      <c r="F23" s="377"/>
      <c r="G23" s="7"/>
      <c r="H23" s="377"/>
      <c r="I23" s="7"/>
      <c r="J23" s="377"/>
      <c r="K23" s="7"/>
      <c r="L23" s="377"/>
      <c r="M23" s="7"/>
      <c r="N23" s="377"/>
      <c r="O23" s="7"/>
      <c r="P23" s="377"/>
      <c r="Q23" s="7"/>
      <c r="R23" s="377"/>
      <c r="S23" s="7"/>
      <c r="T23" s="377"/>
      <c r="U23" s="7"/>
      <c r="V23" s="377"/>
      <c r="W23" s="7"/>
      <c r="X23" s="377"/>
      <c r="Y23" s="7"/>
      <c r="Z23" s="377"/>
      <c r="AA23" s="7"/>
      <c r="AB23" s="378"/>
    </row>
    <row r="24" spans="1:28" ht="15.75" customHeight="1" x14ac:dyDescent="0.25">
      <c r="A24" s="6"/>
      <c r="B24" s="377"/>
      <c r="C24" s="7"/>
      <c r="D24" s="377"/>
      <c r="E24" s="7"/>
      <c r="F24" s="377"/>
      <c r="G24" s="7"/>
      <c r="H24" s="377"/>
      <c r="I24" s="7"/>
      <c r="J24" s="377"/>
      <c r="K24" s="7"/>
      <c r="L24" s="377"/>
      <c r="M24" s="7"/>
      <c r="N24" s="377"/>
      <c r="O24" s="7"/>
      <c r="P24" s="377"/>
      <c r="Q24" s="7"/>
      <c r="R24" s="377"/>
      <c r="S24" s="7"/>
      <c r="T24" s="377"/>
      <c r="U24" s="7"/>
      <c r="V24" s="377"/>
      <c r="W24" s="7"/>
      <c r="X24" s="377"/>
      <c r="Y24" s="7"/>
      <c r="Z24" s="377"/>
      <c r="AA24" s="7"/>
      <c r="AB24" s="378"/>
    </row>
    <row r="25" spans="1:28" ht="15.75" customHeight="1" x14ac:dyDescent="0.25">
      <c r="A25" s="6"/>
      <c r="B25" s="377"/>
      <c r="C25" s="7"/>
      <c r="D25" s="377"/>
      <c r="E25" s="7"/>
      <c r="F25" s="377"/>
      <c r="G25" s="7"/>
      <c r="H25" s="377"/>
      <c r="I25" s="7"/>
      <c r="J25" s="377"/>
      <c r="K25" s="7"/>
      <c r="L25" s="377"/>
      <c r="M25" s="7"/>
      <c r="N25" s="377"/>
      <c r="O25" s="7"/>
      <c r="P25" s="377"/>
      <c r="Q25" s="7"/>
      <c r="R25" s="377"/>
      <c r="S25" s="7"/>
      <c r="T25" s="377"/>
      <c r="U25" s="7"/>
      <c r="V25" s="377"/>
      <c r="W25" s="7"/>
      <c r="X25" s="377"/>
      <c r="Y25" s="7"/>
      <c r="Z25" s="377"/>
      <c r="AA25" s="7"/>
      <c r="AB25" s="378"/>
    </row>
    <row r="26" spans="1:28" ht="15.75" customHeight="1" x14ac:dyDescent="0.25">
      <c r="A26" s="6"/>
      <c r="B26" s="377"/>
      <c r="C26" s="7"/>
      <c r="D26" s="377"/>
      <c r="E26" s="7"/>
      <c r="F26" s="377"/>
      <c r="G26" s="7"/>
      <c r="H26" s="377"/>
      <c r="I26" s="7"/>
      <c r="J26" s="377"/>
      <c r="K26" s="7"/>
      <c r="L26" s="377"/>
      <c r="M26" s="7"/>
      <c r="N26" s="377"/>
      <c r="O26" s="7"/>
      <c r="P26" s="377"/>
      <c r="Q26" s="7"/>
      <c r="R26" s="377"/>
      <c r="S26" s="7"/>
      <c r="T26" s="377"/>
      <c r="U26" s="7"/>
      <c r="V26" s="377"/>
      <c r="W26" s="7"/>
      <c r="X26" s="377"/>
      <c r="Y26" s="7"/>
      <c r="Z26" s="377"/>
      <c r="AA26" s="7"/>
      <c r="AB26" s="378"/>
    </row>
    <row r="27" spans="1:28" ht="15.75" customHeight="1" x14ac:dyDescent="0.25">
      <c r="A27" s="6"/>
      <c r="B27" s="377"/>
      <c r="C27" s="7"/>
      <c r="D27" s="377"/>
      <c r="E27" s="7"/>
      <c r="F27" s="377"/>
      <c r="G27" s="7"/>
      <c r="H27" s="377"/>
      <c r="I27" s="7"/>
      <c r="J27" s="377"/>
      <c r="K27" s="7"/>
      <c r="L27" s="377"/>
      <c r="M27" s="7"/>
      <c r="N27" s="377"/>
      <c r="O27" s="7"/>
      <c r="P27" s="377"/>
      <c r="Q27" s="7"/>
      <c r="R27" s="377"/>
      <c r="S27" s="7"/>
      <c r="T27" s="377"/>
      <c r="U27" s="7"/>
      <c r="V27" s="377"/>
      <c r="W27" s="7"/>
      <c r="X27" s="377"/>
      <c r="Y27" s="7"/>
      <c r="Z27" s="377"/>
      <c r="AA27" s="7"/>
      <c r="AB27" s="378"/>
    </row>
    <row r="28" spans="1:28" ht="15.75" customHeight="1" x14ac:dyDescent="0.25">
      <c r="A28" s="6"/>
      <c r="B28" s="377"/>
      <c r="C28" s="7"/>
      <c r="D28" s="377"/>
      <c r="E28" s="7"/>
      <c r="F28" s="377"/>
      <c r="G28" s="7"/>
      <c r="H28" s="377"/>
      <c r="I28" s="7"/>
      <c r="J28" s="377"/>
      <c r="K28" s="7"/>
      <c r="L28" s="377"/>
      <c r="M28" s="7"/>
      <c r="N28" s="377"/>
      <c r="O28" s="7"/>
      <c r="P28" s="377"/>
      <c r="Q28" s="7"/>
      <c r="R28" s="377"/>
      <c r="S28" s="7"/>
      <c r="T28" s="377"/>
      <c r="U28" s="7"/>
      <c r="V28" s="377"/>
      <c r="W28" s="7"/>
      <c r="X28" s="377"/>
      <c r="Y28" s="7"/>
      <c r="Z28" s="377"/>
      <c r="AA28" s="7"/>
      <c r="AB28" s="378"/>
    </row>
    <row r="29" spans="1:28" ht="15.75" customHeight="1" x14ac:dyDescent="0.25">
      <c r="A29" s="6"/>
      <c r="B29" s="377"/>
      <c r="C29" s="7"/>
      <c r="D29" s="377"/>
      <c r="E29" s="7"/>
      <c r="F29" s="377"/>
      <c r="G29" s="7"/>
      <c r="H29" s="377"/>
      <c r="I29" s="7"/>
      <c r="J29" s="377"/>
      <c r="K29" s="7"/>
      <c r="L29" s="377"/>
      <c r="M29" s="7"/>
      <c r="N29" s="377"/>
      <c r="O29" s="7"/>
      <c r="P29" s="377"/>
      <c r="Q29" s="7"/>
      <c r="R29" s="377"/>
      <c r="S29" s="7"/>
      <c r="T29" s="377"/>
      <c r="U29" s="7"/>
      <c r="V29" s="377"/>
      <c r="W29" s="7"/>
      <c r="X29" s="377"/>
      <c r="Y29" s="7"/>
      <c r="Z29" s="377"/>
      <c r="AA29" s="7"/>
      <c r="AB29" s="378"/>
    </row>
    <row r="30" spans="1:28" ht="15.75" customHeight="1" x14ac:dyDescent="0.25">
      <c r="A30" s="6"/>
      <c r="B30" s="377"/>
      <c r="C30" s="7"/>
      <c r="D30" s="377"/>
      <c r="E30" s="7"/>
      <c r="F30" s="377"/>
      <c r="G30" s="7"/>
      <c r="H30" s="377"/>
      <c r="I30" s="7"/>
      <c r="J30" s="377"/>
      <c r="K30" s="7"/>
      <c r="L30" s="377"/>
      <c r="M30" s="7"/>
      <c r="N30" s="377"/>
      <c r="O30" s="7"/>
      <c r="P30" s="377"/>
      <c r="Q30" s="7"/>
      <c r="R30" s="377"/>
      <c r="S30" s="7"/>
      <c r="T30" s="377"/>
      <c r="U30" s="7"/>
      <c r="V30" s="377"/>
      <c r="W30" s="7"/>
      <c r="X30" s="377"/>
      <c r="Y30" s="7"/>
      <c r="Z30" s="377"/>
      <c r="AA30" s="7"/>
      <c r="AB30" s="378"/>
    </row>
    <row r="31" spans="1:28" ht="15.75" customHeight="1" x14ac:dyDescent="0.25">
      <c r="A31" s="6"/>
      <c r="B31" s="377"/>
      <c r="C31" s="7"/>
      <c r="D31" s="377"/>
      <c r="E31" s="7"/>
      <c r="F31" s="377"/>
      <c r="G31" s="7"/>
      <c r="H31" s="377"/>
      <c r="I31" s="7"/>
      <c r="J31" s="377"/>
      <c r="K31" s="7"/>
      <c r="L31" s="377"/>
      <c r="M31" s="7"/>
      <c r="N31" s="377"/>
      <c r="O31" s="7"/>
      <c r="P31" s="377"/>
      <c r="Q31" s="7"/>
      <c r="R31" s="377"/>
      <c r="S31" s="7"/>
      <c r="T31" s="377"/>
      <c r="U31" s="7"/>
      <c r="V31" s="377"/>
      <c r="W31" s="7"/>
      <c r="X31" s="377"/>
      <c r="Y31" s="7"/>
      <c r="Z31" s="377"/>
      <c r="AA31" s="7"/>
      <c r="AB31" s="378"/>
    </row>
    <row r="32" spans="1:28" ht="15.75" customHeight="1" x14ac:dyDescent="0.25">
      <c r="A32" s="6"/>
      <c r="B32" s="377"/>
      <c r="C32" s="7"/>
      <c r="D32" s="377"/>
      <c r="E32" s="7"/>
      <c r="F32" s="377"/>
      <c r="G32" s="7"/>
      <c r="H32" s="377"/>
      <c r="I32" s="7"/>
      <c r="J32" s="377"/>
      <c r="K32" s="7"/>
      <c r="L32" s="377"/>
      <c r="M32" s="7"/>
      <c r="N32" s="377"/>
      <c r="O32" s="7"/>
      <c r="P32" s="377"/>
      <c r="Q32" s="7"/>
      <c r="R32" s="377"/>
      <c r="S32" s="7"/>
      <c r="T32" s="377"/>
      <c r="U32" s="7"/>
      <c r="V32" s="377"/>
      <c r="W32" s="7"/>
      <c r="X32" s="377"/>
      <c r="Y32" s="7"/>
      <c r="Z32" s="377"/>
      <c r="AA32" s="7"/>
      <c r="AB32" s="378"/>
    </row>
    <row r="33" spans="1:30" ht="15.75" customHeight="1" x14ac:dyDescent="0.25">
      <c r="A33" s="6"/>
      <c r="B33" s="377"/>
      <c r="C33" s="7"/>
      <c r="D33" s="377"/>
      <c r="E33" s="7"/>
      <c r="F33" s="377"/>
      <c r="G33" s="7"/>
      <c r="H33" s="377"/>
      <c r="I33" s="7"/>
      <c r="J33" s="377"/>
      <c r="K33" s="7"/>
      <c r="L33" s="377"/>
      <c r="M33" s="7"/>
      <c r="N33" s="377"/>
      <c r="O33" s="7"/>
      <c r="P33" s="377"/>
      <c r="Q33" s="7"/>
      <c r="R33" s="377"/>
      <c r="S33" s="7"/>
      <c r="T33" s="377"/>
      <c r="U33" s="7"/>
      <c r="V33" s="377"/>
      <c r="W33" s="7"/>
      <c r="X33" s="377"/>
      <c r="Y33" s="7"/>
      <c r="Z33" s="377"/>
      <c r="AA33" s="7"/>
      <c r="AB33" s="378"/>
    </row>
    <row r="34" spans="1:30" ht="15.75" customHeight="1" x14ac:dyDescent="0.25">
      <c r="A34" s="6"/>
      <c r="B34" s="377"/>
      <c r="C34" s="7"/>
      <c r="D34" s="377"/>
      <c r="E34" s="7"/>
      <c r="F34" s="377"/>
      <c r="G34" s="7"/>
      <c r="H34" s="377"/>
      <c r="I34" s="7"/>
      <c r="J34" s="377"/>
      <c r="K34" s="7"/>
      <c r="L34" s="377"/>
      <c r="M34" s="7"/>
      <c r="N34" s="377"/>
      <c r="O34" s="7"/>
      <c r="P34" s="377"/>
      <c r="Q34" s="7"/>
      <c r="R34" s="377"/>
      <c r="S34" s="7"/>
      <c r="T34" s="377"/>
      <c r="U34" s="7"/>
      <c r="V34" s="377"/>
      <c r="W34" s="7"/>
      <c r="X34" s="377"/>
      <c r="Y34" s="7"/>
      <c r="Z34" s="377"/>
      <c r="AA34" s="7"/>
      <c r="AB34" s="378"/>
    </row>
    <row r="35" spans="1:30" ht="15.75" customHeight="1" x14ac:dyDescent="0.25">
      <c r="A35" s="6"/>
      <c r="B35" s="377"/>
      <c r="C35" s="7"/>
      <c r="D35" s="377"/>
      <c r="E35" s="7"/>
      <c r="F35" s="377"/>
      <c r="G35" s="7"/>
      <c r="H35" s="377"/>
      <c r="I35" s="7"/>
      <c r="J35" s="377"/>
      <c r="K35" s="7"/>
      <c r="L35" s="377"/>
      <c r="M35" s="7"/>
      <c r="N35" s="377"/>
      <c r="O35" s="7"/>
      <c r="P35" s="377"/>
      <c r="Q35" s="7"/>
      <c r="R35" s="377"/>
      <c r="S35" s="7"/>
      <c r="T35" s="377"/>
      <c r="U35" s="7"/>
      <c r="V35" s="377"/>
      <c r="W35" s="7"/>
      <c r="X35" s="377"/>
      <c r="Y35" s="7"/>
      <c r="Z35" s="377"/>
      <c r="AA35" s="7"/>
      <c r="AB35" s="378"/>
    </row>
    <row r="36" spans="1:30" ht="15.75" customHeight="1" x14ac:dyDescent="0.25">
      <c r="A36" s="4"/>
      <c r="B36" s="377"/>
      <c r="C36" s="5"/>
      <c r="D36" s="377"/>
      <c r="E36" s="5"/>
      <c r="F36" s="377"/>
      <c r="G36" s="5"/>
      <c r="H36" s="377"/>
      <c r="I36" s="5"/>
      <c r="J36" s="377"/>
      <c r="K36" s="5"/>
      <c r="L36" s="377"/>
      <c r="M36" s="5"/>
      <c r="N36" s="377"/>
      <c r="O36" s="5"/>
      <c r="P36" s="377"/>
      <c r="Q36" s="5"/>
      <c r="R36" s="377"/>
      <c r="S36" s="5"/>
      <c r="T36" s="377"/>
      <c r="U36" s="5"/>
      <c r="V36" s="377"/>
      <c r="W36" s="5"/>
      <c r="X36" s="377"/>
      <c r="Y36" s="5"/>
      <c r="Z36" s="377"/>
      <c r="AA36" s="5"/>
      <c r="AB36" s="378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0">
        <f>SUM(A38:AC38)</f>
        <v>8105.7</v>
      </c>
      <c r="B40" s="371"/>
      <c r="C40" s="371"/>
      <c r="D40" s="372"/>
    </row>
    <row r="41" spans="1:30" ht="15.75" customHeight="1" x14ac:dyDescent="0.25">
      <c r="A41" s="373"/>
      <c r="B41" s="374"/>
      <c r="C41" s="374"/>
      <c r="D41" s="375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2" t="s">
        <v>86</v>
      </c>
      <c r="B1" s="383"/>
      <c r="C1" s="383"/>
      <c r="D1" s="383"/>
      <c r="E1" s="383"/>
      <c r="F1" s="383"/>
      <c r="G1" s="383"/>
      <c r="H1" s="383"/>
      <c r="I1" s="383"/>
      <c r="J1" s="383"/>
      <c r="K1" s="384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4" t="s">
        <v>128</v>
      </c>
      <c r="B2" s="395"/>
      <c r="C2" s="396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0" t="s">
        <v>7</v>
      </c>
      <c r="C3" s="401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2" t="s">
        <v>7</v>
      </c>
      <c r="C4" s="403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2" t="s">
        <v>7</v>
      </c>
      <c r="C5" s="403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07" t="s">
        <v>7</v>
      </c>
      <c r="C6" s="408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1" t="s">
        <v>4</v>
      </c>
      <c r="B7" s="392"/>
      <c r="C7" s="392"/>
      <c r="D7" s="393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1" t="s">
        <v>55</v>
      </c>
      <c r="B8" s="412"/>
      <c r="C8" s="413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111.91</v>
      </c>
      <c r="F13" s="333"/>
      <c r="G13" s="330"/>
      <c r="H13" s="330">
        <f>'STOK DETAY'!S6</f>
        <v>111.91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91.415000000000006</v>
      </c>
      <c r="F19" s="329">
        <f>'STOK DETAY'!AL6</f>
        <v>0</v>
      </c>
      <c r="G19" s="330">
        <f>'STOK DETAY'!AM6</f>
        <v>0</v>
      </c>
      <c r="H19" s="330">
        <f>'STOK DETAY'!AN6</f>
        <v>91.415000000000006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43.045000000000002</v>
      </c>
      <c r="F23" s="329">
        <f>'STOK DETAY'!BG6</f>
        <v>0</v>
      </c>
      <c r="G23" s="330">
        <f>'STOK DETAY'!BH6</f>
        <v>0</v>
      </c>
      <c r="H23" s="330">
        <f>'STOK DETAY'!BI6</f>
        <v>43.045000000000002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42.7</v>
      </c>
      <c r="F24" s="329">
        <f>'STOK DETAY'!BM6</f>
        <v>0</v>
      </c>
      <c r="G24" s="330">
        <f>'STOK DETAY'!BN6</f>
        <v>0</v>
      </c>
      <c r="H24" s="330">
        <f>'STOK DETAY'!BO6</f>
        <v>42.7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34.134999999999998</v>
      </c>
      <c r="F25" s="329">
        <f>'STOK DETAY'!BS6</f>
        <v>0</v>
      </c>
      <c r="G25" s="330">
        <f>'STOK DETAY'!BT6</f>
        <v>0</v>
      </c>
      <c r="H25" s="330">
        <f>'STOK DETAY'!BU6</f>
        <v>34.134999999999998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26.145</v>
      </c>
      <c r="F26" s="329">
        <f>'STOK DETAY'!BY6</f>
        <v>0</v>
      </c>
      <c r="G26" s="330">
        <f>'STOK DETAY'!BZ6</f>
        <v>0</v>
      </c>
      <c r="H26" s="330">
        <f>'STOK DETAY'!CA6</f>
        <v>9.5649999999999995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34.96</v>
      </c>
      <c r="F27" s="329">
        <f>'STOK DETAY'!CE6</f>
        <v>0</v>
      </c>
      <c r="G27" s="330">
        <f>'STOK DETAY'!CF6</f>
        <v>0</v>
      </c>
      <c r="H27" s="330">
        <f>'STOK DETAY'!CG6</f>
        <v>34.96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24.885000000000002</v>
      </c>
      <c r="F28" s="329">
        <f>'STOK DETAY'!CK6</f>
        <v>0</v>
      </c>
      <c r="G28" s="330">
        <f>'STOK DETAY'!CL6</f>
        <v>0</v>
      </c>
      <c r="H28" s="330">
        <f>'STOK DETAY'!CM6</f>
        <v>24.885000000000002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129.74</v>
      </c>
      <c r="F29" s="329">
        <f>'STOK DETAY'!CQ6</f>
        <v>0</v>
      </c>
      <c r="G29" s="330">
        <f>'STOK DETAY'!CR6</f>
        <v>0</v>
      </c>
      <c r="H29" s="330">
        <f>'STOK DETAY'!CS6</f>
        <v>129.74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17.600000000000001</v>
      </c>
      <c r="F30" s="329">
        <f>'STOK DETAY'!CW6</f>
        <v>0</v>
      </c>
      <c r="G30" s="330">
        <f>'STOK DETAY'!CX6</f>
        <v>0</v>
      </c>
      <c r="H30" s="330">
        <f>'STOK DETAY'!CY6</f>
        <v>17.600000000000001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130.63499999999999</v>
      </c>
      <c r="F31" s="329">
        <f>'STOK DETAY'!DC6</f>
        <v>0</v>
      </c>
      <c r="G31" s="330">
        <f>'STOK DETAY'!DD6</f>
        <v>0</v>
      </c>
      <c r="H31" s="330">
        <f>'STOK DETAY'!DE6</f>
        <v>130.63499999999999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128.38999999999999</v>
      </c>
      <c r="F32" s="329">
        <f>'STOK DETAY'!DI6</f>
        <v>0</v>
      </c>
      <c r="G32" s="330">
        <f>'STOK DETAY'!DJ6</f>
        <v>0</v>
      </c>
      <c r="H32" s="330">
        <f>'STOK DETAY'!DK6</f>
        <v>94.94</v>
      </c>
      <c r="I32" s="330">
        <f>'STOK DETAY'!DL6</f>
        <v>0</v>
      </c>
      <c r="J32" s="330">
        <f>'STOK DETAY'!DM6</f>
        <v>33.450000000000003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75.900000000000006</v>
      </c>
      <c r="F35" s="329">
        <f>'STOK DETAY'!DY6</f>
        <v>0</v>
      </c>
      <c r="G35" s="330">
        <f>'STOK DETAY'!DZ6</f>
        <v>0</v>
      </c>
      <c r="H35" s="330">
        <f>'STOK DETAY'!EA6</f>
        <v>75.900000000000006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1" t="s">
        <v>4</v>
      </c>
      <c r="B57" s="392"/>
      <c r="C57" s="392"/>
      <c r="D57" s="393"/>
      <c r="E57" s="316">
        <f>SUM(F57:K57)</f>
        <v>2338.2600000000002</v>
      </c>
      <c r="F57" s="317">
        <f t="shared" ref="F57:K57" si="3">SUM(F9:F56)</f>
        <v>9.1999999999999993</v>
      </c>
      <c r="G57" s="318">
        <f t="shared" si="3"/>
        <v>0</v>
      </c>
      <c r="H57" s="318">
        <f t="shared" si="3"/>
        <v>1942.24</v>
      </c>
      <c r="I57" s="318">
        <f t="shared" si="3"/>
        <v>1.75</v>
      </c>
      <c r="J57" s="318">
        <f t="shared" si="3"/>
        <v>368.49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4" t="s">
        <v>30</v>
      </c>
      <c r="B58" s="395"/>
      <c r="C58" s="396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>
        <v>601</v>
      </c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88" t="s">
        <v>4</v>
      </c>
      <c r="B89" s="389"/>
      <c r="C89" s="389"/>
      <c r="D89" s="390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4" t="s">
        <v>10</v>
      </c>
      <c r="B90" s="395"/>
      <c r="C90" s="397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14"/>
      <c r="C91" s="415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16"/>
      <c r="C92" s="417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16"/>
      <c r="C93" s="417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16"/>
      <c r="C94" s="417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16"/>
      <c r="C95" s="417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16"/>
      <c r="C96" s="417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16"/>
      <c r="C97" s="417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16"/>
      <c r="C98" s="417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16"/>
      <c r="C99" s="417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16"/>
      <c r="C100" s="417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16"/>
      <c r="C101" s="417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09"/>
      <c r="C102" s="410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398"/>
      <c r="C103" s="399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4" t="s">
        <v>4</v>
      </c>
      <c r="B104" s="405"/>
      <c r="C104" s="405"/>
      <c r="D104" s="406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85" t="s">
        <v>1</v>
      </c>
      <c r="B105" s="386"/>
      <c r="C105" s="386"/>
      <c r="D105" s="387"/>
      <c r="E105" s="351">
        <f>SUM(F105:K105)</f>
        <v>3766.2779999999998</v>
      </c>
      <c r="F105" s="352">
        <f t="shared" ref="F105:K105" si="8">F7+F57+F89+F104</f>
        <v>366.9</v>
      </c>
      <c r="G105" s="353">
        <f t="shared" si="8"/>
        <v>248.71</v>
      </c>
      <c r="H105" s="353">
        <f t="shared" si="8"/>
        <v>2293.328</v>
      </c>
      <c r="I105" s="353">
        <f t="shared" si="8"/>
        <v>1.75</v>
      </c>
      <c r="J105" s="353">
        <f t="shared" si="8"/>
        <v>368.49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27" activePane="bottomLeft" state="frozen"/>
      <selection activeCell="C37" sqref="C37"/>
      <selection pane="bottomLeft" activeCell="A6158" sqref="A6158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74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0" t="s">
        <v>86</v>
      </c>
      <c r="B1" s="420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70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0"/>
      <c r="B2" s="420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70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0"/>
      <c r="B3" s="420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70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0"/>
      <c r="B4" s="420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71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0"/>
      <c r="B5" s="420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72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3766.2779999999998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111.91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91.415000000000006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24.24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25.94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0">
        <f t="shared" si="0"/>
        <v>43.045000000000002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42.7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34.134999999999998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0">
        <f t="shared" si="1"/>
        <v>9.5649999999999995</v>
      </c>
      <c r="CB6" s="222">
        <f t="shared" si="1"/>
        <v>0</v>
      </c>
      <c r="CC6" s="223">
        <f t="shared" si="1"/>
        <v>0</v>
      </c>
      <c r="CD6" s="361">
        <f t="shared" si="1"/>
        <v>16.579999999999998</v>
      </c>
      <c r="CE6" s="216">
        <f t="shared" si="1"/>
        <v>0</v>
      </c>
      <c r="CF6" s="217">
        <f t="shared" si="1"/>
        <v>0</v>
      </c>
      <c r="CG6" s="220">
        <f t="shared" si="1"/>
        <v>34.96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24.885000000000002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129.74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17.600000000000001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130.63499999999999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94.94</v>
      </c>
      <c r="DL6" s="222">
        <f t="shared" si="1"/>
        <v>0</v>
      </c>
      <c r="DM6" s="227">
        <f t="shared" si="1"/>
        <v>33.450000000000003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75.900000000000006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73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72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72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72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72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72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72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72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72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72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72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72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72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72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72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72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72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72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72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72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72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72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72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72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72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72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72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72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72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72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72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72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72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72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72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72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72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72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8" t="s">
        <v>105</v>
      </c>
      <c r="B896" s="419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74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74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74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74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74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74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74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74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74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74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74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74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74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74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74">
        <v>-35.85</v>
      </c>
      <c r="CA1573" s="74">
        <v>-31.96</v>
      </c>
      <c r="CG1573" s="74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74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74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74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74">
        <v>-67</v>
      </c>
      <c r="CG1757" s="74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74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74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74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74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74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74">
        <v>-8.6999999999999993</v>
      </c>
      <c r="BO1779" s="74">
        <v>-6.75</v>
      </c>
      <c r="CG1779" s="74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74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74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74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74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74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74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74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74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74">
        <v>-8.19</v>
      </c>
      <c r="CG1851" s="74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74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74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74">
        <v>-8.11</v>
      </c>
      <c r="CG1863" s="74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74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74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74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74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74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6">
        <v>-8.61</v>
      </c>
      <c r="CG1890" s="74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74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74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74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74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74">
        <v>-17.45</v>
      </c>
      <c r="CG1931" s="74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74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74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74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74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74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74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74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74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74">
        <v>-344.5</v>
      </c>
      <c r="CG1978" s="74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74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74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74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74">
        <v>-8.35</v>
      </c>
      <c r="BO2004" s="74">
        <v>-7.89</v>
      </c>
      <c r="BU2004" s="74">
        <v>-8.15</v>
      </c>
      <c r="CG2004" s="74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74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74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74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74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74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74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74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74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74">
        <v>-15.66</v>
      </c>
      <c r="CG2041" s="74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74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74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74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74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74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74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74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74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74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74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74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74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74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74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74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74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74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74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74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74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74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74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74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74">
        <v>-31.94</v>
      </c>
      <c r="CG2123" s="74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74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74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74">
        <v>-7.9</v>
      </c>
      <c r="BO2130" s="74">
        <v>-7.89</v>
      </c>
      <c r="CG2130" s="74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74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74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74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74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74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74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74">
        <v>339.56</v>
      </c>
      <c r="BU2165" s="74">
        <v>342.37</v>
      </c>
      <c r="CG2165" s="74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74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74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74">
        <v>-30</v>
      </c>
      <c r="BU2174" s="74">
        <v>-30.2</v>
      </c>
      <c r="CG2174" s="74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74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74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74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74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74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74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74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74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74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74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74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74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74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74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74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74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74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74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74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74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74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74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74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74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74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74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74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74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74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74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74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74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74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-65.180000000000007</v>
      </c>
      <c r="CG2330" s="74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74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74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74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74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74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74">
        <v>-16.420000000000002</v>
      </c>
      <c r="CE2347" s="42">
        <v>-8.26</v>
      </c>
      <c r="CG2347" s="74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74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74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74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74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74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74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74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74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74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74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74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74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74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74">
        <v>405.5</v>
      </c>
      <c r="CG2431" s="74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74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74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74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74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74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74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74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74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74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74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74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74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74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74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74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74">
        <v>-33.36</v>
      </c>
      <c r="CA2484" s="74">
        <v>-34.94</v>
      </c>
      <c r="CG2484" s="74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74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74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74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74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74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74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74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74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74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74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74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74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74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74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74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74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74">
        <v>-33.71</v>
      </c>
      <c r="CG2593" s="74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74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74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74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74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74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74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74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74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74">
        <v>165.94</v>
      </c>
      <c r="CG2655" s="74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74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74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74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74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74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74">
        <v>-7.34</v>
      </c>
      <c r="CG2708" s="74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74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74">
        <v>-8.5</v>
      </c>
      <c r="BO2718" s="74">
        <v>-8.0500000000000007</v>
      </c>
      <c r="BX2718" s="115">
        <v>-8.2799999999999994</v>
      </c>
      <c r="CG2718" s="74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74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74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74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74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74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74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74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74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74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74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74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74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74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74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74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74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74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74">
        <v>-5.26</v>
      </c>
      <c r="CG2786" s="74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74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74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74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74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74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74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74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74">
        <v>-16.600000000000001</v>
      </c>
      <c r="CG2841" s="74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74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74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74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74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74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74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74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74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74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74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74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5">
        <v>-8.625</v>
      </c>
      <c r="CG2910" s="74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74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74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74">
        <v>-17.600000000000001</v>
      </c>
      <c r="CG2927" s="74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74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74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74">
        <v>-15.7</v>
      </c>
      <c r="CG2937" s="74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74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74">
        <v>-8.4499999999999993</v>
      </c>
      <c r="CG2952" s="74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74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74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74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74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74">
        <v>155.65</v>
      </c>
      <c r="CG2965" s="74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74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74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74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74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74">
        <v>-16.95</v>
      </c>
      <c r="CG2996" s="74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74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74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74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74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74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74">
        <v>-35.89</v>
      </c>
      <c r="CG3035" s="74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74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74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74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74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74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74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74">
        <v>-8.34</v>
      </c>
      <c r="CG3069" s="74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74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74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74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74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74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74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74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74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74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74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74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74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74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74">
        <v>-7.39</v>
      </c>
      <c r="CA3171" s="74">
        <v>-8.4600000000000009</v>
      </c>
      <c r="CG3171" s="74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74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74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74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74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74">
        <v>-2.35</v>
      </c>
      <c r="CG3191" s="74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74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74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74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74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74">
        <v>-67.92</v>
      </c>
      <c r="CA3205" s="74">
        <v>-67.89</v>
      </c>
      <c r="CG3205" s="74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74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74">
        <v>-8.44</v>
      </c>
      <c r="CG3208" s="74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74">
        <v>-8.49</v>
      </c>
      <c r="CG3217" s="74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74">
        <v>-16.98</v>
      </c>
      <c r="CG3227" s="74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74">
        <v>-34.01</v>
      </c>
      <c r="CG3239" s="74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74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74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74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74">
        <v>-8.27</v>
      </c>
      <c r="CG3278" s="74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74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74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74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74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74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74">
        <v>-8.31</v>
      </c>
      <c r="CG3303" s="74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74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74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74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74">
        <v>-8.4</v>
      </c>
      <c r="BU3311" s="74">
        <v>-32.200000000000003</v>
      </c>
      <c r="CA3311" s="74">
        <v>-16.61</v>
      </c>
      <c r="CG3311" s="74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74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74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74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74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74">
        <v>-6.1</v>
      </c>
      <c r="CG3375" s="74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74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74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74">
        <v>37.74</v>
      </c>
      <c r="CG3410" s="74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74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74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74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74">
        <v>-15.34</v>
      </c>
      <c r="BO3417" s="74">
        <v>-17.72</v>
      </c>
      <c r="CA3417" s="74">
        <v>-8.49</v>
      </c>
      <c r="CG3417" s="74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74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74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74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74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74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74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74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74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74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74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74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74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74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74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74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74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74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74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74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74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74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74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74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74">
        <v>150.9</v>
      </c>
      <c r="CA3503" s="74">
        <v>161.30500000000001</v>
      </c>
      <c r="CG3503" s="74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74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74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74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74">
        <v>161.785</v>
      </c>
      <c r="CA3541" s="74">
        <v>197.35</v>
      </c>
      <c r="CG3541" s="74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74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74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74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74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74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74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74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74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74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74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74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74">
        <v>-8.1150000000000002</v>
      </c>
      <c r="CG3610" s="74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74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74">
        <v>-5</v>
      </c>
      <c r="CG3655" s="74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74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74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74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74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74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74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74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74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74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74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74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74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74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74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74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74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74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74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74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74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74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74">
        <v>-8.8249999999999993</v>
      </c>
      <c r="CA3741" s="74">
        <v>-8.23</v>
      </c>
      <c r="CG3741" s="74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74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74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74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74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74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74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74">
        <v>-8.85</v>
      </c>
      <c r="BO3787" s="74">
        <v>-8.08</v>
      </c>
      <c r="CA3787" s="74">
        <v>-7.9950000000000001</v>
      </c>
      <c r="CG3787" s="74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74">
        <v>-33.520000000000003</v>
      </c>
      <c r="BU3796" s="74">
        <v>-33.935000000000002</v>
      </c>
      <c r="CA3796" s="74">
        <v>-31.125</v>
      </c>
      <c r="CG3796" s="74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74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74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74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74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74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74">
        <v>-7.9850000000000003</v>
      </c>
      <c r="CG3817" s="74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74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74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74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74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74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74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74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74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74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74">
        <v>-8.1300000000000008</v>
      </c>
      <c r="CG3862" s="74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74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74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74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74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74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74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74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74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74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74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74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74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74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74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74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74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74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74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74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74">
        <v>-6.53</v>
      </c>
      <c r="CG3966" s="74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74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74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74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74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74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74">
        <v>-8.0950000000000006</v>
      </c>
      <c r="CG3977" s="74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74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74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74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74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74">
        <v>-8.1950000000000003</v>
      </c>
      <c r="CA4004" s="74">
        <v>-8.7349999999999994</v>
      </c>
      <c r="CG4004" s="74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74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74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74">
        <v>-6.48</v>
      </c>
      <c r="CG4049" s="74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74">
        <v>-6.44</v>
      </c>
      <c r="CG4050" s="74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74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74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74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74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74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74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74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74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74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74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74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74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74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74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74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74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74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74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74">
        <v>-6.82</v>
      </c>
      <c r="BO4180" s="74">
        <v>-8.5649999999999995</v>
      </c>
      <c r="CG4180" s="74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74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74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74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74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74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74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74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74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74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74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74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74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74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74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74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74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74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74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74">
        <v>-8.0549999999999997</v>
      </c>
      <c r="BU4272" s="74">
        <v>-8.6549999999999994</v>
      </c>
      <c r="CG4272" s="74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74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74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74">
        <v>-8.8800000000000008</v>
      </c>
      <c r="CG4286" s="74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74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74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74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74">
        <v>-8.7349999999999994</v>
      </c>
      <c r="CG4418" s="74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74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74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74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74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74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74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74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74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74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74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74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74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74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74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74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74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74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74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74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17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74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74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74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74">
        <v>-33.325000000000003</v>
      </c>
      <c r="BO4553" s="74">
        <v>-65.8</v>
      </c>
      <c r="BU4553" s="74">
        <v>-66.209999999999994</v>
      </c>
      <c r="CG4553" s="74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74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74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74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74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74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74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74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74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74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74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74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74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74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74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74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74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74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74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74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74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74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74">
        <v>-8.0350000000000001</v>
      </c>
      <c r="CG4803" s="74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74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74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74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74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74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74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74">
        <v>-15.715</v>
      </c>
      <c r="BO4834" s="74">
        <v>-23.54</v>
      </c>
      <c r="CG4834" s="74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74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74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74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74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74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74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74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74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74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74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74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17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74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74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74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74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74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74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74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74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74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74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74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74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74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74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74">
        <v>-65.864999999999995</v>
      </c>
      <c r="CG4948" s="74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74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74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74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74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74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74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74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74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74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74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74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74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74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74">
        <v>-31.03</v>
      </c>
      <c r="CG5033" s="74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74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74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74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74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74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74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74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74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74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74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74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74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74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74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74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74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74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74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74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74">
        <v>67.89</v>
      </c>
      <c r="CG5192" s="74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74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74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74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74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74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74">
        <v>-8.4</v>
      </c>
      <c r="CG5233" s="74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74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74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74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74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74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74">
        <v>-8.6449999999999996</v>
      </c>
      <c r="CG5253" s="74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74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74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74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74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74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74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74">
        <v>-6.71</v>
      </c>
      <c r="CG5285" s="74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74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74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74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74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74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74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74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74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74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74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74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74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74">
        <v>-7.95</v>
      </c>
      <c r="CG5336" s="74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74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74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74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74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74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74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74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74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74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74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74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74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74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74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74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74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74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74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74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74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74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74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74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74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74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74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74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74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74">
        <v>-7.49</v>
      </c>
      <c r="CG5447" s="74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74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74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74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74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74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74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74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74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74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74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74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74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74">
        <v>-8.36</v>
      </c>
      <c r="CG5527" s="74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74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74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74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74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74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74">
        <v>-8.0250000000000004</v>
      </c>
      <c r="CG5545" s="74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74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74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74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74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74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74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74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74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74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74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74">
        <v>-18.22</v>
      </c>
      <c r="CG5583" s="74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74">
        <v>97.974999999999994</v>
      </c>
      <c r="CA5588" s="74">
        <v>35.954999999999998</v>
      </c>
      <c r="CG5588" s="74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74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74">
        <v>-8.1300000000000008</v>
      </c>
      <c r="CG5592" s="74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74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74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74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74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74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74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74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74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74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74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74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74">
        <v>-34.659999999999997</v>
      </c>
      <c r="CG5636" s="74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74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74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74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74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74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74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74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74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74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74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74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74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74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74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74">
        <v>-28.225000000000001</v>
      </c>
      <c r="BO5685" s="74">
        <v>-17.5</v>
      </c>
      <c r="BU5685" s="74">
        <v>-16.7</v>
      </c>
      <c r="CG5685" s="74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74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74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74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74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74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74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74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74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74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74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74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74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74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74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74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74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74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74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74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74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74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74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74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74">
        <v>-8.5350000000000001</v>
      </c>
      <c r="CG5817" s="74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74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74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74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74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74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74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74">
        <v>-16.32</v>
      </c>
      <c r="CG5848" s="74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74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74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74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74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74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74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74">
        <v>-17.375</v>
      </c>
      <c r="CG5871" s="74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74">
        <v>-8.68</v>
      </c>
      <c r="CG5877" s="74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74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74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74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74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74">
        <f>-4.3-8.645-8.665</f>
        <v>-21.61</v>
      </c>
      <c r="CG5887" s="74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74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74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74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74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74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74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74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74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74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74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74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74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74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74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74">
        <v>-15.95</v>
      </c>
      <c r="CG6041" s="74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74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74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74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74">
        <v>-8.75</v>
      </c>
      <c r="CG6071" s="74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74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74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74">
        <v>-16.434999999999999</v>
      </c>
      <c r="BO6084" s="74">
        <v>-8.65</v>
      </c>
      <c r="CG6084" s="74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74">
        <v>-16.335000000000001</v>
      </c>
      <c r="CG6086" s="74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74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3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74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74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74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74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74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74">
        <v>34.42</v>
      </c>
      <c r="BO6157" s="74">
        <v>33.869999999999997</v>
      </c>
      <c r="CG6157" s="74">
        <v>34.96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1" t="s">
        <v>10</v>
      </c>
      <c r="C3" s="421"/>
      <c r="D3" s="245"/>
    </row>
    <row r="4" spans="1:4" ht="20.100000000000001" customHeight="1" x14ac:dyDescent="0.25">
      <c r="A4" s="245"/>
      <c r="B4" s="421"/>
      <c r="C4" s="421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9" t="s">
        <v>4</v>
      </c>
      <c r="E1" s="368" t="s">
        <v>2</v>
      </c>
      <c r="F1" s="368" t="s">
        <v>3</v>
      </c>
      <c r="G1" s="368" t="s">
        <v>113</v>
      </c>
      <c r="H1" s="368" t="s">
        <v>5</v>
      </c>
      <c r="I1" s="368" t="s">
        <v>6</v>
      </c>
      <c r="J1" s="368" t="s">
        <v>115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8" t="s">
        <v>242</v>
      </c>
      <c r="B2" s="369" t="s">
        <v>128</v>
      </c>
      <c r="C2" s="422">
        <v>102</v>
      </c>
      <c r="D2" s="330">
        <f>SUM(E2:J2)</f>
        <v>0</v>
      </c>
      <c r="E2" s="308"/>
      <c r="F2" s="308"/>
      <c r="G2" s="308"/>
      <c r="H2" s="308"/>
      <c r="I2" s="308"/>
      <c r="J2" s="308">
        <f>'STOK DETAY'!D6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8" t="s">
        <v>243</v>
      </c>
      <c r="B3" s="369" t="s">
        <v>128</v>
      </c>
      <c r="C3" s="422">
        <v>102</v>
      </c>
      <c r="D3" s="330">
        <f t="shared" ref="D3:D5" si="0">SUM(E3:J3)</f>
        <v>0</v>
      </c>
      <c r="E3" s="308"/>
      <c r="F3" s="308"/>
      <c r="G3" s="308"/>
      <c r="H3" s="308"/>
      <c r="I3" s="308"/>
      <c r="J3" s="308">
        <f>'STOK DETAY'!E6</f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8" t="s">
        <v>244</v>
      </c>
      <c r="B4" s="369" t="s">
        <v>128</v>
      </c>
      <c r="C4" s="422">
        <v>102</v>
      </c>
      <c r="D4" s="330">
        <f t="shared" si="0"/>
        <v>0</v>
      </c>
      <c r="E4" s="308"/>
      <c r="F4" s="308"/>
      <c r="G4" s="308"/>
      <c r="H4" s="308"/>
      <c r="I4" s="308"/>
      <c r="J4" s="308">
        <f>'STOK DETAY'!F6</f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8" t="s">
        <v>245</v>
      </c>
      <c r="B5" s="369" t="s">
        <v>128</v>
      </c>
      <c r="C5" s="422"/>
      <c r="D5" s="330">
        <f t="shared" si="0"/>
        <v>0</v>
      </c>
      <c r="E5" s="330"/>
      <c r="F5" s="330"/>
      <c r="G5" s="330"/>
      <c r="H5" s="330"/>
      <c r="I5" s="330"/>
      <c r="J5" s="330">
        <f>'STOK DETAY'!G6</f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8" t="s">
        <v>246</v>
      </c>
      <c r="B6" s="369" t="s">
        <v>55</v>
      </c>
      <c r="C6" s="422">
        <v>312</v>
      </c>
      <c r="D6" s="330">
        <f>SUM(E6:J6)</f>
        <v>92.75</v>
      </c>
      <c r="E6" s="308"/>
      <c r="F6" s="308"/>
      <c r="G6" s="308">
        <f>'STOK DETAY'!H6</f>
        <v>92.75</v>
      </c>
      <c r="H6" s="308"/>
      <c r="I6" s="308"/>
      <c r="J6" s="308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8" t="s">
        <v>247</v>
      </c>
      <c r="B7" s="369" t="s">
        <v>55</v>
      </c>
      <c r="C7" s="422">
        <v>113</v>
      </c>
      <c r="D7" s="330">
        <f t="shared" ref="D7:D53" si="1">SUM(E7:J7)</f>
        <v>38.11</v>
      </c>
      <c r="E7" s="330"/>
      <c r="F7" s="330"/>
      <c r="G7" s="330">
        <f>'STOK DETAY'!I6</f>
        <v>38.11</v>
      </c>
      <c r="H7" s="330"/>
      <c r="I7" s="330"/>
      <c r="J7" s="330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8" t="s">
        <v>248</v>
      </c>
      <c r="B8" s="369" t="s">
        <v>55</v>
      </c>
      <c r="C8" s="422">
        <v>103</v>
      </c>
      <c r="D8" s="330">
        <f t="shared" si="1"/>
        <v>0</v>
      </c>
      <c r="E8" s="330"/>
      <c r="F8" s="330">
        <f>'STOK DETAY'!L6</f>
        <v>0</v>
      </c>
      <c r="G8" s="330">
        <f>'STOK DETAY'!M6</f>
        <v>0</v>
      </c>
      <c r="H8" s="330"/>
      <c r="I8" s="330"/>
      <c r="J8" s="330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8" t="s">
        <v>249</v>
      </c>
      <c r="B9" s="369" t="s">
        <v>55</v>
      </c>
      <c r="C9" s="422">
        <v>103</v>
      </c>
      <c r="D9" s="330">
        <f t="shared" si="1"/>
        <v>0</v>
      </c>
      <c r="E9" s="330">
        <f>'STOK DETAY'!N6</f>
        <v>0</v>
      </c>
      <c r="F9" s="330">
        <f>'STOK DETAY'!O6</f>
        <v>0</v>
      </c>
      <c r="G9" s="330">
        <f>'STOK DETAY'!P6</f>
        <v>0</v>
      </c>
      <c r="H9" s="330"/>
      <c r="I9" s="330">
        <f>'STOK DETAY'!Q6</f>
        <v>0</v>
      </c>
      <c r="J9" s="330">
        <f>'STOK DETAY'!R6</f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8" t="s">
        <v>250</v>
      </c>
      <c r="B10" s="369" t="s">
        <v>143</v>
      </c>
      <c r="C10" s="422"/>
      <c r="D10" s="330">
        <f t="shared" si="1"/>
        <v>111.91</v>
      </c>
      <c r="E10" s="330"/>
      <c r="F10" s="330"/>
      <c r="G10" s="330">
        <f>'STOK DETAY'!S6</f>
        <v>111.91</v>
      </c>
      <c r="H10" s="330"/>
      <c r="I10" s="330"/>
      <c r="J10" s="330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8" t="s">
        <v>251</v>
      </c>
      <c r="B11" s="369" t="s">
        <v>55</v>
      </c>
      <c r="C11" s="422">
        <v>201</v>
      </c>
      <c r="D11" s="330">
        <f t="shared" si="1"/>
        <v>54.594999999999999</v>
      </c>
      <c r="E11" s="330">
        <f>'STOK DETAY'!T6</f>
        <v>0</v>
      </c>
      <c r="F11" s="330">
        <f>'STOK DETAY'!U6</f>
        <v>0</v>
      </c>
      <c r="G11" s="334">
        <f>'STOK DETAY'!V6</f>
        <v>54.594999999999999</v>
      </c>
      <c r="H11" s="330"/>
      <c r="I11" s="330"/>
      <c r="J11" s="330">
        <f>'STOK DETAY'!W6</f>
        <v>0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8" t="s">
        <v>252</v>
      </c>
      <c r="B12" s="369" t="s">
        <v>55</v>
      </c>
      <c r="C12" s="422">
        <v>201</v>
      </c>
      <c r="D12" s="330">
        <f t="shared" si="1"/>
        <v>16.89</v>
      </c>
      <c r="E12" s="330">
        <f>'STOK DETAY'!X6</f>
        <v>0</v>
      </c>
      <c r="F12" s="330">
        <f>'STOK DETAY'!Y6</f>
        <v>0</v>
      </c>
      <c r="G12" s="330">
        <f>'STOK DETAY'!Z6</f>
        <v>16.89</v>
      </c>
      <c r="H12" s="330"/>
      <c r="I12" s="330"/>
      <c r="J12" s="330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8" t="s">
        <v>242</v>
      </c>
      <c r="B13" s="369" t="s">
        <v>55</v>
      </c>
      <c r="C13" s="422">
        <v>202</v>
      </c>
      <c r="D13" s="330">
        <f t="shared" si="1"/>
        <v>25.8</v>
      </c>
      <c r="E13" s="330">
        <f>'STOK DETAY'!AA6</f>
        <v>0</v>
      </c>
      <c r="F13" s="330">
        <f>'STOK DETAY'!AB6</f>
        <v>0</v>
      </c>
      <c r="G13" s="330">
        <f>'STOK DETAY'!AC6</f>
        <v>25.8</v>
      </c>
      <c r="H13" s="330"/>
      <c r="I13" s="330"/>
      <c r="J13" s="330">
        <f>'STOK DETAY'!AD6</f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8" t="s">
        <v>253</v>
      </c>
      <c r="B14" s="369" t="s">
        <v>55</v>
      </c>
      <c r="C14" s="422">
        <v>202</v>
      </c>
      <c r="D14" s="330">
        <f t="shared" si="1"/>
        <v>0</v>
      </c>
      <c r="E14" s="330">
        <f>'STOK DETAY'!AE6</f>
        <v>0</v>
      </c>
      <c r="F14" s="330">
        <f>'STOK DETAY'!AF6</f>
        <v>0</v>
      </c>
      <c r="G14" s="330">
        <f>'STOK DETAY'!AG6</f>
        <v>0</v>
      </c>
      <c r="H14" s="330">
        <f>'STOK DETAY'!AH6</f>
        <v>0</v>
      </c>
      <c r="I14" s="330">
        <f>'STOK DETAY'!AI6</f>
        <v>0</v>
      </c>
      <c r="J14" s="330">
        <f>'STOK DETAY'!AJ6</f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8" t="s">
        <v>254</v>
      </c>
      <c r="B15" s="369" t="s">
        <v>55</v>
      </c>
      <c r="C15" s="422"/>
      <c r="D15" s="330">
        <f t="shared" si="1"/>
        <v>24.27</v>
      </c>
      <c r="E15" s="330"/>
      <c r="F15" s="330"/>
      <c r="G15" s="330">
        <f>'STOK DETAY'!AK6</f>
        <v>24.27</v>
      </c>
      <c r="H15" s="330"/>
      <c r="I15" s="330"/>
      <c r="J15" s="330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8" t="s">
        <v>243</v>
      </c>
      <c r="B16" s="369" t="s">
        <v>55</v>
      </c>
      <c r="C16" s="422">
        <v>203</v>
      </c>
      <c r="D16" s="330">
        <f t="shared" si="1"/>
        <v>91.415000000000006</v>
      </c>
      <c r="E16" s="330">
        <f>'STOK DETAY'!AL6</f>
        <v>0</v>
      </c>
      <c r="F16" s="330">
        <f>'STOK DETAY'!AM6</f>
        <v>0</v>
      </c>
      <c r="G16" s="330">
        <f>'STOK DETAY'!AN6</f>
        <v>91.415000000000006</v>
      </c>
      <c r="H16" s="330"/>
      <c r="I16" s="330">
        <f>'STOK DETAY'!AO6</f>
        <v>0</v>
      </c>
      <c r="J16" s="330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8" t="s">
        <v>255</v>
      </c>
      <c r="B17" s="369" t="s">
        <v>55</v>
      </c>
      <c r="C17" s="422">
        <v>203</v>
      </c>
      <c r="D17" s="330">
        <f t="shared" si="1"/>
        <v>7.83</v>
      </c>
      <c r="E17" s="330">
        <f>'STOK DETAY'!AP6</f>
        <v>0</v>
      </c>
      <c r="F17" s="330">
        <f>'STOK DETAY'!AQ6</f>
        <v>0</v>
      </c>
      <c r="G17" s="330">
        <f>'STOK DETAY'!AR6</f>
        <v>7.83</v>
      </c>
      <c r="H17" s="330">
        <f>'STOK DETAY'!AS6</f>
        <v>0</v>
      </c>
      <c r="I17" s="330">
        <f>'STOK DETAY'!AT6</f>
        <v>0</v>
      </c>
      <c r="J17" s="330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8" t="s">
        <v>244</v>
      </c>
      <c r="B18" s="369" t="s">
        <v>55</v>
      </c>
      <c r="C18" s="422">
        <v>301</v>
      </c>
      <c r="D18" s="330">
        <f t="shared" si="1"/>
        <v>24.24</v>
      </c>
      <c r="E18" s="330">
        <f>'STOK DETAY'!AU6</f>
        <v>0</v>
      </c>
      <c r="F18" s="330">
        <f>'STOK DETAY'!AV6</f>
        <v>0</v>
      </c>
      <c r="G18" s="330">
        <f>'STOK DETAY'!AW6</f>
        <v>24.24</v>
      </c>
      <c r="H18" s="330">
        <f>'STOK DETAY'!AX6</f>
        <v>0</v>
      </c>
      <c r="I18" s="330">
        <f>'STOK DETAY'!AY6</f>
        <v>0</v>
      </c>
      <c r="J18" s="330">
        <f>'STOK DETAY'!AZ6</f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8" t="s">
        <v>256</v>
      </c>
      <c r="B19" s="369" t="s">
        <v>55</v>
      </c>
      <c r="C19" s="422">
        <v>301</v>
      </c>
      <c r="D19" s="330">
        <f t="shared" si="1"/>
        <v>25.94</v>
      </c>
      <c r="E19" s="330">
        <f>'STOK DETAY'!BA6</f>
        <v>0</v>
      </c>
      <c r="F19" s="330">
        <f>'STOK DETAY'!BB6</f>
        <v>0</v>
      </c>
      <c r="G19" s="330">
        <f>'STOK DETAY'!BC6</f>
        <v>25.94</v>
      </c>
      <c r="H19" s="330"/>
      <c r="I19" s="330">
        <f>'STOK DETAY'!BE6</f>
        <v>0</v>
      </c>
      <c r="J19" s="330">
        <f>'STOK DETAY'!BF6</f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8" t="s">
        <v>257</v>
      </c>
      <c r="B20" s="369" t="s">
        <v>55</v>
      </c>
      <c r="C20" s="422">
        <v>302</v>
      </c>
      <c r="D20" s="330">
        <f t="shared" si="1"/>
        <v>43.045000000000002</v>
      </c>
      <c r="E20" s="330">
        <f>'STOK DETAY'!BG6</f>
        <v>0</v>
      </c>
      <c r="F20" s="330">
        <f>'STOK DETAY'!BH6</f>
        <v>0</v>
      </c>
      <c r="G20" s="330">
        <f>'STOK DETAY'!BI6</f>
        <v>43.045000000000002</v>
      </c>
      <c r="H20" s="330">
        <f>'STOK DETAY'!BJ6</f>
        <v>0</v>
      </c>
      <c r="I20" s="330">
        <f>'STOK DETAY'!BK6</f>
        <v>0</v>
      </c>
      <c r="J20" s="330">
        <f>'STOK DETAY'!BL6</f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8" t="s">
        <v>258</v>
      </c>
      <c r="B21" s="369" t="s">
        <v>55</v>
      </c>
      <c r="C21" s="422">
        <v>302</v>
      </c>
      <c r="D21" s="330">
        <f t="shared" si="1"/>
        <v>42.7</v>
      </c>
      <c r="E21" s="330">
        <f>'STOK DETAY'!BM6</f>
        <v>0</v>
      </c>
      <c r="F21" s="330">
        <f>'STOK DETAY'!BN6</f>
        <v>0</v>
      </c>
      <c r="G21" s="330">
        <f>'STOK DETAY'!BO6</f>
        <v>42.7</v>
      </c>
      <c r="H21" s="330">
        <f>'STOK DETAY'!BP6</f>
        <v>0</v>
      </c>
      <c r="I21" s="330">
        <f>'STOK DETAY'!BQ6</f>
        <v>0</v>
      </c>
      <c r="J21" s="330">
        <f>'STOK DETAY'!BR6</f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8" t="s">
        <v>259</v>
      </c>
      <c r="B22" s="369" t="s">
        <v>55</v>
      </c>
      <c r="C22" s="422">
        <v>303</v>
      </c>
      <c r="D22" s="330">
        <f t="shared" si="1"/>
        <v>34.134999999999998</v>
      </c>
      <c r="E22" s="330">
        <f>'STOK DETAY'!BS6</f>
        <v>0</v>
      </c>
      <c r="F22" s="330">
        <f>'STOK DETAY'!BT6</f>
        <v>0</v>
      </c>
      <c r="G22" s="330">
        <f>'STOK DETAY'!BU6</f>
        <v>34.134999999999998</v>
      </c>
      <c r="H22" s="330">
        <f>'STOK DETAY'!BV6</f>
        <v>0</v>
      </c>
      <c r="I22" s="330">
        <f>'STOK DETAY'!BW6</f>
        <v>0</v>
      </c>
      <c r="J22" s="330">
        <f>'STOK DETAY'!BX6</f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8" t="s">
        <v>260</v>
      </c>
      <c r="B23" s="369" t="s">
        <v>55</v>
      </c>
      <c r="C23" s="422">
        <v>303</v>
      </c>
      <c r="D23" s="330">
        <f t="shared" si="1"/>
        <v>26.145</v>
      </c>
      <c r="E23" s="330">
        <f>'STOK DETAY'!BY6</f>
        <v>0</v>
      </c>
      <c r="F23" s="330">
        <f>'STOK DETAY'!BZ6</f>
        <v>0</v>
      </c>
      <c r="G23" s="330">
        <f>'STOK DETAY'!CA6</f>
        <v>9.5649999999999995</v>
      </c>
      <c r="H23" s="330">
        <f>'STOK DETAY'!CB6</f>
        <v>0</v>
      </c>
      <c r="I23" s="330">
        <f>'STOK DETAY'!CC6</f>
        <v>0</v>
      </c>
      <c r="J23" s="330">
        <f>'STOK DETAY'!CD6</f>
        <v>16.579999999999998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8" t="s">
        <v>261</v>
      </c>
      <c r="B24" s="369" t="s">
        <v>55</v>
      </c>
      <c r="C24" s="422">
        <v>401</v>
      </c>
      <c r="D24" s="330">
        <f t="shared" si="1"/>
        <v>34.96</v>
      </c>
      <c r="E24" s="330">
        <f>'STOK DETAY'!CE6</f>
        <v>0</v>
      </c>
      <c r="F24" s="330">
        <f>'STOK DETAY'!CF6</f>
        <v>0</v>
      </c>
      <c r="G24" s="330">
        <f>'STOK DETAY'!CG6</f>
        <v>34.96</v>
      </c>
      <c r="H24" s="330">
        <f>'STOK DETAY'!CH6</f>
        <v>0</v>
      </c>
      <c r="I24" s="330">
        <f>'STOK DETAY'!CI6</f>
        <v>0</v>
      </c>
      <c r="J24" s="330">
        <f>'STOK DETAY'!CJ6</f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8" t="s">
        <v>262</v>
      </c>
      <c r="B25" s="369" t="s">
        <v>55</v>
      </c>
      <c r="C25" s="422">
        <v>401</v>
      </c>
      <c r="D25" s="330">
        <f t="shared" si="1"/>
        <v>24.885000000000002</v>
      </c>
      <c r="E25" s="330">
        <f>'STOK DETAY'!CK6</f>
        <v>0</v>
      </c>
      <c r="F25" s="330">
        <f>'STOK DETAY'!CL6</f>
        <v>0</v>
      </c>
      <c r="G25" s="330">
        <f>'STOK DETAY'!CM6</f>
        <v>24.885000000000002</v>
      </c>
      <c r="H25" s="330">
        <f>'STOK DETAY'!CN6</f>
        <v>0</v>
      </c>
      <c r="I25" s="330">
        <f>'STOK DETAY'!CO6</f>
        <v>0</v>
      </c>
      <c r="J25" s="330">
        <f>'STOK DETAY'!CP6</f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8" t="s">
        <v>263</v>
      </c>
      <c r="B26" s="369" t="s">
        <v>55</v>
      </c>
      <c r="C26" s="422">
        <v>402</v>
      </c>
      <c r="D26" s="330">
        <f t="shared" si="1"/>
        <v>129.74</v>
      </c>
      <c r="E26" s="330">
        <f>'STOK DETAY'!CQ6</f>
        <v>0</v>
      </c>
      <c r="F26" s="330">
        <f>'STOK DETAY'!CR6</f>
        <v>0</v>
      </c>
      <c r="G26" s="330">
        <f>'STOK DETAY'!CS6</f>
        <v>129.74</v>
      </c>
      <c r="H26" s="330">
        <f>'STOK DETAY'!CT6</f>
        <v>0</v>
      </c>
      <c r="I26" s="330">
        <f>'STOK DETAY'!CU6</f>
        <v>0</v>
      </c>
      <c r="J26" s="330">
        <f>'STOK DETAY'!CV6</f>
        <v>0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8" t="s">
        <v>264</v>
      </c>
      <c r="B27" s="369" t="s">
        <v>55</v>
      </c>
      <c r="C27" s="422">
        <v>402</v>
      </c>
      <c r="D27" s="330">
        <f t="shared" si="1"/>
        <v>17.600000000000001</v>
      </c>
      <c r="E27" s="330">
        <f>'STOK DETAY'!CW6</f>
        <v>0</v>
      </c>
      <c r="F27" s="330">
        <f>'STOK DETAY'!CX6</f>
        <v>0</v>
      </c>
      <c r="G27" s="330">
        <f>'STOK DETAY'!CY6</f>
        <v>17.600000000000001</v>
      </c>
      <c r="H27" s="330">
        <f>'STOK DETAY'!CZ6</f>
        <v>0</v>
      </c>
      <c r="I27" s="330">
        <f>'STOK DETAY'!DA6</f>
        <v>0</v>
      </c>
      <c r="J27" s="330">
        <f>'STOK DETAY'!DB6</f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8" t="s">
        <v>265</v>
      </c>
      <c r="B28" s="369" t="s">
        <v>55</v>
      </c>
      <c r="C28" s="422">
        <v>403</v>
      </c>
      <c r="D28" s="330">
        <f t="shared" si="1"/>
        <v>130.63499999999999</v>
      </c>
      <c r="E28" s="330">
        <f>'STOK DETAY'!DC6</f>
        <v>0</v>
      </c>
      <c r="F28" s="330">
        <f>'STOK DETAY'!DD6</f>
        <v>0</v>
      </c>
      <c r="G28" s="330">
        <f>'STOK DETAY'!DE6</f>
        <v>130.63499999999999</v>
      </c>
      <c r="H28" s="330">
        <f>'STOK DETAY'!DF6</f>
        <v>0</v>
      </c>
      <c r="I28" s="330">
        <f>'STOK DETAY'!DG6</f>
        <v>0</v>
      </c>
      <c r="J28" s="330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8" t="s">
        <v>266</v>
      </c>
      <c r="B29" s="369" t="s">
        <v>55</v>
      </c>
      <c r="C29" s="422">
        <v>403</v>
      </c>
      <c r="D29" s="330">
        <f t="shared" si="1"/>
        <v>128.38999999999999</v>
      </c>
      <c r="E29" s="330">
        <f>'STOK DETAY'!DI6</f>
        <v>0</v>
      </c>
      <c r="F29" s="330">
        <f>'STOK DETAY'!DJ6</f>
        <v>0</v>
      </c>
      <c r="G29" s="330">
        <f>'STOK DETAY'!DK6</f>
        <v>94.94</v>
      </c>
      <c r="H29" s="330">
        <f>'STOK DETAY'!DL6</f>
        <v>0</v>
      </c>
      <c r="I29" s="330">
        <f>'STOK DETAY'!DM6</f>
        <v>33.450000000000003</v>
      </c>
      <c r="J29" s="330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8" t="s">
        <v>267</v>
      </c>
      <c r="B30" s="369" t="s">
        <v>55</v>
      </c>
      <c r="C30" s="422">
        <v>501</v>
      </c>
      <c r="D30" s="330">
        <f t="shared" si="1"/>
        <v>8.8049999999999997</v>
      </c>
      <c r="E30" s="330">
        <f>'STOK DETAY'!DN6</f>
        <v>0</v>
      </c>
      <c r="F30" s="330">
        <f>'STOK DETAY'!DO6</f>
        <v>0</v>
      </c>
      <c r="G30" s="330">
        <f>'STOK DETAY'!DP6</f>
        <v>8.8049999999999997</v>
      </c>
      <c r="H30" s="330">
        <f>'STOK DETAY'!DQ6</f>
        <v>0</v>
      </c>
      <c r="I30" s="330">
        <f>'STOK DETAY'!DR6</f>
        <v>0</v>
      </c>
      <c r="J30" s="330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8" t="s">
        <v>268</v>
      </c>
      <c r="B31" s="369" t="s">
        <v>55</v>
      </c>
      <c r="C31" s="422">
        <v>501</v>
      </c>
      <c r="D31" s="330">
        <f t="shared" si="1"/>
        <v>0</v>
      </c>
      <c r="E31" s="330">
        <f>'STOK DETAY'!DS6</f>
        <v>0</v>
      </c>
      <c r="F31" s="330">
        <f>'STOK DETAY'!DT6</f>
        <v>0</v>
      </c>
      <c r="G31" s="330">
        <f>'STOK DETAY'!DU6</f>
        <v>0</v>
      </c>
      <c r="H31" s="330">
        <f>'STOK DETAY'!DV6</f>
        <v>0</v>
      </c>
      <c r="I31" s="330">
        <f>'STOK DETAY'!DW6</f>
        <v>0</v>
      </c>
      <c r="J31" s="330">
        <f>'STOK DETAY'!DX6</f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8" t="s">
        <v>269</v>
      </c>
      <c r="B32" s="369" t="s">
        <v>55</v>
      </c>
      <c r="C32" s="422">
        <v>502</v>
      </c>
      <c r="D32" s="330">
        <f t="shared" si="1"/>
        <v>75.900000000000006</v>
      </c>
      <c r="E32" s="330">
        <f>'STOK DETAY'!DY6</f>
        <v>0</v>
      </c>
      <c r="F32" s="330">
        <f>'STOK DETAY'!DZ6</f>
        <v>0</v>
      </c>
      <c r="G32" s="330">
        <f>'STOK DETAY'!EA6</f>
        <v>75.900000000000006</v>
      </c>
      <c r="H32" s="330">
        <f>'STOK DETAY'!EB6</f>
        <v>0</v>
      </c>
      <c r="I32" s="330">
        <f>'STOK DETAY'!EC6</f>
        <v>0</v>
      </c>
      <c r="J32" s="330">
        <f>'STOK DETAY'!ED6</f>
        <v>0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8" t="s">
        <v>270</v>
      </c>
      <c r="B33" s="369" t="s">
        <v>55</v>
      </c>
      <c r="C33" s="422">
        <v>502</v>
      </c>
      <c r="D33" s="330">
        <f t="shared" si="1"/>
        <v>671.93499999999995</v>
      </c>
      <c r="E33" s="330">
        <f>'STOK DETAY'!EE6</f>
        <v>0</v>
      </c>
      <c r="F33" s="330">
        <f>'STOK DETAY'!EF6</f>
        <v>0</v>
      </c>
      <c r="G33" s="330">
        <f>'STOK DETAY'!EG6</f>
        <v>661.745</v>
      </c>
      <c r="H33" s="330">
        <f>'STOK DETAY'!EH6</f>
        <v>1.75</v>
      </c>
      <c r="I33" s="330">
        <f>'STOK DETAY'!EI6</f>
        <v>8.44</v>
      </c>
      <c r="J33" s="330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8" t="s">
        <v>271</v>
      </c>
      <c r="B34" s="369" t="s">
        <v>55</v>
      </c>
      <c r="C34" s="422">
        <v>503</v>
      </c>
      <c r="D34" s="330">
        <f t="shared" si="1"/>
        <v>68.8</v>
      </c>
      <c r="E34" s="330">
        <f>'STOK DETAY'!EJ6</f>
        <v>0</v>
      </c>
      <c r="F34" s="330">
        <f>'STOK DETAY'!EK6</f>
        <v>0</v>
      </c>
      <c r="G34" s="330">
        <f>'STOK DETAY'!EL6</f>
        <v>0</v>
      </c>
      <c r="H34" s="330"/>
      <c r="I34" s="330">
        <f>'STOK DETAY'!EM6</f>
        <v>68.8</v>
      </c>
      <c r="J34" s="330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8" t="s">
        <v>272</v>
      </c>
      <c r="B35" s="369" t="s">
        <v>55</v>
      </c>
      <c r="C35" s="422">
        <v>503</v>
      </c>
      <c r="D35" s="330">
        <f t="shared" si="1"/>
        <v>16.170000000000002</v>
      </c>
      <c r="E35" s="330">
        <f>'STOK DETAY'!EN6</f>
        <v>0</v>
      </c>
      <c r="F35" s="330">
        <f>'STOK DETAY'!EO6</f>
        <v>0</v>
      </c>
      <c r="G35" s="330">
        <f>'STOK DETAY'!EP6</f>
        <v>16.170000000000002</v>
      </c>
      <c r="H35" s="330"/>
      <c r="I35" s="330">
        <f>'STOK DETAY'!EQ6</f>
        <v>0</v>
      </c>
      <c r="J35" s="330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8" t="s">
        <v>273</v>
      </c>
      <c r="B36" s="369" t="s">
        <v>55</v>
      </c>
      <c r="C36" s="422"/>
      <c r="D36" s="330">
        <f t="shared" si="1"/>
        <v>0</v>
      </c>
      <c r="E36" s="330">
        <f>'STOK DETAY'!ER6</f>
        <v>0</v>
      </c>
      <c r="F36" s="330">
        <f>'STOK DETAY'!ES6</f>
        <v>0</v>
      </c>
      <c r="G36" s="330">
        <f>'STOK DETAY'!ET6</f>
        <v>0</v>
      </c>
      <c r="H36" s="330"/>
      <c r="I36" s="330">
        <f>'STOK DETAY'!EU6</f>
        <v>0</v>
      </c>
      <c r="J36" s="330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8" t="s">
        <v>274</v>
      </c>
      <c r="B37" s="369" t="s">
        <v>55</v>
      </c>
      <c r="C37" s="422">
        <v>211</v>
      </c>
      <c r="D37" s="330">
        <f t="shared" si="1"/>
        <v>27.65</v>
      </c>
      <c r="E37" s="330"/>
      <c r="F37" s="330"/>
      <c r="G37" s="330"/>
      <c r="H37" s="330"/>
      <c r="I37" s="330">
        <f>'STOK DETAY'!EV6</f>
        <v>27.65</v>
      </c>
      <c r="J37" s="330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8" t="s">
        <v>275</v>
      </c>
      <c r="B38" s="369" t="s">
        <v>55</v>
      </c>
      <c r="C38" s="422"/>
      <c r="D38" s="330">
        <f t="shared" si="1"/>
        <v>0</v>
      </c>
      <c r="E38" s="330"/>
      <c r="F38" s="330">
        <f>'STOK DETAY'!EW6</f>
        <v>0</v>
      </c>
      <c r="G38" s="330"/>
      <c r="H38" s="330"/>
      <c r="I38" s="330"/>
      <c r="J38" s="330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8" t="s">
        <v>276</v>
      </c>
      <c r="B39" s="369" t="s">
        <v>55</v>
      </c>
      <c r="C39" s="422"/>
      <c r="D39" s="330">
        <f t="shared" si="1"/>
        <v>0</v>
      </c>
      <c r="E39" s="330"/>
      <c r="F39" s="330">
        <f>'STOK DETAY'!EY6</f>
        <v>0</v>
      </c>
      <c r="G39" s="330">
        <f>'STOK DETAY'!EZ6</f>
        <v>0</v>
      </c>
      <c r="H39" s="330"/>
      <c r="I39" s="330"/>
      <c r="J39" s="330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8" t="s">
        <v>277</v>
      </c>
      <c r="B40" s="369" t="s">
        <v>55</v>
      </c>
      <c r="C40" s="422"/>
      <c r="D40" s="330">
        <f t="shared" si="1"/>
        <v>0</v>
      </c>
      <c r="E40" s="330">
        <f>'STOK DETAY'!FA6</f>
        <v>0</v>
      </c>
      <c r="F40" s="330">
        <f>'STOK DETAY'!FB6</f>
        <v>0</v>
      </c>
      <c r="G40" s="330">
        <f>'STOK DETAY'!FC6</f>
        <v>0</v>
      </c>
      <c r="H40" s="330"/>
      <c r="I40" s="330">
        <f>'STOK DETAY'!FD6</f>
        <v>0</v>
      </c>
      <c r="J40" s="330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8" t="s">
        <v>278</v>
      </c>
      <c r="B41" s="369" t="s">
        <v>55</v>
      </c>
      <c r="C41" s="422"/>
      <c r="D41" s="330">
        <f t="shared" si="1"/>
        <v>28</v>
      </c>
      <c r="E41" s="330"/>
      <c r="F41" s="330"/>
      <c r="G41" s="330"/>
      <c r="H41" s="330"/>
      <c r="I41" s="330">
        <f>'STOK DETAY'!FE6</f>
        <v>28</v>
      </c>
      <c r="J41" s="330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8" t="s">
        <v>279</v>
      </c>
      <c r="B42" s="369" t="s">
        <v>55</v>
      </c>
      <c r="C42" s="422"/>
      <c r="D42" s="330">
        <f t="shared" si="1"/>
        <v>103.66500000000001</v>
      </c>
      <c r="E42" s="330"/>
      <c r="F42" s="330">
        <f>'STOK DETAY'!FF6</f>
        <v>0</v>
      </c>
      <c r="G42" s="330">
        <f>'STOK DETAY'!FG6</f>
        <v>103.66500000000001</v>
      </c>
      <c r="H42" s="330"/>
      <c r="I42" s="330">
        <f>'STOK DETAY'!FH6</f>
        <v>0</v>
      </c>
      <c r="J42" s="330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8" t="s">
        <v>280</v>
      </c>
      <c r="B43" s="369" t="s">
        <v>55</v>
      </c>
      <c r="C43" s="422"/>
      <c r="D43" s="330">
        <f t="shared" si="1"/>
        <v>0</v>
      </c>
      <c r="E43" s="330"/>
      <c r="F43" s="330">
        <f>'STOK DETAY'!FJ6</f>
        <v>0</v>
      </c>
      <c r="G43" s="330">
        <f>'STOK DETAY'!FK6</f>
        <v>0</v>
      </c>
      <c r="H43" s="330"/>
      <c r="I43" s="330">
        <f>'STOK DETAY'!FL6</f>
        <v>0</v>
      </c>
      <c r="J43" s="330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8" t="s">
        <v>281</v>
      </c>
      <c r="B44" s="369" t="s">
        <v>55</v>
      </c>
      <c r="C44" s="422"/>
      <c r="D44" s="330">
        <f t="shared" si="1"/>
        <v>45.85</v>
      </c>
      <c r="E44" s="330">
        <f>'STOK DETAY'!FM6</f>
        <v>0</v>
      </c>
      <c r="F44" s="330"/>
      <c r="G44" s="330"/>
      <c r="H44" s="330"/>
      <c r="I44" s="330">
        <f>'STOK DETAY'!FN6</f>
        <v>45.85</v>
      </c>
      <c r="J44" s="330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8" t="s">
        <v>282</v>
      </c>
      <c r="B45" s="369" t="s">
        <v>55</v>
      </c>
      <c r="C45" s="422"/>
      <c r="D45" s="330">
        <f t="shared" si="1"/>
        <v>0</v>
      </c>
      <c r="E45" s="330"/>
      <c r="F45" s="330"/>
      <c r="G45" s="330"/>
      <c r="H45" s="330"/>
      <c r="I45" s="330">
        <f>'STOK DETAY'!FO6</f>
        <v>0</v>
      </c>
      <c r="J45" s="330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8" t="s">
        <v>283</v>
      </c>
      <c r="B46" s="369" t="s">
        <v>55</v>
      </c>
      <c r="C46" s="422"/>
      <c r="D46" s="330">
        <f t="shared" si="1"/>
        <v>0</v>
      </c>
      <c r="E46" s="330"/>
      <c r="F46" s="330"/>
      <c r="G46" s="330"/>
      <c r="H46" s="330"/>
      <c r="I46" s="330">
        <f>'STOK DETAY'!FP6</f>
        <v>0</v>
      </c>
      <c r="J46" s="330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8" t="s">
        <v>284</v>
      </c>
      <c r="B47" s="369" t="s">
        <v>55</v>
      </c>
      <c r="C47" s="422"/>
      <c r="D47" s="330">
        <f t="shared" si="1"/>
        <v>0</v>
      </c>
      <c r="E47" s="330">
        <f>'STOK DETAY'!FQ6</f>
        <v>0</v>
      </c>
      <c r="F47" s="330">
        <f>'STOK DETAY'!FR6</f>
        <v>0</v>
      </c>
      <c r="G47" s="330">
        <f>'STOK DETAY'!FS6</f>
        <v>0</v>
      </c>
      <c r="H47" s="330"/>
      <c r="I47" s="330"/>
      <c r="J47" s="330">
        <f>'STOK DETAY'!FT6</f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8" t="s">
        <v>245</v>
      </c>
      <c r="B48" s="369" t="s">
        <v>55</v>
      </c>
      <c r="C48" s="422"/>
      <c r="D48" s="330">
        <f t="shared" si="1"/>
        <v>45.4</v>
      </c>
      <c r="E48" s="330"/>
      <c r="F48" s="330">
        <f>'STOK DETAY'!FU6</f>
        <v>0</v>
      </c>
      <c r="G48" s="330">
        <f>'STOK DETAY'!FV6</f>
        <v>0</v>
      </c>
      <c r="H48" s="330"/>
      <c r="I48" s="330">
        <f>'STOK DETAY'!FW6</f>
        <v>45.4</v>
      </c>
      <c r="J48" s="330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8" t="s">
        <v>285</v>
      </c>
      <c r="B49" s="369" t="s">
        <v>55</v>
      </c>
      <c r="C49" s="422">
        <v>113</v>
      </c>
      <c r="D49" s="330">
        <f t="shared" si="1"/>
        <v>9.1999999999999993</v>
      </c>
      <c r="E49" s="330">
        <f>'STOK DETAY'!FX6</f>
        <v>9.1999999999999993</v>
      </c>
      <c r="F49" s="330"/>
      <c r="G49" s="330"/>
      <c r="H49" s="330"/>
      <c r="I49" s="330">
        <f>'STOK DETAY'!FY6</f>
        <v>0</v>
      </c>
      <c r="J49" s="330">
        <f>'STOK DETAY'!FZ6</f>
        <v>0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8" t="s">
        <v>286</v>
      </c>
      <c r="B50" s="369" t="s">
        <v>55</v>
      </c>
      <c r="C50" s="422"/>
      <c r="D50" s="330">
        <f t="shared" si="1"/>
        <v>89.45</v>
      </c>
      <c r="E50" s="330"/>
      <c r="F50" s="330">
        <f>'STOK DETAY'!GA6</f>
        <v>0</v>
      </c>
      <c r="G50" s="330">
        <f>'STOK DETAY'!GB6</f>
        <v>0</v>
      </c>
      <c r="H50" s="330"/>
      <c r="I50" s="330">
        <f>'STOK DETAY'!GC6</f>
        <v>89.45</v>
      </c>
      <c r="J50" s="330">
        <f>'STOK DETAY'!GD6</f>
        <v>0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8" t="s">
        <v>287</v>
      </c>
      <c r="B51" s="369" t="s">
        <v>55</v>
      </c>
      <c r="C51" s="422">
        <v>211</v>
      </c>
      <c r="D51" s="330">
        <f t="shared" si="1"/>
        <v>21.45</v>
      </c>
      <c r="E51" s="330"/>
      <c r="F51" s="330">
        <f>'STOK DETAY'!GE6</f>
        <v>0</v>
      </c>
      <c r="G51" s="330"/>
      <c r="H51" s="330"/>
      <c r="I51" s="330">
        <f>'STOK DETAY'!GF6</f>
        <v>21.45</v>
      </c>
      <c r="J51" s="330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8" t="s">
        <v>288</v>
      </c>
      <c r="B52" s="369" t="s">
        <v>55</v>
      </c>
      <c r="C52" s="422"/>
      <c r="D52" s="330">
        <f t="shared" si="1"/>
        <v>0</v>
      </c>
      <c r="E52" s="330"/>
      <c r="F52" s="330"/>
      <c r="G52" s="330"/>
      <c r="H52" s="330"/>
      <c r="I52" s="330">
        <f>'STOK DETAY'!GG6</f>
        <v>0</v>
      </c>
      <c r="J52" s="330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8" t="s">
        <v>289</v>
      </c>
      <c r="B53" s="369" t="s">
        <v>55</v>
      </c>
      <c r="C53" s="422"/>
      <c r="D53" s="330">
        <f t="shared" si="1"/>
        <v>0</v>
      </c>
      <c r="E53" s="330"/>
      <c r="F53" s="330"/>
      <c r="G53" s="330"/>
      <c r="H53" s="330"/>
      <c r="I53" s="330">
        <f>'STOK DETAY'!GI6</f>
        <v>0</v>
      </c>
      <c r="J53" s="330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8" t="s">
        <v>290</v>
      </c>
      <c r="B54" s="369" t="s">
        <v>30</v>
      </c>
      <c r="C54" s="422">
        <v>611</v>
      </c>
      <c r="D54" s="330">
        <f t="shared" ref="D54:D83" si="2">SUM(E54:J54)</f>
        <v>76.703000000000003</v>
      </c>
      <c r="E54" s="330">
        <f>'STOK DETAY'!GJ6</f>
        <v>0</v>
      </c>
      <c r="F54" s="330"/>
      <c r="G54" s="330">
        <f>'STOK DETAY'!GK6</f>
        <v>76.703000000000003</v>
      </c>
      <c r="H54" s="330"/>
      <c r="I54" s="330"/>
      <c r="J54" s="330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8" t="s">
        <v>246</v>
      </c>
      <c r="B55" s="332" t="s">
        <v>30</v>
      </c>
      <c r="C55" s="422"/>
      <c r="D55" s="330">
        <f t="shared" si="2"/>
        <v>0</v>
      </c>
      <c r="E55" s="330">
        <f>'STOK DETAY'!GL6</f>
        <v>0</v>
      </c>
      <c r="F55" s="330"/>
      <c r="G55" s="330">
        <f>'STOK DETAY'!GM6</f>
        <v>0</v>
      </c>
      <c r="H55" s="330"/>
      <c r="I55" s="330"/>
      <c r="J55" s="330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8" t="s">
        <v>291</v>
      </c>
      <c r="B56" s="332" t="s">
        <v>30</v>
      </c>
      <c r="C56" s="422">
        <v>601</v>
      </c>
      <c r="D56" s="330">
        <f t="shared" si="2"/>
        <v>0</v>
      </c>
      <c r="E56" s="330"/>
      <c r="F56" s="330"/>
      <c r="G56" s="330">
        <f>'STOK DETAY'!GO6</f>
        <v>0</v>
      </c>
      <c r="H56" s="330"/>
      <c r="I56" s="330"/>
      <c r="J56" s="330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8" t="s">
        <v>292</v>
      </c>
      <c r="B57" s="369" t="s">
        <v>30</v>
      </c>
      <c r="C57" s="422"/>
      <c r="D57" s="330">
        <f t="shared" si="2"/>
        <v>0</v>
      </c>
      <c r="E57" s="330">
        <f>'STOK DETAY'!GP6</f>
        <v>0</v>
      </c>
      <c r="F57" s="330"/>
      <c r="G57" s="330">
        <f>'STOK DETAY'!GQ6</f>
        <v>0</v>
      </c>
      <c r="H57" s="330"/>
      <c r="I57" s="330"/>
      <c r="J57" s="330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8" t="s">
        <v>293</v>
      </c>
      <c r="B58" s="369" t="s">
        <v>30</v>
      </c>
      <c r="C58" s="422"/>
      <c r="D58" s="330">
        <f t="shared" si="2"/>
        <v>0</v>
      </c>
      <c r="E58" s="330">
        <f>'STOK DETAY'!GR6</f>
        <v>0</v>
      </c>
      <c r="F58" s="330"/>
      <c r="G58" s="330">
        <f>'STOK DETAY'!GS6</f>
        <v>0</v>
      </c>
      <c r="H58" s="330"/>
      <c r="I58" s="330"/>
      <c r="J58" s="330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8" t="s">
        <v>294</v>
      </c>
      <c r="B59" s="369" t="s">
        <v>30</v>
      </c>
      <c r="C59" s="422"/>
      <c r="D59" s="330">
        <f t="shared" si="2"/>
        <v>0</v>
      </c>
      <c r="E59" s="330"/>
      <c r="F59" s="330"/>
      <c r="G59" s="330">
        <f>'STOK DETAY'!GU6</f>
        <v>0</v>
      </c>
      <c r="H59" s="330"/>
      <c r="I59" s="330"/>
      <c r="J59" s="330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8" t="s">
        <v>295</v>
      </c>
      <c r="B60" s="369" t="s">
        <v>30</v>
      </c>
      <c r="C60" s="422"/>
      <c r="D60" s="330">
        <f t="shared" si="2"/>
        <v>0</v>
      </c>
      <c r="E60" s="330">
        <f>'STOK DETAY'!GV6</f>
        <v>0</v>
      </c>
      <c r="F60" s="330"/>
      <c r="G60" s="330">
        <f>'STOK DETAY'!GW6</f>
        <v>0</v>
      </c>
      <c r="H60" s="330"/>
      <c r="I60" s="330"/>
      <c r="J60" s="330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8" t="s">
        <v>296</v>
      </c>
      <c r="B61" s="369" t="s">
        <v>30</v>
      </c>
      <c r="C61" s="422"/>
      <c r="D61" s="330">
        <f t="shared" si="2"/>
        <v>0</v>
      </c>
      <c r="E61" s="330"/>
      <c r="F61" s="330"/>
      <c r="G61" s="330">
        <f>'STOK DETAY'!GX6</f>
        <v>0</v>
      </c>
      <c r="H61" s="330"/>
      <c r="I61" s="330"/>
      <c r="J61" s="330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8" t="s">
        <v>248</v>
      </c>
      <c r="B62" s="369" t="s">
        <v>30</v>
      </c>
      <c r="C62" s="422"/>
      <c r="D62" s="330">
        <f t="shared" si="2"/>
        <v>0</v>
      </c>
      <c r="E62" s="330">
        <f>'STOK DETAY'!GY6</f>
        <v>0</v>
      </c>
      <c r="F62" s="330"/>
      <c r="G62" s="330">
        <f>'STOK DETAY'!GZ6</f>
        <v>0</v>
      </c>
      <c r="H62" s="330"/>
      <c r="I62" s="330"/>
      <c r="J62" s="330">
        <f>'STOK DETAY'!HA6</f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8" t="s">
        <v>297</v>
      </c>
      <c r="B63" s="369" t="s">
        <v>30</v>
      </c>
      <c r="C63" s="422"/>
      <c r="D63" s="330">
        <f t="shared" si="2"/>
        <v>0</v>
      </c>
      <c r="E63" s="330">
        <f>'STOK DETAY'!HB6</f>
        <v>0</v>
      </c>
      <c r="F63" s="330"/>
      <c r="G63" s="330"/>
      <c r="H63" s="330"/>
      <c r="I63" s="330"/>
      <c r="J63" s="330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8" t="s">
        <v>249</v>
      </c>
      <c r="B64" s="369" t="s">
        <v>30</v>
      </c>
      <c r="C64" s="422"/>
      <c r="D64" s="330">
        <f t="shared" si="2"/>
        <v>0</v>
      </c>
      <c r="E64" s="330">
        <f>'STOK DETAY'!HC6</f>
        <v>0</v>
      </c>
      <c r="F64" s="330"/>
      <c r="G64" s="330">
        <f>'STOK DETAY'!HD6</f>
        <v>0</v>
      </c>
      <c r="H64" s="330"/>
      <c r="I64" s="330"/>
      <c r="J64" s="330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8" t="s">
        <v>250</v>
      </c>
      <c r="B65" s="369" t="s">
        <v>30</v>
      </c>
      <c r="C65" s="422"/>
      <c r="D65" s="330">
        <f t="shared" si="2"/>
        <v>67.03</v>
      </c>
      <c r="E65" s="330">
        <f>'STOK DETAY'!HE6</f>
        <v>0</v>
      </c>
      <c r="F65" s="330"/>
      <c r="G65" s="330">
        <f>'STOK DETAY'!HF6</f>
        <v>67.03</v>
      </c>
      <c r="H65" s="330"/>
      <c r="I65" s="330"/>
      <c r="J65" s="330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8" t="s">
        <v>251</v>
      </c>
      <c r="B66" s="369" t="s">
        <v>30</v>
      </c>
      <c r="C66" s="422"/>
      <c r="D66" s="330">
        <f t="shared" si="2"/>
        <v>13.32</v>
      </c>
      <c r="E66" s="330">
        <f>'STOK DETAY'!HG6</f>
        <v>0</v>
      </c>
      <c r="F66" s="330"/>
      <c r="G66" s="330">
        <f>'STOK DETAY'!HH6</f>
        <v>0</v>
      </c>
      <c r="H66" s="330"/>
      <c r="I66" s="330"/>
      <c r="J66" s="330">
        <f>'STOK DETAY'!HI6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8" t="s">
        <v>298</v>
      </c>
      <c r="B67" s="369" t="s">
        <v>30</v>
      </c>
      <c r="C67" s="422">
        <v>613</v>
      </c>
      <c r="D67" s="330">
        <f t="shared" si="2"/>
        <v>8.9849999999999994</v>
      </c>
      <c r="E67" s="330"/>
      <c r="F67" s="330"/>
      <c r="G67" s="330">
        <f>'STOK DETAY'!HJ6</f>
        <v>8.9849999999999994</v>
      </c>
      <c r="H67" s="330"/>
      <c r="I67" s="330"/>
      <c r="J67" s="330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8" t="s">
        <v>299</v>
      </c>
      <c r="B68" s="369" t="s">
        <v>30</v>
      </c>
      <c r="C68" s="422"/>
      <c r="D68" s="330">
        <f t="shared" si="2"/>
        <v>0</v>
      </c>
      <c r="E68" s="330">
        <f>'STOK DETAY'!HK6</f>
        <v>0</v>
      </c>
      <c r="F68" s="330"/>
      <c r="G68" s="330"/>
      <c r="H68" s="330"/>
      <c r="I68" s="330"/>
      <c r="J68" s="330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8" t="s">
        <v>252</v>
      </c>
      <c r="B69" s="369" t="s">
        <v>30</v>
      </c>
      <c r="C69" s="422"/>
      <c r="D69" s="330">
        <f t="shared" si="2"/>
        <v>0</v>
      </c>
      <c r="E69" s="330">
        <f>'STOK DETAY'!HL6</f>
        <v>0</v>
      </c>
      <c r="F69" s="330"/>
      <c r="G69" s="330">
        <f>'STOK DETAY'!HM6</f>
        <v>0</v>
      </c>
      <c r="H69" s="330"/>
      <c r="I69" s="330"/>
      <c r="J69" s="330">
        <f>'STOK DETAY'!HN6</f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8" t="s">
        <v>300</v>
      </c>
      <c r="B70" s="369" t="s">
        <v>30</v>
      </c>
      <c r="C70" s="422">
        <v>612</v>
      </c>
      <c r="D70" s="330">
        <f t="shared" si="2"/>
        <v>51.43</v>
      </c>
      <c r="E70" s="330">
        <f>'STOK DETAY'!HO6</f>
        <v>0</v>
      </c>
      <c r="F70" s="330"/>
      <c r="G70" s="330">
        <f>'STOK DETAY'!HP6</f>
        <v>51.43</v>
      </c>
      <c r="H70" s="330"/>
      <c r="I70" s="330"/>
      <c r="J70" s="330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8" t="s">
        <v>242</v>
      </c>
      <c r="B71" s="369" t="s">
        <v>30</v>
      </c>
      <c r="C71" s="422"/>
      <c r="D71" s="330">
        <f t="shared" si="2"/>
        <v>0</v>
      </c>
      <c r="E71" s="330">
        <f>'STOK DETAY'!HQ6</f>
        <v>0</v>
      </c>
      <c r="F71" s="330"/>
      <c r="G71" s="330">
        <f>'STOK DETAY'!HR6</f>
        <v>0</v>
      </c>
      <c r="H71" s="330"/>
      <c r="I71" s="330"/>
      <c r="J71" s="330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8" t="s">
        <v>253</v>
      </c>
      <c r="B72" s="369" t="s">
        <v>30</v>
      </c>
      <c r="C72" s="422">
        <v>213</v>
      </c>
      <c r="D72" s="330">
        <f t="shared" si="2"/>
        <v>93.39</v>
      </c>
      <c r="E72" s="330">
        <f>'STOK DETAY'!HS6</f>
        <v>93.39</v>
      </c>
      <c r="F72" s="330"/>
      <c r="G72" s="330"/>
      <c r="H72" s="330"/>
      <c r="I72" s="330"/>
      <c r="J72" s="330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8" t="s">
        <v>253</v>
      </c>
      <c r="B73" s="369" t="s">
        <v>129</v>
      </c>
      <c r="C73" s="422">
        <v>213</v>
      </c>
      <c r="D73" s="330">
        <f t="shared" si="2"/>
        <v>31.1</v>
      </c>
      <c r="E73" s="330"/>
      <c r="F73" s="330"/>
      <c r="G73" s="330">
        <f>'STOK DETAY'!HT6</f>
        <v>31.1</v>
      </c>
      <c r="H73" s="330"/>
      <c r="I73" s="330"/>
      <c r="J73" s="330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8" t="s">
        <v>243</v>
      </c>
      <c r="B74" s="369" t="s">
        <v>30</v>
      </c>
      <c r="C74" s="422"/>
      <c r="D74" s="330">
        <f t="shared" si="2"/>
        <v>0</v>
      </c>
      <c r="E74" s="330">
        <f>'STOK DETAY'!HU6</f>
        <v>0</v>
      </c>
      <c r="F74" s="330"/>
      <c r="G74" s="330">
        <f>'STOK DETAY'!HV6</f>
        <v>0</v>
      </c>
      <c r="H74" s="330"/>
      <c r="I74" s="330"/>
      <c r="J74" s="330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8" t="s">
        <v>255</v>
      </c>
      <c r="B75" s="369" t="s">
        <v>30</v>
      </c>
      <c r="C75" s="422"/>
      <c r="D75" s="330">
        <f t="shared" si="2"/>
        <v>0</v>
      </c>
      <c r="E75" s="330">
        <f>'STOK DETAY'!HW6</f>
        <v>0</v>
      </c>
      <c r="F75" s="330"/>
      <c r="G75" s="330">
        <f>'STOK DETAY'!HX6</f>
        <v>0</v>
      </c>
      <c r="H75" s="330"/>
      <c r="I75" s="330"/>
      <c r="J75" s="330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8" t="s">
        <v>244</v>
      </c>
      <c r="B76" s="369" t="s">
        <v>30</v>
      </c>
      <c r="C76" s="422"/>
      <c r="D76" s="330">
        <f t="shared" si="2"/>
        <v>8.94</v>
      </c>
      <c r="E76" s="330">
        <f>'STOK DETAY'!HY6</f>
        <v>8.94</v>
      </c>
      <c r="F76" s="330"/>
      <c r="G76" s="330"/>
      <c r="H76" s="330"/>
      <c r="I76" s="330"/>
      <c r="J76" s="330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8" t="s">
        <v>256</v>
      </c>
      <c r="B77" s="369" t="s">
        <v>30</v>
      </c>
      <c r="C77" s="422">
        <v>411</v>
      </c>
      <c r="D77" s="330">
        <f t="shared" si="2"/>
        <v>83.82</v>
      </c>
      <c r="E77" s="330"/>
      <c r="F77" s="330"/>
      <c r="G77" s="330">
        <f>'STOK DETAY'!IA6</f>
        <v>83.82</v>
      </c>
      <c r="H77" s="330"/>
      <c r="I77" s="330"/>
      <c r="J77" s="330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8" t="s">
        <v>257</v>
      </c>
      <c r="B78" s="369" t="s">
        <v>30</v>
      </c>
      <c r="C78" s="422"/>
      <c r="D78" s="330">
        <f t="shared" si="2"/>
        <v>0</v>
      </c>
      <c r="E78" s="330">
        <f>'STOK DETAY'!IB6</f>
        <v>0</v>
      </c>
      <c r="F78" s="330"/>
      <c r="G78" s="330">
        <f>'STOK DETAY'!IC6</f>
        <v>0</v>
      </c>
      <c r="H78" s="330"/>
      <c r="I78" s="330"/>
      <c r="J78" s="330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8" t="s">
        <v>258</v>
      </c>
      <c r="B79" s="369" t="s">
        <v>30</v>
      </c>
      <c r="C79" s="422"/>
      <c r="D79" s="330">
        <f t="shared" si="2"/>
        <v>2.42</v>
      </c>
      <c r="E79" s="330">
        <f>'STOK DETAY'!ID6</f>
        <v>0</v>
      </c>
      <c r="F79" s="330"/>
      <c r="G79" s="330">
        <f>'STOK DETAY'!IE6</f>
        <v>2.42</v>
      </c>
      <c r="H79" s="330"/>
      <c r="I79" s="330"/>
      <c r="J79" s="330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8" t="s">
        <v>259</v>
      </c>
      <c r="B80" s="369" t="s">
        <v>30</v>
      </c>
      <c r="C80" s="422"/>
      <c r="D80" s="330">
        <f t="shared" si="2"/>
        <v>0</v>
      </c>
      <c r="E80" s="330">
        <f>'STOK DETAY'!IF6</f>
        <v>0</v>
      </c>
      <c r="F80" s="330"/>
      <c r="G80" s="330"/>
      <c r="H80" s="330"/>
      <c r="I80" s="330"/>
      <c r="J80" s="330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8" t="s">
        <v>260</v>
      </c>
      <c r="B81" s="332" t="s">
        <v>30</v>
      </c>
      <c r="C81" s="422">
        <v>611</v>
      </c>
      <c r="D81" s="330">
        <f t="shared" si="2"/>
        <v>127.11</v>
      </c>
      <c r="E81" s="330">
        <f>'STOK DETAY'!IG6</f>
        <v>127.11</v>
      </c>
      <c r="F81" s="330"/>
      <c r="G81" s="330"/>
      <c r="H81" s="330"/>
      <c r="I81" s="330"/>
      <c r="J81" s="330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8" t="s">
        <v>261</v>
      </c>
      <c r="B82" s="369" t="s">
        <v>30</v>
      </c>
      <c r="C82" s="422">
        <v>613</v>
      </c>
      <c r="D82" s="330">
        <f t="shared" si="2"/>
        <v>128.26</v>
      </c>
      <c r="E82" s="330">
        <f>'STOK DETAY'!IH6</f>
        <v>128.26</v>
      </c>
      <c r="F82" s="330"/>
      <c r="G82" s="330"/>
      <c r="H82" s="330"/>
      <c r="I82" s="330"/>
      <c r="J82" s="330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8" t="s">
        <v>262</v>
      </c>
      <c r="B83" s="369" t="s">
        <v>30</v>
      </c>
      <c r="C83" s="422"/>
      <c r="D83" s="330">
        <f t="shared" si="2"/>
        <v>29.6</v>
      </c>
      <c r="E83" s="330"/>
      <c r="F83" s="330"/>
      <c r="G83" s="330">
        <f>'STOK DETAY'!II6</f>
        <v>29.6</v>
      </c>
      <c r="H83" s="330"/>
      <c r="I83" s="330"/>
      <c r="J83" s="330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8" t="s">
        <v>251</v>
      </c>
      <c r="B84" s="369" t="s">
        <v>10</v>
      </c>
      <c r="C84" s="422">
        <v>511</v>
      </c>
      <c r="D84" s="330">
        <f t="shared" ref="D84:D94" si="3">SUM(E84:J84)</f>
        <v>3.28</v>
      </c>
      <c r="E84" s="330"/>
      <c r="F84" s="330">
        <f>'STOK DETAY'!IJ6</f>
        <v>3.28</v>
      </c>
      <c r="G84" s="330"/>
      <c r="H84" s="330"/>
      <c r="I84" s="330"/>
      <c r="J84" s="330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8" t="s">
        <v>243</v>
      </c>
      <c r="B85" s="369" t="s">
        <v>10</v>
      </c>
      <c r="C85" s="422">
        <v>511</v>
      </c>
      <c r="D85" s="330">
        <f t="shared" si="3"/>
        <v>63.54</v>
      </c>
      <c r="E85" s="330"/>
      <c r="F85" s="330">
        <f>'STOK DETAY'!IK6</f>
        <v>63.54</v>
      </c>
      <c r="G85" s="330"/>
      <c r="H85" s="330"/>
      <c r="I85" s="330"/>
      <c r="J85" s="330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8" t="s">
        <v>255</v>
      </c>
      <c r="B86" s="369" t="s">
        <v>10</v>
      </c>
      <c r="C86" s="422">
        <v>511</v>
      </c>
      <c r="D86" s="330">
        <f t="shared" si="3"/>
        <v>10.45</v>
      </c>
      <c r="E86" s="330"/>
      <c r="F86" s="330">
        <f>'STOK DETAY'!IL6</f>
        <v>10.45</v>
      </c>
      <c r="G86" s="330"/>
      <c r="H86" s="330"/>
      <c r="I86" s="330"/>
      <c r="J86" s="330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8" t="s">
        <v>244</v>
      </c>
      <c r="B87" s="369" t="s">
        <v>10</v>
      </c>
      <c r="C87" s="422">
        <v>101</v>
      </c>
      <c r="D87" s="330">
        <f t="shared" si="3"/>
        <v>0</v>
      </c>
      <c r="E87" s="330">
        <f>'STOK DETAY'!IM6</f>
        <v>0</v>
      </c>
      <c r="F87" s="330"/>
      <c r="G87" s="330"/>
      <c r="H87" s="330"/>
      <c r="I87" s="330"/>
      <c r="J87" s="330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8" t="s">
        <v>257</v>
      </c>
      <c r="B88" s="369" t="s">
        <v>10</v>
      </c>
      <c r="C88" s="422">
        <v>101</v>
      </c>
      <c r="D88" s="330">
        <f t="shared" si="3"/>
        <v>457.2</v>
      </c>
      <c r="E88" s="330">
        <f>'STOK DETAY'!IN6</f>
        <v>0</v>
      </c>
      <c r="F88" s="330"/>
      <c r="G88" s="330"/>
      <c r="H88" s="330"/>
      <c r="I88" s="330"/>
      <c r="J88" s="330">
        <f>'STOK DETAY'!IO6</f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8" t="s">
        <v>263</v>
      </c>
      <c r="B89" s="369" t="s">
        <v>10</v>
      </c>
      <c r="C89" s="422">
        <v>511</v>
      </c>
      <c r="D89" s="330">
        <f t="shared" si="3"/>
        <v>2.5</v>
      </c>
      <c r="E89" s="330"/>
      <c r="F89" s="330">
        <f>'STOK DETAY'!IP6</f>
        <v>2.5</v>
      </c>
      <c r="G89" s="330"/>
      <c r="H89" s="330"/>
      <c r="I89" s="330"/>
      <c r="J89" s="330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8" t="s">
        <v>267</v>
      </c>
      <c r="B90" s="369" t="s">
        <v>10</v>
      </c>
      <c r="C90" s="422">
        <v>511</v>
      </c>
      <c r="D90" s="330">
        <f t="shared" si="3"/>
        <v>14.7</v>
      </c>
      <c r="E90" s="330"/>
      <c r="F90" s="330">
        <f>'STOK DETAY'!IQ6</f>
        <v>14.7</v>
      </c>
      <c r="G90" s="330"/>
      <c r="H90" s="330"/>
      <c r="I90" s="330"/>
      <c r="J90" s="330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8" t="s">
        <v>269</v>
      </c>
      <c r="B91" s="369" t="s">
        <v>10</v>
      </c>
      <c r="C91" s="422">
        <v>511</v>
      </c>
      <c r="D91" s="330">
        <f t="shared" si="3"/>
        <v>2.85</v>
      </c>
      <c r="E91" s="330"/>
      <c r="F91" s="330">
        <f>'STOK DETAY'!IR6</f>
        <v>2.85</v>
      </c>
      <c r="G91" s="330"/>
      <c r="H91" s="330"/>
      <c r="I91" s="330"/>
      <c r="J91" s="330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8" t="s">
        <v>271</v>
      </c>
      <c r="B92" s="369" t="s">
        <v>10</v>
      </c>
      <c r="C92" s="422">
        <v>511</v>
      </c>
      <c r="D92" s="330">
        <f t="shared" si="3"/>
        <v>6.83</v>
      </c>
      <c r="E92" s="330"/>
      <c r="F92" s="330">
        <f>'STOK DETAY'!IS6</f>
        <v>6.83</v>
      </c>
      <c r="G92" s="330"/>
      <c r="H92" s="330"/>
      <c r="I92" s="330"/>
      <c r="J92" s="330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8" t="s">
        <v>275</v>
      </c>
      <c r="B93" s="369" t="s">
        <v>10</v>
      </c>
      <c r="C93" s="422">
        <v>511</v>
      </c>
      <c r="D93" s="330">
        <f t="shared" si="3"/>
        <v>9.2200000000000006</v>
      </c>
      <c r="E93" s="330"/>
      <c r="F93" s="330">
        <f>'STOK DETAY'!IT6</f>
        <v>9.2200000000000006</v>
      </c>
      <c r="G93" s="330"/>
      <c r="H93" s="330"/>
      <c r="I93" s="330"/>
      <c r="J93" s="330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8" t="s">
        <v>276</v>
      </c>
      <c r="B94" s="369" t="s">
        <v>10</v>
      </c>
      <c r="C94" s="422">
        <v>511</v>
      </c>
      <c r="D94" s="330">
        <f t="shared" si="3"/>
        <v>18.5</v>
      </c>
      <c r="E94" s="330"/>
      <c r="F94" s="330">
        <f>'STOK DETAY'!IU6</f>
        <v>18.5</v>
      </c>
      <c r="G94" s="330"/>
      <c r="H94" s="330"/>
      <c r="I94" s="330"/>
      <c r="J94" s="330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8" t="s">
        <v>277</v>
      </c>
      <c r="B95" s="369" t="s">
        <v>10</v>
      </c>
      <c r="C95" s="422">
        <v>511</v>
      </c>
      <c r="D95" s="330">
        <f>SUM(E95:J95)</f>
        <v>64.48</v>
      </c>
      <c r="E95" s="330"/>
      <c r="F95" s="330">
        <f>'STOK DETAY'!IV6</f>
        <v>64.48</v>
      </c>
      <c r="G95" s="330"/>
      <c r="H95" s="330"/>
      <c r="I95" s="330"/>
      <c r="J95" s="330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8" t="s">
        <v>288</v>
      </c>
      <c r="B96" s="369" t="s">
        <v>10</v>
      </c>
      <c r="C96" s="422">
        <v>511</v>
      </c>
      <c r="D96" s="330">
        <f>SUM(E96:J96)</f>
        <v>52.36</v>
      </c>
      <c r="E96" s="330"/>
      <c r="F96" s="330">
        <f>'STOK DETAY'!IW6</f>
        <v>52.36</v>
      </c>
      <c r="G96" s="330"/>
      <c r="H96" s="330"/>
      <c r="I96" s="330"/>
      <c r="J96" s="330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6"/>
      <c r="H110" s="167"/>
      <c r="I110" s="167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E95:J96 E2:J82">
    <cfRule type="cellIs" dxfId="2" priority="3" operator="equal">
      <formula>0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2026-02-25T06:23:43Z</dcterms:modified>
</cp:coreProperties>
</file>