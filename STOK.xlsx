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525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/>
</workbook>
</file>

<file path=xl/calcChain.xml><?xml version="1.0" encoding="utf-8"?>
<calcChain xmlns="http://schemas.openxmlformats.org/spreadsheetml/2006/main">
  <c r="G76" i="22" l="1"/>
  <c r="J76" i="22" s="1"/>
  <c r="G75" i="22"/>
  <c r="J75" i="22" s="1"/>
  <c r="G74" i="22"/>
  <c r="J74" i="22" s="1"/>
  <c r="G73" i="22"/>
  <c r="J73" i="22" s="1"/>
  <c r="G72" i="22"/>
  <c r="J72" i="22" s="1"/>
  <c r="G71" i="22"/>
  <c r="J71" i="22" s="1"/>
  <c r="G70" i="22"/>
  <c r="J70" i="22" s="1"/>
  <c r="F69" i="22"/>
  <c r="E69" i="22"/>
  <c r="F68" i="22"/>
  <c r="G67" i="22"/>
  <c r="J67" i="22" s="1"/>
  <c r="G66" i="22"/>
  <c r="J66" i="22" s="1"/>
  <c r="G65" i="22"/>
  <c r="D64" i="22"/>
  <c r="J64" i="22" s="1"/>
  <c r="F63" i="22"/>
  <c r="J63" i="22" s="1"/>
  <c r="D62" i="22"/>
  <c r="J62" i="22" s="1"/>
  <c r="F61" i="22"/>
  <c r="J61" i="22" s="1"/>
  <c r="D60" i="22"/>
  <c r="J60" i="22" s="1"/>
  <c r="D59" i="22"/>
  <c r="J59" i="22" s="1"/>
  <c r="D58" i="22"/>
  <c r="J58" i="22" s="1"/>
  <c r="D57" i="22"/>
  <c r="J57" i="22" s="1"/>
  <c r="E56" i="22"/>
  <c r="D56" i="22"/>
  <c r="J56" i="22" s="1"/>
  <c r="D55" i="22"/>
  <c r="J55" i="22"/>
  <c r="F54" i="22"/>
  <c r="D54" i="22"/>
  <c r="J54" i="22" s="1"/>
  <c r="F53" i="22"/>
  <c r="E52" i="22"/>
  <c r="D52" i="22"/>
  <c r="J52" i="22"/>
  <c r="D51" i="22"/>
  <c r="J51" i="22"/>
  <c r="D50" i="22"/>
  <c r="J50" i="22" s="1"/>
  <c r="D49" i="22"/>
  <c r="J49" i="22" s="1"/>
  <c r="H48" i="22"/>
  <c r="J48" i="22"/>
  <c r="H47" i="22"/>
  <c r="J47" i="22"/>
  <c r="F46" i="22"/>
  <c r="J46" i="22"/>
  <c r="H45" i="22"/>
  <c r="J45" i="22" s="1"/>
  <c r="J44" i="22"/>
  <c r="H43" i="22"/>
  <c r="J43" i="22" s="1"/>
  <c r="D42" i="22"/>
  <c r="J42" i="22" s="1"/>
  <c r="D41" i="22"/>
  <c r="J41" i="22" s="1"/>
  <c r="H40" i="22"/>
  <c r="J40" i="22" s="1"/>
  <c r="D39" i="22"/>
  <c r="J39" i="22" s="1"/>
  <c r="H38" i="22"/>
  <c r="J38" i="22" s="1"/>
  <c r="J37" i="22"/>
  <c r="H36" i="22"/>
  <c r="D36" i="22"/>
  <c r="H35" i="22"/>
  <c r="D35" i="22"/>
  <c r="I34" i="22"/>
  <c r="H34" i="22"/>
  <c r="D34" i="22"/>
  <c r="J34" i="22" s="1"/>
  <c r="E33" i="22"/>
  <c r="D33" i="22"/>
  <c r="E32" i="22"/>
  <c r="D32" i="22"/>
  <c r="G31" i="22"/>
  <c r="E31" i="22"/>
  <c r="D31" i="22"/>
  <c r="E30" i="22"/>
  <c r="D30" i="22"/>
  <c r="E29" i="22"/>
  <c r="D29" i="22"/>
  <c r="E28" i="22"/>
  <c r="D28" i="22"/>
  <c r="E27" i="22"/>
  <c r="D27" i="22"/>
  <c r="E26" i="22"/>
  <c r="D26" i="22"/>
  <c r="J26" i="22" s="1"/>
  <c r="E25" i="22"/>
  <c r="D25" i="22"/>
  <c r="E24" i="22"/>
  <c r="D24" i="22"/>
  <c r="J24" i="22" s="1"/>
  <c r="E23" i="22"/>
  <c r="D23" i="22"/>
  <c r="E22" i="22"/>
  <c r="D22" i="22"/>
  <c r="E21" i="22"/>
  <c r="D21" i="22"/>
  <c r="J21" i="22" s="1"/>
  <c r="E20" i="22"/>
  <c r="D20" i="22"/>
  <c r="J20" i="22" s="1"/>
  <c r="E19" i="22"/>
  <c r="D19" i="22"/>
  <c r="J19" i="22" s="1"/>
  <c r="D18" i="22"/>
  <c r="J18" i="22" s="1"/>
  <c r="D17" i="22"/>
  <c r="J17" i="22" s="1"/>
  <c r="D16" i="22"/>
  <c r="J16" i="22" s="1"/>
  <c r="D15" i="22"/>
  <c r="J15" i="22" s="1"/>
  <c r="D14" i="22"/>
  <c r="J14" i="22" s="1"/>
  <c r="D13" i="22"/>
  <c r="J13" i="22" s="1"/>
  <c r="D12" i="22"/>
  <c r="J12" i="22" s="1"/>
  <c r="D11" i="22"/>
  <c r="J11" i="22" s="1"/>
  <c r="D10" i="22"/>
  <c r="J10" i="22" s="1"/>
  <c r="D9" i="22"/>
  <c r="J9" i="22" s="1"/>
  <c r="D8" i="22"/>
  <c r="J8" i="22" s="1"/>
  <c r="D7" i="22"/>
  <c r="J7" i="22" s="1"/>
  <c r="D6" i="22"/>
  <c r="J6" i="22"/>
  <c r="E5" i="22"/>
  <c r="J5" i="22" s="1"/>
  <c r="E4" i="22"/>
  <c r="J4" i="22" s="1"/>
  <c r="E3" i="22"/>
  <c r="J3" i="22" s="1"/>
  <c r="E2" i="22"/>
  <c r="J2" i="22" s="1"/>
  <c r="H76" i="12"/>
  <c r="J27" i="22" l="1"/>
  <c r="J29" i="22"/>
  <c r="J28" i="22"/>
  <c r="J30" i="22"/>
  <c r="J32" i="22"/>
  <c r="J33" i="22"/>
  <c r="J35" i="22"/>
  <c r="J36" i="22"/>
  <c r="J65" i="22"/>
  <c r="J68" i="22"/>
  <c r="J31" i="22"/>
  <c r="J22" i="22"/>
  <c r="J23" i="22"/>
  <c r="J25" i="22"/>
  <c r="J69" i="22"/>
  <c r="J53" i="22"/>
  <c r="AR6" i="13"/>
  <c r="L6" i="13"/>
  <c r="F13" i="12" s="1"/>
  <c r="C8" i="13" l="1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I6" i="13" l="1"/>
  <c r="F10" i="12" l="1"/>
  <c r="E10" i="12" s="1"/>
  <c r="CQ6" i="13" l="1"/>
  <c r="I70" i="12" l="1"/>
  <c r="J70" i="12"/>
  <c r="CK6" i="13"/>
  <c r="F69" i="12" s="1"/>
  <c r="J84" i="12" l="1"/>
  <c r="K84" i="12"/>
  <c r="CL6" i="13" l="1"/>
  <c r="CM6" i="13"/>
  <c r="CN6" i="13"/>
  <c r="CO6" i="13"/>
  <c r="CP6" i="13"/>
  <c r="CR6" i="13"/>
  <c r="CS6" i="13"/>
  <c r="CT6" i="13"/>
  <c r="CU6" i="13"/>
  <c r="CV6" i="13"/>
  <c r="CW6" i="13"/>
  <c r="CX6" i="13"/>
  <c r="I83" i="12" l="1"/>
  <c r="I81" i="12"/>
  <c r="E81" i="12" s="1"/>
  <c r="I79" i="12"/>
  <c r="E79" i="12" s="1"/>
  <c r="I77" i="12"/>
  <c r="E77" i="12" s="1"/>
  <c r="H75" i="12"/>
  <c r="H84" i="12" s="1"/>
  <c r="I73" i="12"/>
  <c r="E73" i="12" s="1"/>
  <c r="I82" i="12"/>
  <c r="E82" i="12" s="1"/>
  <c r="I80" i="12"/>
  <c r="E80" i="12" s="1"/>
  <c r="I78" i="12"/>
  <c r="E78" i="12" s="1"/>
  <c r="G76" i="12"/>
  <c r="E76" i="12" s="1"/>
  <c r="I74" i="12"/>
  <c r="E74" i="12" s="1"/>
  <c r="I72" i="12"/>
  <c r="E75" i="12"/>
  <c r="E72" i="12"/>
  <c r="I84" i="12" l="1"/>
  <c r="F84" i="12"/>
  <c r="G84" i="12"/>
  <c r="E84" i="12" l="1"/>
  <c r="AW6" i="13"/>
  <c r="G35" i="12" s="1"/>
  <c r="AY6" i="13"/>
  <c r="G36" i="12" s="1"/>
  <c r="BP6" i="13" l="1"/>
  <c r="H49" i="12" s="1"/>
  <c r="R6" i="13" l="1"/>
  <c r="F19" i="12" s="1"/>
  <c r="BX6" i="13"/>
  <c r="H58" i="12" s="1"/>
  <c r="C6" i="21"/>
  <c r="E19" i="12" l="1"/>
  <c r="BQ6" i="13" l="1"/>
  <c r="J50" i="12" s="1"/>
  <c r="BJ6" i="13"/>
  <c r="J43" i="12" s="1"/>
  <c r="BM6" i="13" l="1"/>
  <c r="J46" i="12" s="1"/>
  <c r="E50" i="12" l="1"/>
  <c r="E49" i="12"/>
  <c r="BA6" i="13" l="1"/>
  <c r="J37" i="12" s="1"/>
  <c r="F7" i="12" l="1"/>
  <c r="AF6" i="13" l="1"/>
  <c r="G27" i="12" s="1"/>
  <c r="BR6" i="13" l="1"/>
  <c r="J51" i="12" s="1"/>
  <c r="BO6" i="13"/>
  <c r="J48" i="12" s="1"/>
  <c r="E48" i="12" s="1"/>
  <c r="BH6" i="13" l="1"/>
  <c r="J41" i="12" s="1"/>
  <c r="E41" i="12" l="1"/>
  <c r="H7" i="12" l="1"/>
  <c r="I7" i="12"/>
  <c r="J7" i="12"/>
  <c r="BF6" i="13" l="1"/>
  <c r="J39" i="12" s="1"/>
  <c r="BD6" i="13"/>
  <c r="J38" i="12" s="1"/>
  <c r="BB6" i="13"/>
  <c r="K37" i="12" s="1"/>
  <c r="AP6" i="13" l="1"/>
  <c r="G32" i="12" s="1"/>
  <c r="G6" i="13" l="1"/>
  <c r="G6" i="12" l="1"/>
  <c r="E6" i="12" l="1"/>
  <c r="BK6" i="13"/>
  <c r="F44" i="12" s="1"/>
  <c r="BN6" i="13" l="1"/>
  <c r="BY6" i="13" l="1"/>
  <c r="F59" i="12" s="1"/>
  <c r="BW6" i="13" l="1"/>
  <c r="G57" i="12" s="1"/>
  <c r="BE6" i="13" l="1"/>
  <c r="F39" i="12" s="1"/>
  <c r="CC6" i="13" l="1"/>
  <c r="G61" i="12" s="1"/>
  <c r="K70" i="12" l="1"/>
  <c r="CD6" i="13" l="1"/>
  <c r="F62" i="12" s="1"/>
  <c r="BS6" i="13" l="1"/>
  <c r="F54" i="12" s="1"/>
  <c r="BT6" i="13"/>
  <c r="F55" i="12" s="1"/>
  <c r="F6" i="13" l="1"/>
  <c r="G5" i="12" l="1"/>
  <c r="E5" i="12" l="1"/>
  <c r="BL6" i="13" l="1"/>
  <c r="F45" i="12" s="1"/>
  <c r="E45" i="12" s="1"/>
  <c r="CB6" i="13" l="1"/>
  <c r="F61" i="12" s="1"/>
  <c r="E61" i="12" l="1"/>
  <c r="J6" i="13"/>
  <c r="F11" i="12" s="1"/>
  <c r="H6" i="13"/>
  <c r="F9" i="12" s="1"/>
  <c r="E11" i="12" l="1"/>
  <c r="E9" i="12" l="1"/>
  <c r="Q6" i="13" l="1"/>
  <c r="F18" i="12" s="1"/>
  <c r="AZ6" i="13" l="1"/>
  <c r="F37" i="12" s="1"/>
  <c r="CA6" i="13"/>
  <c r="F60" i="12" s="1"/>
  <c r="CE6" i="13"/>
  <c r="F63" i="12" s="1"/>
  <c r="E63" i="12" l="1"/>
  <c r="P6" i="13"/>
  <c r="F17" i="12" s="1"/>
  <c r="O6" i="13"/>
  <c r="F16" i="12" s="1"/>
  <c r="AX6" i="13" l="1"/>
  <c r="F36" i="12" s="1"/>
  <c r="BV6" i="13" l="1"/>
  <c r="F57" i="12" s="1"/>
  <c r="AO6" i="13" l="1"/>
  <c r="F32" i="12" s="1"/>
  <c r="BG6" i="13" l="1"/>
  <c r="BI6" i="13"/>
  <c r="F42" i="12" s="1"/>
  <c r="AU6" i="13" l="1"/>
  <c r="I34" i="12" s="1"/>
  <c r="AQ6" i="13"/>
  <c r="F33" i="12" s="1"/>
  <c r="CI6" i="13" l="1"/>
  <c r="F67" i="12" l="1"/>
  <c r="E67" i="12" s="1"/>
  <c r="T6" i="13" l="1"/>
  <c r="F21" i="12" s="1"/>
  <c r="BU6" i="13"/>
  <c r="F56" i="12" s="1"/>
  <c r="E56" i="12" s="1"/>
  <c r="M6" i="13"/>
  <c r="F14" i="12" s="1"/>
  <c r="BC6" i="13"/>
  <c r="F38" i="12" s="1"/>
  <c r="S6" i="13"/>
  <c r="F20" i="12" s="1"/>
  <c r="AV6" i="13"/>
  <c r="F35" i="12" s="1"/>
  <c r="N6" i="13"/>
  <c r="F15" i="12" s="1"/>
  <c r="D6" i="13" l="1"/>
  <c r="E6" i="13"/>
  <c r="G3" i="12" l="1"/>
  <c r="E3" i="12" s="1"/>
  <c r="G4" i="12"/>
  <c r="E14" i="12"/>
  <c r="G7" i="12" l="1"/>
  <c r="E4" i="12"/>
  <c r="K7" i="12"/>
  <c r="E7" i="12" l="1"/>
  <c r="AM6" i="13" l="1"/>
  <c r="F31" i="12" s="1"/>
  <c r="AK6" i="13"/>
  <c r="F30" i="12" s="1"/>
  <c r="AG6" i="13"/>
  <c r="F28" i="12" s="1"/>
  <c r="AE6" i="13"/>
  <c r="F27" i="12" s="1"/>
  <c r="AC6" i="13"/>
  <c r="F26" i="12" s="1"/>
  <c r="AA6" i="13"/>
  <c r="F25" i="12" s="1"/>
  <c r="Y6" i="13"/>
  <c r="F24" i="12" s="1"/>
  <c r="W6" i="13"/>
  <c r="F23" i="12" s="1"/>
  <c r="U6" i="13"/>
  <c r="F22" i="12" s="1"/>
  <c r="E58" i="12" l="1"/>
  <c r="E55" i="12" l="1"/>
  <c r="CJ6" i="13"/>
  <c r="H68" i="12" s="1"/>
  <c r="CH6" i="13"/>
  <c r="H66" i="12" s="1"/>
  <c r="CG6" i="13"/>
  <c r="F65" i="12" s="1"/>
  <c r="CF6" i="13"/>
  <c r="F64" i="12" s="1"/>
  <c r="BZ6" i="13"/>
  <c r="H59" i="12" s="1"/>
  <c r="E42" i="12"/>
  <c r="AT6" i="13"/>
  <c r="G34" i="12" s="1"/>
  <c r="AS6" i="13"/>
  <c r="AN6" i="13"/>
  <c r="G31" i="12" s="1"/>
  <c r="AL6" i="13"/>
  <c r="G30" i="12" s="1"/>
  <c r="AJ6" i="13"/>
  <c r="G29" i="12" s="1"/>
  <c r="AI6" i="13"/>
  <c r="F29" i="12" s="1"/>
  <c r="AH6" i="13"/>
  <c r="G28" i="12" s="1"/>
  <c r="AD6" i="13"/>
  <c r="G26" i="12" s="1"/>
  <c r="AB6" i="13"/>
  <c r="G25" i="12" s="1"/>
  <c r="Z6" i="13"/>
  <c r="G24" i="12" s="1"/>
  <c r="X6" i="13"/>
  <c r="G23" i="12" s="1"/>
  <c r="V6" i="13"/>
  <c r="G22" i="12" s="1"/>
  <c r="K6" i="13"/>
  <c r="F12" i="12" s="1"/>
  <c r="G70" i="12" l="1"/>
  <c r="E59" i="12"/>
  <c r="G33" i="12"/>
  <c r="F34" i="12"/>
  <c r="E54" i="12"/>
  <c r="E16" i="12"/>
  <c r="E40" i="12"/>
  <c r="E43" i="12"/>
  <c r="E46" i="12"/>
  <c r="E60" i="12"/>
  <c r="E64" i="12"/>
  <c r="E66" i="12"/>
  <c r="E69" i="12"/>
  <c r="H52" i="12"/>
  <c r="E44" i="12"/>
  <c r="E47" i="12"/>
  <c r="E62" i="12"/>
  <c r="E65" i="12"/>
  <c r="E15" i="12"/>
  <c r="E68" i="12"/>
  <c r="H70" i="12" l="1"/>
  <c r="H85" i="12" s="1"/>
  <c r="F52" i="12"/>
  <c r="E12" i="12"/>
  <c r="K52" i="12"/>
  <c r="K85" i="12" s="1"/>
  <c r="I52" i="12"/>
  <c r="I85" i="12" s="1"/>
  <c r="J52" i="12"/>
  <c r="J85" i="12" s="1"/>
  <c r="E20" i="12"/>
  <c r="E13" i="12"/>
  <c r="E37" i="12"/>
  <c r="E39" i="12"/>
  <c r="E38" i="12"/>
  <c r="E24" i="12"/>
  <c r="E51" i="12"/>
  <c r="E26" i="12"/>
  <c r="E18" i="12"/>
  <c r="E28" i="12"/>
  <c r="E22" i="12"/>
  <c r="E32" i="12"/>
  <c r="E34" i="12"/>
  <c r="E17" i="12"/>
  <c r="E35" i="12"/>
  <c r="E36" i="12"/>
  <c r="E31" i="12"/>
  <c r="E30" i="12"/>
  <c r="E29" i="12"/>
  <c r="E25" i="12"/>
  <c r="E23" i="12"/>
  <c r="E21" i="12"/>
  <c r="E27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83" i="12" l="1"/>
  <c r="E57" i="12" l="1"/>
  <c r="F70" i="12"/>
  <c r="E70" i="12" s="1"/>
  <c r="F85" i="12" l="1"/>
  <c r="C6" i="13" l="1"/>
  <c r="G52" i="12"/>
  <c r="E52" i="12" l="1"/>
  <c r="G85" i="12"/>
  <c r="E85" i="12" s="1"/>
  <c r="E33" i="12"/>
</calcChain>
</file>

<file path=xl/sharedStrings.xml><?xml version="1.0" encoding="utf-8"?>
<sst xmlns="http://schemas.openxmlformats.org/spreadsheetml/2006/main" count="636" uniqueCount="83">
  <si>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</si>
  <si>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</si>
  <si>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</si>
  <si>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</si>
  <si>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</si>
  <si>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</si>
  <si>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</si>
  <si>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</si>
  <si>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</si>
  <si>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</si>
  <si>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</si>
  <si>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</si>
  <si>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LHI</t>
  </si>
  <si>
    <t>DEVİR</t>
  </si>
  <si>
    <t>HCO</t>
  </si>
  <si>
    <t>STOK</t>
  </si>
  <si>
    <t>ERİKOĞLU</t>
  </si>
  <si>
    <t>EMTEL</t>
  </si>
  <si>
    <t>ÇIPLAK TEL</t>
  </si>
  <si>
    <t>LHO</t>
  </si>
  <si>
    <t>K200</t>
  </si>
  <si>
    <t>HCI</t>
  </si>
  <si>
    <t>MARKA</t>
  </si>
  <si>
    <t>MAKARA</t>
  </si>
  <si>
    <t>CİNSİ</t>
  </si>
  <si>
    <t>ÇAP</t>
  </si>
  <si>
    <t>CARİ</t>
  </si>
  <si>
    <t>RAF NO</t>
  </si>
  <si>
    <t>ALM</t>
  </si>
  <si>
    <t>A315</t>
  </si>
  <si>
    <t>0,40</t>
  </si>
  <si>
    <t>0,50</t>
  </si>
  <si>
    <t>0,60</t>
  </si>
  <si>
    <t>2,60</t>
  </si>
  <si>
    <t>0,10</t>
  </si>
  <si>
    <t>TEL</t>
  </si>
  <si>
    <t>CİNS</t>
  </si>
  <si>
    <t>0,15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</si>
  <si>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</si>
  <si>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</si>
  <si>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</si>
  <si>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</si>
  <si>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</si>
  <si>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</si>
  <si>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</si>
  <si>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</si>
  <si>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</si>
  <si>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</si>
  <si>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</si>
  <si>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</si>
  <si>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</si>
  <si>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</si>
  <si>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</si>
  <si>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</si>
  <si>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</si>
  <si>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</si>
  <si>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</si>
  <si>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</si>
  <si>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</si>
  <si>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</si>
  <si>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</si>
  <si>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</si>
  <si>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</si>
  <si>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</si>
  <si>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</si>
  <si>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</si>
  <si>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1,85</t>
  </si>
  <si>
    <t>1,90</t>
  </si>
  <si>
    <t>2,00</t>
  </si>
  <si>
    <t>2,20</t>
  </si>
  <si>
    <t>2,50</t>
  </si>
  <si>
    <t>2,70</t>
  </si>
  <si>
    <t>3,00</t>
  </si>
  <si>
    <t>3,20</t>
  </si>
  <si>
    <t>0,08</t>
  </si>
  <si>
    <t>0,18</t>
  </si>
  <si>
    <t>0,14</t>
  </si>
  <si>
    <t>0,23</t>
  </si>
  <si>
    <t>0,32</t>
  </si>
  <si>
    <t>0,38</t>
  </si>
  <si>
    <t>1,60</t>
  </si>
  <si>
    <t>1,70</t>
  </si>
  <si>
    <t>3,50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</si>
</sst>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2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8" fillId="8" borderId="0" applyNumberFormat="0" applyBorder="0" applyAlignment="0" applyProtection="0"/>
  </cellStyleXfs>
  <cellXfs count="296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166" fontId="13" fillId="0" borderId="25" xfId="0" applyNumberFormat="1" applyFont="1" applyFill="1" applyBorder="1" applyAlignment="1">
      <alignment horizontal="center" vertical="center"/>
    </xf>
    <xf numFmtId="0" fontId="0" fillId="0" borderId="24" xfId="0" applyNumberFormat="1" applyFont="1" applyBorder="1" applyAlignment="1">
      <alignment horizontal="center"/>
    </xf>
    <xf numFmtId="2" fontId="0" fillId="0" borderId="24" xfId="0" applyNumberFormat="1" applyFont="1" applyBorder="1" applyAlignment="1">
      <alignment horizontal="center"/>
    </xf>
    <xf numFmtId="165" fontId="0" fillId="0" borderId="24" xfId="0" applyNumberFormat="1" applyFont="1" applyBorder="1" applyAlignment="1">
      <alignment horizontal="center"/>
    </xf>
    <xf numFmtId="166" fontId="0" fillId="0" borderId="25" xfId="0" applyNumberFormat="1" applyFont="1" applyBorder="1" applyAlignment="1">
      <alignment horizontal="center"/>
    </xf>
    <xf numFmtId="0" fontId="9" fillId="6" borderId="24" xfId="4" applyNumberFormat="1" applyBorder="1" applyAlignment="1">
      <alignment horizontal="center" vertical="center"/>
    </xf>
    <xf numFmtId="2" fontId="9" fillId="6" borderId="24" xfId="4" applyNumberFormat="1" applyBorder="1" applyAlignment="1">
      <alignment horizontal="center" vertical="center"/>
    </xf>
    <xf numFmtId="165" fontId="9" fillId="6" borderId="24" xfId="4" applyNumberFormat="1" applyBorder="1" applyAlignment="1">
      <alignment horizontal="center" vertical="center"/>
    </xf>
    <xf numFmtId="165" fontId="9" fillId="6" borderId="24" xfId="4" applyNumberFormat="1" applyBorder="1" applyAlignment="1">
      <alignment horizontal="center"/>
    </xf>
    <xf numFmtId="0" fontId="13" fillId="0" borderId="41" xfId="0" applyNumberFormat="1" applyFont="1" applyFill="1" applyBorder="1" applyAlignment="1">
      <alignment horizontal="center" vertical="center"/>
    </xf>
    <xf numFmtId="166" fontId="13" fillId="0" borderId="34" xfId="0" applyNumberFormat="1" applyFont="1" applyFill="1" applyBorder="1" applyAlignment="1">
      <alignment horizontal="center" vertical="center"/>
    </xf>
    <xf numFmtId="165" fontId="9" fillId="6" borderId="41" xfId="4" applyNumberFormat="1" applyBorder="1" applyAlignment="1">
      <alignment horizontal="center" vertical="center"/>
    </xf>
    <xf numFmtId="165" fontId="0" fillId="0" borderId="41" xfId="0" applyNumberFormat="1" applyFont="1" applyBorder="1" applyAlignment="1">
      <alignment horizontal="center"/>
    </xf>
    <xf numFmtId="0" fontId="9" fillId="4" borderId="33" xfId="2" applyNumberFormat="1" applyBorder="1" applyAlignment="1">
      <alignment horizontal="center" vertical="center"/>
    </xf>
    <xf numFmtId="2" fontId="9" fillId="4" borderId="33" xfId="2" applyNumberFormat="1" applyBorder="1" applyAlignment="1">
      <alignment horizontal="center" vertical="center"/>
    </xf>
    <xf numFmtId="165" fontId="9" fillId="4" borderId="33" xfId="2" applyNumberFormat="1" applyBorder="1" applyAlignment="1">
      <alignment horizontal="center" vertical="center"/>
    </xf>
    <xf numFmtId="165" fontId="9" fillId="4" borderId="35" xfId="2" applyNumberFormat="1" applyBorder="1" applyAlignment="1">
      <alignment horizontal="center" vertical="center"/>
    </xf>
    <xf numFmtId="165" fontId="9" fillId="4" borderId="33" xfId="2" applyNumberFormat="1" applyBorder="1" applyAlignment="1">
      <alignment horizontal="center"/>
    </xf>
    <xf numFmtId="0" fontId="9" fillId="4" borderId="37" xfId="2" applyNumberFormat="1" applyBorder="1" applyAlignment="1">
      <alignment horizontal="center" vertical="center"/>
    </xf>
    <xf numFmtId="2" fontId="9" fillId="4" borderId="37" xfId="2" applyNumberFormat="1" applyBorder="1" applyAlignment="1">
      <alignment horizontal="center" vertical="center"/>
    </xf>
    <xf numFmtId="165" fontId="9" fillId="4" borderId="37" xfId="2" applyNumberFormat="1" applyBorder="1" applyAlignment="1">
      <alignment horizontal="center" vertical="center"/>
    </xf>
    <xf numFmtId="165" fontId="9" fillId="4" borderId="38" xfId="2" applyNumberFormat="1" applyBorder="1" applyAlignment="1">
      <alignment horizontal="center" vertical="center"/>
    </xf>
    <xf numFmtId="165" fontId="9" fillId="4" borderId="37" xfId="2" applyNumberFormat="1" applyBorder="1" applyAlignment="1">
      <alignment horizontal="center"/>
    </xf>
    <xf numFmtId="0" fontId="9" fillId="4" borderId="24" xfId="2" applyNumberFormat="1" applyBorder="1" applyAlignment="1">
      <alignment horizontal="center" vertical="center"/>
    </xf>
    <xf numFmtId="2" fontId="9" fillId="4" borderId="24" xfId="2" applyNumberFormat="1" applyBorder="1" applyAlignment="1">
      <alignment horizontal="center" vertical="center"/>
    </xf>
    <xf numFmtId="165" fontId="9" fillId="4" borderId="24" xfId="2" applyNumberFormat="1" applyBorder="1" applyAlignment="1">
      <alignment horizontal="center" vertical="center"/>
    </xf>
    <xf numFmtId="165" fontId="9" fillId="4" borderId="41" xfId="2" applyNumberFormat="1" applyBorder="1" applyAlignment="1">
      <alignment horizontal="center" vertical="center"/>
    </xf>
    <xf numFmtId="165" fontId="9" fillId="4" borderId="24" xfId="2" applyNumberFormat="1" applyBorder="1" applyAlignment="1">
      <alignment horizontal="center"/>
    </xf>
    <xf numFmtId="0" fontId="7" fillId="4" borderId="24" xfId="2" applyNumberFormat="1" applyFont="1" applyBorder="1" applyAlignment="1">
      <alignment horizontal="center" vertical="center"/>
    </xf>
    <xf numFmtId="0" fontId="6" fillId="4" borderId="24" xfId="2" applyNumberFormat="1" applyFont="1" applyBorder="1" applyAlignment="1">
      <alignment horizontal="center" vertical="center"/>
    </xf>
    <xf numFmtId="0" fontId="15" fillId="0" borderId="24" xfId="0" applyNumberFormat="1" applyFont="1" applyBorder="1" applyAlignment="1"/>
    <xf numFmtId="0" fontId="18" fillId="0" borderId="24" xfId="0" applyNumberFormat="1" applyFont="1" applyBorder="1" applyAlignment="1">
      <alignment horizontal="right" vertical="center"/>
    </xf>
    <xf numFmtId="167" fontId="0" fillId="0" borderId="24" xfId="0" applyNumberFormat="1" applyFont="1" applyBorder="1" applyAlignment="1">
      <alignment horizontal="center"/>
    </xf>
    <xf numFmtId="167" fontId="13" fillId="0" borderId="41" xfId="0" applyNumberFormat="1" applyFont="1" applyFill="1" applyBorder="1" applyAlignment="1">
      <alignment horizontal="center" vertical="center"/>
    </xf>
    <xf numFmtId="0" fontId="9" fillId="3" borderId="37" xfId="1" applyNumberFormat="1" applyBorder="1" applyAlignment="1">
      <alignment horizontal="center" vertical="center"/>
    </xf>
    <xf numFmtId="2" fontId="9" fillId="3" borderId="37" xfId="1" applyNumberFormat="1" applyBorder="1" applyAlignment="1">
      <alignment horizontal="center" vertical="center"/>
    </xf>
    <xf numFmtId="165" fontId="9" fillId="3" borderId="37" xfId="1" applyNumberFormat="1" applyBorder="1" applyAlignment="1">
      <alignment horizontal="center" vertical="center"/>
    </xf>
    <xf numFmtId="165" fontId="9" fillId="3" borderId="38" xfId="1" applyNumberFormat="1" applyBorder="1" applyAlignment="1">
      <alignment horizontal="center" vertical="center"/>
    </xf>
    <xf numFmtId="165" fontId="9" fillId="3" borderId="37" xfId="1" applyNumberFormat="1" applyBorder="1" applyAlignment="1">
      <alignment horizontal="center"/>
    </xf>
    <xf numFmtId="2" fontId="9" fillId="5" borderId="37" xfId="3" applyNumberFormat="1" applyBorder="1" applyAlignment="1">
      <alignment horizontal="center" vertical="center"/>
    </xf>
    <xf numFmtId="165" fontId="9" fillId="5" borderId="37" xfId="3" applyNumberFormat="1" applyBorder="1" applyAlignment="1">
      <alignment horizontal="center" vertical="center"/>
    </xf>
    <xf numFmtId="0" fontId="9" fillId="3" borderId="33" xfId="1" applyNumberFormat="1" applyBorder="1" applyAlignment="1">
      <alignment horizontal="center" vertical="center"/>
    </xf>
    <xf numFmtId="2" fontId="9" fillId="3" borderId="33" xfId="1" applyNumberFormat="1" applyBorder="1" applyAlignment="1">
      <alignment horizontal="center" vertical="center"/>
    </xf>
    <xf numFmtId="165" fontId="9" fillId="3" borderId="33" xfId="1" applyNumberFormat="1" applyBorder="1" applyAlignment="1">
      <alignment horizontal="center" vertical="center"/>
    </xf>
    <xf numFmtId="165" fontId="9" fillId="3" borderId="35" xfId="1" applyNumberFormat="1" applyBorder="1" applyAlignment="1">
      <alignment horizontal="center" vertical="center"/>
    </xf>
    <xf numFmtId="165" fontId="9" fillId="3" borderId="33" xfId="1" applyNumberFormat="1" applyBorder="1" applyAlignment="1">
      <alignment horizontal="center"/>
    </xf>
    <xf numFmtId="0" fontId="16" fillId="0" borderId="0" xfId="0" applyFont="1" applyFill="1" applyAlignment="1"/>
    <xf numFmtId="0" fontId="16" fillId="0" borderId="0" xfId="0" applyFont="1" applyFill="1" applyAlignment="1">
      <alignment horizontal="center" vertical="center"/>
    </xf>
    <xf numFmtId="165" fontId="16" fillId="0" borderId="0" xfId="0" applyNumberFormat="1" applyFont="1" applyFill="1" applyAlignment="1">
      <alignment horizontal="center" vertical="center"/>
    </xf>
    <xf numFmtId="2" fontId="9" fillId="3" borderId="24" xfId="1" applyNumberFormat="1" applyBorder="1" applyAlignment="1">
      <alignment horizontal="center" vertical="center"/>
    </xf>
    <xf numFmtId="165" fontId="9" fillId="3" borderId="24" xfId="1" applyNumberFormat="1" applyBorder="1" applyAlignment="1">
      <alignment horizontal="center" vertical="center"/>
    </xf>
    <xf numFmtId="165" fontId="9" fillId="3" borderId="24" xfId="1" applyNumberFormat="1" applyBorder="1" applyAlignment="1">
      <alignment horizontal="center"/>
    </xf>
    <xf numFmtId="0" fontId="5" fillId="3" borderId="24" xfId="1" applyNumberFormat="1" applyFont="1" applyBorder="1" applyAlignment="1">
      <alignment horizontal="center" vertical="center"/>
    </xf>
    <xf numFmtId="0" fontId="9" fillId="5" borderId="37" xfId="3" applyNumberFormat="1" applyBorder="1" applyAlignment="1">
      <alignment horizontal="center" vertical="center"/>
    </xf>
    <xf numFmtId="165" fontId="9" fillId="5" borderId="37" xfId="3" applyNumberFormat="1" applyBorder="1" applyAlignment="1">
      <alignment horizontal="center"/>
    </xf>
    <xf numFmtId="0" fontId="17" fillId="0" borderId="0" xfId="0" applyFont="1" applyFill="1" applyAlignment="1"/>
    <xf numFmtId="0" fontId="17" fillId="0" borderId="0" xfId="0" applyFont="1" applyFill="1" applyAlignment="1">
      <alignment horizontal="center" vertical="center"/>
    </xf>
    <xf numFmtId="0" fontId="9" fillId="3" borderId="24" xfId="1" applyNumberFormat="1" applyBorder="1" applyAlignment="1">
      <alignment horizontal="center" vertical="center"/>
    </xf>
    <xf numFmtId="165" fontId="9" fillId="3" borderId="41" xfId="1" applyNumberFormat="1" applyBorder="1" applyAlignment="1">
      <alignment horizontal="center" vertical="center"/>
    </xf>
    <xf numFmtId="0" fontId="13" fillId="0" borderId="44" xfId="0" applyNumberFormat="1" applyFont="1" applyFill="1" applyBorder="1" applyAlignment="1">
      <alignment horizontal="center" vertical="center"/>
    </xf>
    <xf numFmtId="166" fontId="13" fillId="0" borderId="44" xfId="0" applyNumberFormat="1" applyFont="1" applyFill="1" applyBorder="1" applyAlignment="1">
      <alignment horizontal="center" vertical="center"/>
    </xf>
    <xf numFmtId="165" fontId="9" fillId="5" borderId="63" xfId="3" applyNumberFormat="1" applyBorder="1" applyAlignment="1">
      <alignment horizontal="center" vertical="center"/>
    </xf>
    <xf numFmtId="165" fontId="9" fillId="4" borderId="44" xfId="2" applyNumberFormat="1" applyBorder="1" applyAlignment="1">
      <alignment horizontal="center" vertical="center"/>
    </xf>
    <xf numFmtId="165" fontId="9" fillId="4" borderId="63" xfId="2" applyNumberFormat="1" applyBorder="1" applyAlignment="1">
      <alignment horizontal="center" vertical="center"/>
    </xf>
    <xf numFmtId="165" fontId="9" fillId="4" borderId="64" xfId="2" applyNumberFormat="1" applyBorder="1" applyAlignment="1">
      <alignment horizontal="center" vertical="center"/>
    </xf>
    <xf numFmtId="165" fontId="9" fillId="3" borderId="64" xfId="1" applyNumberFormat="1" applyBorder="1" applyAlignment="1">
      <alignment horizontal="center" vertical="center"/>
    </xf>
    <xf numFmtId="165" fontId="9" fillId="3" borderId="63" xfId="1" applyNumberFormat="1" applyBorder="1" applyAlignment="1">
      <alignment horizontal="center" vertical="center"/>
    </xf>
    <xf numFmtId="165" fontId="9" fillId="3" borderId="44" xfId="1" applyNumberFormat="1" applyBorder="1" applyAlignment="1">
      <alignment horizontal="center" vertical="center"/>
    </xf>
    <xf numFmtId="165" fontId="9" fillId="6" borderId="44" xfId="4" applyNumberFormat="1" applyBorder="1" applyAlignment="1">
      <alignment horizontal="center" vertical="center"/>
    </xf>
    <xf numFmtId="165" fontId="0" fillId="0" borderId="44" xfId="0" applyNumberFormat="1" applyFont="1" applyBorder="1" applyAlignment="1">
      <alignment horizontal="center"/>
    </xf>
    <xf numFmtId="0" fontId="23" fillId="0" borderId="0" xfId="0" applyFont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2" fontId="23" fillId="2" borderId="24" xfId="0" applyNumberFormat="1" applyFont="1" applyFill="1" applyBorder="1" applyAlignment="1">
      <alignment horizontal="center" vertical="center"/>
    </xf>
    <xf numFmtId="164" fontId="23" fillId="2" borderId="24" xfId="0" applyNumberFormat="1" applyFont="1" applyFill="1" applyBorder="1" applyAlignment="1">
      <alignment horizontal="center" vertical="center"/>
    </xf>
    <xf numFmtId="0" fontId="8" fillId="8" borderId="62" xfId="6" applyNumberFormat="1" applyBorder="1" applyAlignment="1">
      <alignment horizontal="center" vertical="center"/>
    </xf>
    <xf numFmtId="0" fontId="8" fillId="8" borderId="24" xfId="6" applyNumberFormat="1" applyBorder="1" applyAlignment="1">
      <alignment horizontal="center" vertical="center"/>
    </xf>
    <xf numFmtId="2" fontId="8" fillId="8" borderId="36" xfId="6" applyNumberFormat="1" applyBorder="1" applyAlignment="1">
      <alignment horizontal="center" vertical="center"/>
    </xf>
    <xf numFmtId="2" fontId="8" fillId="8" borderId="24" xfId="6" applyNumberFormat="1" applyBorder="1" applyAlignment="1">
      <alignment horizontal="center" vertical="center"/>
    </xf>
    <xf numFmtId="165" fontId="8" fillId="8" borderId="36" xfId="6" applyNumberFormat="1" applyBorder="1" applyAlignment="1">
      <alignment horizontal="center" vertical="center"/>
    </xf>
    <xf numFmtId="165" fontId="8" fillId="8" borderId="24" xfId="6" applyNumberFormat="1" applyBorder="1" applyAlignment="1">
      <alignment horizontal="center" vertical="center"/>
    </xf>
    <xf numFmtId="165" fontId="8" fillId="8" borderId="24" xfId="6" applyNumberFormat="1" applyBorder="1" applyAlignment="1">
      <alignment horizontal="center"/>
    </xf>
    <xf numFmtId="165" fontId="8" fillId="8" borderId="44" xfId="6" applyNumberFormat="1" applyBorder="1" applyAlignment="1">
      <alignment horizontal="center" vertical="center"/>
    </xf>
    <xf numFmtId="165" fontId="8" fillId="8" borderId="49" xfId="6" applyNumberFormat="1" applyBorder="1" applyAlignment="1">
      <alignment horizontal="center" vertical="center"/>
    </xf>
    <xf numFmtId="165" fontId="8" fillId="8" borderId="41" xfId="6" applyNumberFormat="1" applyBorder="1" applyAlignment="1">
      <alignment horizontal="center" vertical="center"/>
    </xf>
    <xf numFmtId="165" fontId="8" fillId="8" borderId="41" xfId="6" applyNumberFormat="1" applyBorder="1" applyAlignment="1">
      <alignment horizontal="center"/>
    </xf>
    <xf numFmtId="165" fontId="8" fillId="8" borderId="36" xfId="6" applyNumberFormat="1" applyBorder="1" applyAlignment="1">
      <alignment horizontal="center"/>
    </xf>
    <xf numFmtId="2" fontId="9" fillId="4" borderId="25" xfId="2" applyNumberFormat="1" applyBorder="1" applyAlignment="1">
      <alignment horizontal="center" vertical="center"/>
    </xf>
    <xf numFmtId="165" fontId="9" fillId="4" borderId="25" xfId="2" applyNumberFormat="1" applyBorder="1" applyAlignment="1">
      <alignment horizontal="center" vertical="center"/>
    </xf>
    <xf numFmtId="165" fontId="9" fillId="4" borderId="34" xfId="2" applyNumberFormat="1" applyBorder="1" applyAlignment="1">
      <alignment horizontal="center" vertical="center"/>
    </xf>
    <xf numFmtId="165" fontId="9" fillId="4" borderId="25" xfId="2" applyNumberFormat="1" applyBorder="1" applyAlignment="1">
      <alignment horizontal="center"/>
    </xf>
    <xf numFmtId="165" fontId="8" fillId="8" borderId="63" xfId="6" applyNumberFormat="1" applyBorder="1" applyAlignment="1">
      <alignment horizontal="center" vertical="center"/>
    </xf>
    <xf numFmtId="165" fontId="9" fillId="4" borderId="68" xfId="2" applyNumberFormat="1" applyBorder="1" applyAlignment="1">
      <alignment horizontal="center" vertical="center"/>
    </xf>
    <xf numFmtId="0" fontId="3" fillId="4" borderId="25" xfId="2" applyNumberFormat="1" applyFont="1" applyBorder="1" applyAlignment="1">
      <alignment horizontal="center" vertical="center"/>
    </xf>
    <xf numFmtId="165" fontId="9" fillId="5" borderId="38" xfId="3" applyNumberFormat="1" applyBorder="1" applyAlignment="1">
      <alignment horizontal="center" vertical="center"/>
    </xf>
    <xf numFmtId="0" fontId="20" fillId="2" borderId="26" xfId="0" applyFont="1" applyFill="1" applyBorder="1" applyAlignment="1">
      <alignment horizontal="center" vertical="center"/>
    </xf>
    <xf numFmtId="0" fontId="20" fillId="2" borderId="57" xfId="0" applyFont="1" applyFill="1" applyBorder="1" applyAlignment="1">
      <alignment horizontal="center" vertical="center"/>
    </xf>
    <xf numFmtId="0" fontId="20" fillId="2" borderId="30" xfId="0" applyNumberFormat="1" applyFont="1" applyFill="1" applyBorder="1" applyAlignment="1">
      <alignment horizontal="center" vertical="center"/>
    </xf>
    <xf numFmtId="0" fontId="20" fillId="2" borderId="55" xfId="0" applyNumberFormat="1" applyFont="1" applyFill="1" applyBorder="1" applyAlignment="1">
      <alignment horizontal="center" vertical="center"/>
    </xf>
    <xf numFmtId="0" fontId="20" fillId="2" borderId="31" xfId="0" applyNumberFormat="1" applyFont="1" applyFill="1" applyBorder="1" applyAlignment="1">
      <alignment horizontal="center" vertical="center"/>
    </xf>
    <xf numFmtId="2" fontId="20" fillId="2" borderId="28" xfId="0" applyNumberFormat="1" applyFont="1" applyFill="1" applyBorder="1" applyAlignment="1">
      <alignment horizontal="center" vertical="center"/>
    </xf>
    <xf numFmtId="0" fontId="20" fillId="2" borderId="58" xfId="0" applyFont="1" applyFill="1" applyBorder="1" applyAlignment="1">
      <alignment horizontal="center" vertical="center"/>
    </xf>
    <xf numFmtId="165" fontId="20" fillId="2" borderId="59" xfId="0" applyNumberFormat="1" applyFont="1" applyFill="1" applyBorder="1" applyAlignment="1">
      <alignment horizontal="center" vertical="center"/>
    </xf>
    <xf numFmtId="164" fontId="20" fillId="2" borderId="19" xfId="0" applyNumberFormat="1" applyFont="1" applyFill="1" applyBorder="1" applyAlignment="1">
      <alignment horizontal="center" vertical="center"/>
    </xf>
    <xf numFmtId="164" fontId="20" fillId="2" borderId="23" xfId="0" applyNumberFormat="1" applyFont="1" applyFill="1" applyBorder="1" applyAlignment="1">
      <alignment horizontal="center" vertical="center"/>
    </xf>
    <xf numFmtId="164" fontId="20" fillId="2" borderId="20" xfId="0" applyNumberFormat="1" applyFont="1" applyFill="1" applyBorder="1" applyAlignment="1">
      <alignment horizontal="center" vertical="center"/>
    </xf>
    <xf numFmtId="2" fontId="20" fillId="2" borderId="21" xfId="0" applyNumberFormat="1" applyFont="1" applyFill="1" applyBorder="1" applyAlignment="1">
      <alignment horizontal="center" vertical="center"/>
    </xf>
    <xf numFmtId="0" fontId="20" fillId="2" borderId="54" xfId="0" applyFont="1" applyFill="1" applyBorder="1" applyAlignment="1">
      <alignment horizontal="center" vertical="center"/>
    </xf>
    <xf numFmtId="165" fontId="20" fillId="2" borderId="47" xfId="0" applyNumberFormat="1" applyFont="1" applyFill="1" applyBorder="1" applyAlignment="1">
      <alignment horizontal="center" vertical="center"/>
    </xf>
    <xf numFmtId="164" fontId="20" fillId="2" borderId="21" xfId="0" applyNumberFormat="1" applyFont="1" applyFill="1" applyBorder="1" applyAlignment="1">
      <alignment horizontal="center" vertical="center"/>
    </xf>
    <xf numFmtId="164" fontId="20" fillId="2" borderId="24" xfId="0" applyNumberFormat="1" applyFont="1" applyFill="1" applyBorder="1" applyAlignment="1">
      <alignment horizontal="center" vertical="center"/>
    </xf>
    <xf numFmtId="164" fontId="20" fillId="2" borderId="22" xfId="0" applyNumberFormat="1" applyFont="1" applyFill="1" applyBorder="1" applyAlignment="1">
      <alignment horizontal="center" vertical="center"/>
    </xf>
    <xf numFmtId="2" fontId="20" fillId="2" borderId="52" xfId="0" applyNumberFormat="1" applyFont="1" applyFill="1" applyBorder="1" applyAlignment="1">
      <alignment horizontal="center" vertical="center"/>
    </xf>
    <xf numFmtId="0" fontId="20" fillId="2" borderId="61" xfId="0" applyFont="1" applyFill="1" applyBorder="1" applyAlignment="1">
      <alignment horizontal="center" vertical="center"/>
    </xf>
    <xf numFmtId="165" fontId="20" fillId="2" borderId="53" xfId="0" applyNumberFormat="1" applyFont="1" applyFill="1" applyBorder="1" applyAlignment="1">
      <alignment horizontal="center" vertical="center"/>
    </xf>
    <xf numFmtId="165" fontId="20" fillId="2" borderId="43" xfId="0" applyNumberFormat="1" applyFont="1" applyFill="1" applyBorder="1" applyAlignment="1">
      <alignment horizontal="center" vertical="center"/>
    </xf>
    <xf numFmtId="165" fontId="20" fillId="2" borderId="44" xfId="0" applyNumberFormat="1" applyFont="1" applyFill="1" applyBorder="1" applyAlignment="1">
      <alignment horizontal="center" vertical="center"/>
    </xf>
    <xf numFmtId="165" fontId="20" fillId="2" borderId="45" xfId="0" applyNumberFormat="1" applyFont="1" applyFill="1" applyBorder="1" applyAlignment="1">
      <alignment horizontal="center" vertical="center"/>
    </xf>
    <xf numFmtId="165" fontId="20" fillId="2" borderId="57" xfId="0" applyNumberFormat="1" applyFont="1" applyFill="1" applyBorder="1" applyAlignment="1">
      <alignment horizontal="center" vertical="center"/>
    </xf>
    <xf numFmtId="165" fontId="20" fillId="2" borderId="30" xfId="0" applyNumberFormat="1" applyFont="1" applyFill="1" applyBorder="1" applyAlignment="1">
      <alignment horizontal="center" vertical="center"/>
    </xf>
    <xf numFmtId="165" fontId="20" fillId="2" borderId="55" xfId="0" applyNumberFormat="1" applyFont="1" applyFill="1" applyBorder="1" applyAlignment="1">
      <alignment horizontal="center" vertical="center"/>
    </xf>
    <xf numFmtId="165" fontId="20" fillId="2" borderId="31" xfId="0" applyNumberFormat="1" applyFont="1" applyFill="1" applyBorder="1" applyAlignment="1">
      <alignment horizontal="center" vertical="center"/>
    </xf>
    <xf numFmtId="0" fontId="20" fillId="2" borderId="41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0" fillId="2" borderId="59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0" fillId="2" borderId="22" xfId="0" applyFont="1" applyFill="1" applyBorder="1" applyAlignment="1">
      <alignment horizontal="center" vertical="center"/>
    </xf>
    <xf numFmtId="0" fontId="20" fillId="2" borderId="47" xfId="0" applyFont="1" applyFill="1" applyBorder="1" applyAlignment="1">
      <alignment horizontal="center" vertical="center"/>
    </xf>
    <xf numFmtId="165" fontId="20" fillId="2" borderId="21" xfId="0" applyNumberFormat="1" applyFont="1" applyFill="1" applyBorder="1" applyAlignment="1">
      <alignment horizontal="center" vertical="center"/>
    </xf>
    <xf numFmtId="165" fontId="20" fillId="2" borderId="24" xfId="0" applyNumberFormat="1" applyFont="1" applyFill="1" applyBorder="1" applyAlignment="1">
      <alignment horizontal="center" vertical="center"/>
    </xf>
    <xf numFmtId="165" fontId="20" fillId="2" borderId="22" xfId="0" applyNumberFormat="1" applyFont="1" applyFill="1" applyBorder="1" applyAlignment="1">
      <alignment horizontal="center" vertical="center"/>
    </xf>
    <xf numFmtId="2" fontId="20" fillId="2" borderId="24" xfId="0" applyNumberFormat="1" applyFont="1" applyFill="1" applyBorder="1" applyAlignment="1">
      <alignment horizontal="center" vertical="center"/>
    </xf>
    <xf numFmtId="165" fontId="22" fillId="2" borderId="24" xfId="0" applyNumberFormat="1" applyFont="1" applyFill="1" applyBorder="1" applyAlignment="1">
      <alignment horizontal="center" vertical="center"/>
    </xf>
    <xf numFmtId="2" fontId="20" fillId="2" borderId="22" xfId="0" applyNumberFormat="1" applyFont="1" applyFill="1" applyBorder="1" applyAlignment="1">
      <alignment horizontal="center" vertical="center"/>
    </xf>
    <xf numFmtId="0" fontId="20" fillId="2" borderId="54" xfId="0" applyNumberFormat="1" applyFont="1" applyFill="1" applyBorder="1" applyAlignment="1">
      <alignment horizontal="center" vertical="center"/>
    </xf>
    <xf numFmtId="0" fontId="20" fillId="2" borderId="60" xfId="0" applyFont="1" applyFill="1" applyBorder="1" applyAlignment="1">
      <alignment horizontal="center" vertical="center"/>
    </xf>
    <xf numFmtId="2" fontId="20" fillId="2" borderId="19" xfId="0" applyNumberFormat="1" applyFont="1" applyFill="1" applyBorder="1" applyAlignment="1">
      <alignment horizontal="center" vertical="center"/>
    </xf>
    <xf numFmtId="0" fontId="20" fillId="2" borderId="33" xfId="0" applyNumberFormat="1" applyFont="1" applyFill="1" applyBorder="1" applyAlignment="1">
      <alignment horizontal="center" vertical="center"/>
    </xf>
    <xf numFmtId="165" fontId="20" fillId="2" borderId="42" xfId="0" applyNumberFormat="1" applyFont="1" applyFill="1" applyBorder="1" applyAlignment="1">
      <alignment horizontal="center" vertical="center"/>
    </xf>
    <xf numFmtId="165" fontId="20" fillId="2" borderId="23" xfId="0" applyNumberFormat="1" applyFont="1" applyFill="1" applyBorder="1" applyAlignment="1">
      <alignment horizontal="center" vertical="center"/>
    </xf>
    <xf numFmtId="165" fontId="20" fillId="2" borderId="20" xfId="0" applyNumberFormat="1" applyFont="1" applyFill="1" applyBorder="1" applyAlignment="1">
      <alignment horizontal="center" vertical="center"/>
    </xf>
    <xf numFmtId="2" fontId="20" fillId="2" borderId="43" xfId="0" applyNumberFormat="1" applyFont="1" applyFill="1" applyBorder="1" applyAlignment="1">
      <alignment horizontal="center" vertical="center"/>
    </xf>
    <xf numFmtId="0" fontId="20" fillId="2" borderId="66" xfId="0" applyFont="1" applyFill="1" applyBorder="1" applyAlignment="1">
      <alignment horizontal="center" vertical="center"/>
    </xf>
    <xf numFmtId="165" fontId="20" fillId="2" borderId="48" xfId="0" applyNumberFormat="1" applyFont="1" applyFill="1" applyBorder="1" applyAlignment="1">
      <alignment horizontal="center" vertical="center"/>
    </xf>
    <xf numFmtId="165" fontId="19" fillId="2" borderId="57" xfId="0" applyNumberFormat="1" applyFont="1" applyFill="1" applyBorder="1" applyAlignment="1">
      <alignment horizontal="center" vertical="center"/>
    </xf>
    <xf numFmtId="165" fontId="19" fillId="2" borderId="30" xfId="0" applyNumberFormat="1" applyFont="1" applyFill="1" applyBorder="1" applyAlignment="1">
      <alignment horizontal="center" vertical="center"/>
    </xf>
    <xf numFmtId="165" fontId="19" fillId="2" borderId="55" xfId="0" applyNumberFormat="1" applyFont="1" applyFill="1" applyBorder="1" applyAlignment="1">
      <alignment horizontal="center" vertical="center"/>
    </xf>
    <xf numFmtId="165" fontId="19" fillId="2" borderId="31" xfId="0" applyNumberFormat="1" applyFont="1" applyFill="1" applyBorder="1" applyAlignment="1">
      <alignment horizontal="center" vertical="center"/>
    </xf>
    <xf numFmtId="0" fontId="9" fillId="7" borderId="33" xfId="5" applyNumberFormat="1" applyBorder="1" applyAlignment="1">
      <alignment horizontal="center" vertical="center"/>
    </xf>
    <xf numFmtId="2" fontId="9" fillId="7" borderId="33" xfId="5" applyNumberFormat="1" applyBorder="1" applyAlignment="1">
      <alignment horizontal="center" vertical="center"/>
    </xf>
    <xf numFmtId="165" fontId="9" fillId="7" borderId="33" xfId="5" applyNumberFormat="1" applyBorder="1" applyAlignment="1">
      <alignment horizontal="center" vertical="center"/>
    </xf>
    <xf numFmtId="165" fontId="9" fillId="7" borderId="64" xfId="5" applyNumberFormat="1" applyBorder="1" applyAlignment="1">
      <alignment horizontal="center" vertical="center"/>
    </xf>
    <xf numFmtId="165" fontId="9" fillId="7" borderId="35" xfId="5" applyNumberFormat="1" applyBorder="1" applyAlignment="1">
      <alignment horizontal="center" vertical="center"/>
    </xf>
    <xf numFmtId="165" fontId="9" fillId="7" borderId="33" xfId="5" applyNumberFormat="1" applyBorder="1" applyAlignment="1">
      <alignment horizontal="center"/>
    </xf>
    <xf numFmtId="0" fontId="9" fillId="5" borderId="24" xfId="3" applyNumberFormat="1" applyBorder="1" applyAlignment="1">
      <alignment horizontal="center" vertical="center"/>
    </xf>
    <xf numFmtId="2" fontId="9" fillId="5" borderId="24" xfId="3" applyNumberFormat="1" applyBorder="1" applyAlignment="1">
      <alignment horizontal="center" vertical="center"/>
    </xf>
    <xf numFmtId="165" fontId="9" fillId="5" borderId="41" xfId="3" applyNumberFormat="1" applyBorder="1" applyAlignment="1">
      <alignment horizontal="center" vertical="center"/>
    </xf>
    <xf numFmtId="165" fontId="9" fillId="5" borderId="24" xfId="3" applyNumberFormat="1" applyBorder="1" applyAlignment="1">
      <alignment horizontal="center"/>
    </xf>
    <xf numFmtId="0" fontId="20" fillId="2" borderId="41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164" fontId="20" fillId="2" borderId="28" xfId="0" applyNumberFormat="1" applyFont="1" applyFill="1" applyBorder="1" applyAlignment="1">
      <alignment horizontal="center" vertical="center"/>
    </xf>
    <xf numFmtId="164" fontId="20" fillId="2" borderId="41" xfId="0" applyNumberFormat="1" applyFont="1" applyFill="1" applyBorder="1" applyAlignment="1">
      <alignment horizontal="center" vertical="center"/>
    </xf>
    <xf numFmtId="164" fontId="20" fillId="2" borderId="29" xfId="0" applyNumberFormat="1" applyFont="1" applyFill="1" applyBorder="1" applyAlignment="1">
      <alignment horizontal="center" vertical="center"/>
    </xf>
    <xf numFmtId="0" fontId="2" fillId="4" borderId="24" xfId="2" applyNumberFormat="1" applyFont="1" applyBorder="1" applyAlignment="1">
      <alignment horizontal="center" vertical="center"/>
    </xf>
    <xf numFmtId="0" fontId="9" fillId="6" borderId="33" xfId="4" applyNumberFormat="1" applyBorder="1" applyAlignment="1">
      <alignment horizontal="center" vertical="center"/>
    </xf>
    <xf numFmtId="2" fontId="9" fillId="6" borderId="33" xfId="4" applyNumberFormat="1" applyBorder="1" applyAlignment="1">
      <alignment horizontal="center" vertical="center"/>
    </xf>
    <xf numFmtId="165" fontId="9" fillId="6" borderId="33" xfId="4" applyNumberFormat="1" applyBorder="1" applyAlignment="1">
      <alignment horizontal="center" vertical="center"/>
    </xf>
    <xf numFmtId="165" fontId="9" fillId="6" borderId="63" xfId="4" applyNumberFormat="1" applyBorder="1" applyAlignment="1">
      <alignment horizontal="center" vertical="center"/>
    </xf>
    <xf numFmtId="165" fontId="9" fillId="6" borderId="35" xfId="4" applyNumberFormat="1" applyBorder="1" applyAlignment="1">
      <alignment horizontal="center" vertical="center"/>
    </xf>
    <xf numFmtId="165" fontId="9" fillId="6" borderId="33" xfId="4" applyNumberFormat="1" applyBorder="1" applyAlignment="1">
      <alignment horizontal="center"/>
    </xf>
    <xf numFmtId="0" fontId="20" fillId="2" borderId="24" xfId="0" applyFont="1" applyFill="1" applyBorder="1" applyAlignment="1">
      <alignment horizontal="center" vertical="center"/>
    </xf>
    <xf numFmtId="0" fontId="20" fillId="2" borderId="22" xfId="0" applyFont="1" applyFill="1" applyBorder="1" applyAlignment="1">
      <alignment horizontal="center" vertical="center"/>
    </xf>
    <xf numFmtId="0" fontId="20" fillId="2" borderId="30" xfId="0" applyFont="1" applyFill="1" applyBorder="1" applyAlignment="1">
      <alignment horizontal="center" vertical="center"/>
    </xf>
    <xf numFmtId="0" fontId="20" fillId="2" borderId="55" xfId="0" applyFont="1" applyFill="1" applyBorder="1" applyAlignment="1">
      <alignment horizontal="center" vertical="center"/>
    </xf>
    <xf numFmtId="0" fontId="20" fillId="2" borderId="31" xfId="0" applyFont="1" applyFill="1" applyBorder="1" applyAlignment="1">
      <alignment horizontal="center" vertical="center"/>
    </xf>
    <xf numFmtId="0" fontId="20" fillId="2" borderId="25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2" fontId="16" fillId="0" borderId="0" xfId="0" applyNumberFormat="1" applyFont="1" applyFill="1" applyAlignment="1">
      <alignment horizontal="center" vertical="center"/>
    </xf>
    <xf numFmtId="2" fontId="16" fillId="0" borderId="0" xfId="0" applyNumberFormat="1" applyFont="1" applyFill="1" applyAlignment="1"/>
    <xf numFmtId="165" fontId="9" fillId="5" borderId="24" xfId="3" applyNumberFormat="1" applyBorder="1" applyAlignment="1">
      <alignment horizontal="center" vertical="center"/>
    </xf>
    <xf numFmtId="0" fontId="9" fillId="4" borderId="25" xfId="2" applyNumberFormat="1" applyBorder="1" applyAlignment="1">
      <alignment horizontal="center" vertical="center"/>
    </xf>
    <xf numFmtId="165" fontId="9" fillId="4" borderId="46" xfId="2" applyNumberFormat="1" applyBorder="1" applyAlignment="1">
      <alignment horizontal="center" vertical="center"/>
    </xf>
    <xf numFmtId="0" fontId="9" fillId="5" borderId="33" xfId="3" applyNumberFormat="1" applyBorder="1" applyAlignment="1">
      <alignment horizontal="center" vertical="center"/>
    </xf>
    <xf numFmtId="2" fontId="9" fillId="5" borderId="33" xfId="3" applyNumberFormat="1" applyBorder="1" applyAlignment="1">
      <alignment horizontal="center" vertical="center"/>
    </xf>
    <xf numFmtId="165" fontId="9" fillId="5" borderId="33" xfId="3" applyNumberFormat="1" applyBorder="1" applyAlignment="1">
      <alignment horizontal="center" vertical="center"/>
    </xf>
    <xf numFmtId="165" fontId="9" fillId="5" borderId="64" xfId="3" applyNumberFormat="1" applyBorder="1" applyAlignment="1">
      <alignment horizontal="center" vertical="center"/>
    </xf>
    <xf numFmtId="165" fontId="9" fillId="5" borderId="35" xfId="3" applyNumberFormat="1" applyBorder="1" applyAlignment="1">
      <alignment horizontal="center" vertical="center"/>
    </xf>
    <xf numFmtId="165" fontId="9" fillId="5" borderId="33" xfId="3" applyNumberFormat="1" applyBorder="1" applyAlignment="1">
      <alignment horizontal="center"/>
    </xf>
    <xf numFmtId="0" fontId="1" fillId="4" borderId="25" xfId="2" applyNumberFormat="1" applyFont="1" applyBorder="1" applyAlignment="1">
      <alignment horizontal="center" vertical="center"/>
    </xf>
    <xf numFmtId="164" fontId="9" fillId="4" borderId="24" xfId="2" applyNumberFormat="1" applyBorder="1" applyAlignment="1">
      <alignment horizontal="center" vertical="center"/>
    </xf>
    <xf numFmtId="0" fontId="1" fillId="4" borderId="24" xfId="2" applyNumberFormat="1" applyFont="1" applyBorder="1" applyAlignment="1">
      <alignment horizontal="center" vertical="center"/>
    </xf>
    <xf numFmtId="165" fontId="20" fillId="2" borderId="54" xfId="0" applyNumberFormat="1" applyFont="1" applyFill="1" applyBorder="1" applyAlignment="1">
      <alignment horizontal="center" vertical="center"/>
    </xf>
    <xf numFmtId="0" fontId="1" fillId="5" borderId="33" xfId="3" applyNumberFormat="1" applyFont="1" applyBorder="1" applyAlignment="1">
      <alignment horizontal="center" vertical="center"/>
    </xf>
    <xf numFmtId="0" fontId="8" fillId="8" borderId="37" xfId="6" applyNumberFormat="1" applyBorder="1" applyAlignment="1">
      <alignment horizontal="center" vertical="center"/>
    </xf>
    <xf numFmtId="2" fontId="8" fillId="8" borderId="37" xfId="6" applyNumberFormat="1" applyBorder="1" applyAlignment="1">
      <alignment horizontal="center" vertical="center"/>
    </xf>
    <xf numFmtId="165" fontId="8" fillId="8" borderId="37" xfId="6" applyNumberFormat="1" applyBorder="1" applyAlignment="1">
      <alignment horizontal="center" vertical="center"/>
    </xf>
    <xf numFmtId="165" fontId="8" fillId="8" borderId="38" xfId="6" applyNumberFormat="1" applyBorder="1" applyAlignment="1">
      <alignment horizontal="center" vertical="center"/>
    </xf>
    <xf numFmtId="165" fontId="8" fillId="8" borderId="37" xfId="6" applyNumberFormat="1" applyBorder="1" applyAlignment="1">
      <alignment horizontal="center"/>
    </xf>
    <xf numFmtId="0" fontId="1" fillId="3" borderId="33" xfId="1" applyNumberFormat="1" applyFont="1" applyBorder="1" applyAlignment="1">
      <alignment horizontal="center" vertical="center"/>
    </xf>
    <xf numFmtId="0" fontId="1" fillId="8" borderId="37" xfId="6" applyNumberFormat="1" applyFont="1" applyBorder="1" applyAlignment="1">
      <alignment horizontal="center" vertical="center"/>
    </xf>
    <xf numFmtId="0" fontId="9" fillId="3" borderId="69" xfId="1" applyNumberFormat="1" applyBorder="1" applyAlignment="1">
      <alignment horizontal="center" vertical="center"/>
    </xf>
    <xf numFmtId="2" fontId="9" fillId="3" borderId="69" xfId="1" applyNumberFormat="1" applyBorder="1" applyAlignment="1">
      <alignment horizontal="center" vertical="center"/>
    </xf>
    <xf numFmtId="165" fontId="9" fillId="3" borderId="69" xfId="1" applyNumberFormat="1" applyBorder="1" applyAlignment="1">
      <alignment horizontal="center" vertical="center"/>
    </xf>
    <xf numFmtId="165" fontId="9" fillId="3" borderId="68" xfId="1" applyNumberFormat="1" applyBorder="1" applyAlignment="1">
      <alignment horizontal="center" vertical="center"/>
    </xf>
    <xf numFmtId="165" fontId="9" fillId="3" borderId="70" xfId="1" applyNumberFormat="1" applyBorder="1" applyAlignment="1">
      <alignment horizontal="center" vertical="center"/>
    </xf>
    <xf numFmtId="165" fontId="9" fillId="3" borderId="69" xfId="1" applyNumberFormat="1" applyBorder="1" applyAlignment="1">
      <alignment horizontal="center"/>
    </xf>
    <xf numFmtId="0" fontId="4" fillId="6" borderId="24" xfId="4" applyNumberFormat="1" applyFont="1" applyBorder="1" applyAlignment="1">
      <alignment horizontal="center" vertical="center"/>
    </xf>
    <xf numFmtId="164" fontId="12" fillId="0" borderId="13" xfId="0" applyNumberFormat="1" applyFont="1" applyBorder="1" applyAlignment="1">
      <alignment horizontal="center" vertical="center"/>
    </xf>
    <xf numFmtId="0" fontId="11" fillId="0" borderId="14" xfId="0" applyFont="1" applyBorder="1"/>
    <xf numFmtId="0" fontId="11" fillId="0" borderId="15" xfId="0" applyFont="1" applyBorder="1"/>
    <xf numFmtId="0" fontId="11" fillId="0" borderId="16" xfId="0" applyFont="1" applyBorder="1"/>
    <xf numFmtId="0" fontId="11" fillId="0" borderId="17" xfId="0" applyFont="1" applyBorder="1"/>
    <xf numFmtId="0" fontId="11" fillId="0" borderId="18" xfId="0" applyFont="1" applyBorder="1"/>
    <xf numFmtId="0" fontId="0" fillId="0" borderId="6" xfId="0" applyFont="1" applyBorder="1" applyAlignment="1">
      <alignment horizontal="center"/>
    </xf>
    <xf numFmtId="0" fontId="11" fillId="0" borderId="7" xfId="0" applyFont="1" applyBorder="1"/>
    <xf numFmtId="0" fontId="0" fillId="0" borderId="0" xfId="0" applyFont="1" applyAlignment="1"/>
    <xf numFmtId="0" fontId="10" fillId="0" borderId="2" xfId="0" applyFont="1" applyBorder="1" applyAlignment="1">
      <alignment horizontal="center" vertical="center"/>
    </xf>
    <xf numFmtId="0" fontId="11" fillId="0" borderId="3" xfId="0" applyFont="1" applyBorder="1"/>
    <xf numFmtId="0" fontId="11" fillId="0" borderId="4" xfId="0" applyFont="1" applyBorder="1"/>
    <xf numFmtId="0" fontId="19" fillId="2" borderId="26" xfId="0" applyFont="1" applyFill="1" applyBorder="1" applyAlignment="1">
      <alignment horizontal="center" vertical="center"/>
    </xf>
    <xf numFmtId="0" fontId="19" fillId="2" borderId="32" xfId="0" applyFont="1" applyFill="1" applyBorder="1" applyAlignment="1">
      <alignment horizontal="center" vertical="center"/>
    </xf>
    <xf numFmtId="0" fontId="19" fillId="2" borderId="27" xfId="0" applyFont="1" applyFill="1" applyBorder="1" applyAlignment="1">
      <alignment horizontal="center" vertical="center"/>
    </xf>
    <xf numFmtId="2" fontId="19" fillId="2" borderId="26" xfId="0" applyNumberFormat="1" applyFont="1" applyFill="1" applyBorder="1" applyAlignment="1">
      <alignment horizontal="center" vertical="center"/>
    </xf>
    <xf numFmtId="2" fontId="19" fillId="2" borderId="32" xfId="0" applyNumberFormat="1" applyFont="1" applyFill="1" applyBorder="1" applyAlignment="1">
      <alignment horizontal="center" vertical="center"/>
    </xf>
    <xf numFmtId="2" fontId="19" fillId="2" borderId="27" xfId="0" applyNumberFormat="1" applyFont="1" applyFill="1" applyBorder="1" applyAlignment="1">
      <alignment horizontal="center" vertical="center"/>
    </xf>
    <xf numFmtId="2" fontId="21" fillId="2" borderId="26" xfId="0" applyNumberFormat="1" applyFont="1" applyFill="1" applyBorder="1" applyAlignment="1">
      <alignment horizontal="center" vertical="center"/>
    </xf>
    <xf numFmtId="2" fontId="21" fillId="2" borderId="32" xfId="0" applyNumberFormat="1" applyFont="1" applyFill="1" applyBorder="1" applyAlignment="1">
      <alignment horizontal="center" vertical="center"/>
    </xf>
    <xf numFmtId="2" fontId="21" fillId="2" borderId="27" xfId="0" applyNumberFormat="1" applyFont="1" applyFill="1" applyBorder="1" applyAlignment="1">
      <alignment horizontal="center" vertical="center"/>
    </xf>
    <xf numFmtId="2" fontId="20" fillId="2" borderId="30" xfId="0" applyNumberFormat="1" applyFont="1" applyFill="1" applyBorder="1" applyAlignment="1">
      <alignment horizontal="center" vertical="center"/>
    </xf>
    <xf numFmtId="2" fontId="20" fillId="2" borderId="55" xfId="0" applyNumberFormat="1" applyFont="1" applyFill="1" applyBorder="1" applyAlignment="1">
      <alignment horizontal="center" vertical="center"/>
    </xf>
    <xf numFmtId="2" fontId="20" fillId="2" borderId="60" xfId="0" applyNumberFormat="1" applyFont="1" applyFill="1" applyBorder="1" applyAlignment="1">
      <alignment horizontal="center" vertical="center"/>
    </xf>
    <xf numFmtId="0" fontId="20" fillId="2" borderId="26" xfId="0" applyFont="1" applyFill="1" applyBorder="1" applyAlignment="1">
      <alignment horizontal="center" vertical="center"/>
    </xf>
    <xf numFmtId="0" fontId="20" fillId="2" borderId="32" xfId="0" applyFont="1" applyFill="1" applyBorder="1" applyAlignment="1">
      <alignment horizontal="center" vertical="center"/>
    </xf>
    <xf numFmtId="0" fontId="20" fillId="2" borderId="27" xfId="0" applyFont="1" applyFill="1" applyBorder="1" applyAlignment="1">
      <alignment horizontal="center" vertical="center"/>
    </xf>
    <xf numFmtId="0" fontId="20" fillId="2" borderId="56" xfId="0" applyFont="1" applyFill="1" applyBorder="1" applyAlignment="1">
      <alignment horizontal="center" vertical="center"/>
    </xf>
    <xf numFmtId="2" fontId="20" fillId="2" borderId="46" xfId="0" applyNumberFormat="1" applyFont="1" applyFill="1" applyBorder="1" applyAlignment="1">
      <alignment horizontal="center" vertical="center"/>
    </xf>
    <xf numFmtId="2" fontId="20" fillId="2" borderId="67" xfId="0" applyNumberFormat="1" applyFont="1" applyFill="1" applyBorder="1" applyAlignment="1">
      <alignment horizontal="center" vertical="center"/>
    </xf>
    <xf numFmtId="0" fontId="20" fillId="2" borderId="41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0" fillId="2" borderId="22" xfId="0" applyFont="1" applyFill="1" applyBorder="1" applyAlignment="1">
      <alignment horizontal="center" vertical="center"/>
    </xf>
    <xf numFmtId="2" fontId="20" fillId="2" borderId="26" xfId="0" applyNumberFormat="1" applyFont="1" applyFill="1" applyBorder="1" applyAlignment="1">
      <alignment horizontal="center" vertical="center"/>
    </xf>
    <xf numFmtId="2" fontId="20" fillId="2" borderId="32" xfId="0" applyNumberFormat="1" applyFont="1" applyFill="1" applyBorder="1" applyAlignment="1">
      <alignment horizontal="center" vertical="center"/>
    </xf>
    <xf numFmtId="2" fontId="20" fillId="2" borderId="27" xfId="0" applyNumberFormat="1" applyFont="1" applyFill="1" applyBorder="1" applyAlignment="1">
      <alignment horizontal="center" vertical="center"/>
    </xf>
    <xf numFmtId="0" fontId="20" fillId="2" borderId="39" xfId="0" applyFont="1" applyFill="1" applyBorder="1" applyAlignment="1">
      <alignment horizontal="center" vertical="center"/>
    </xf>
    <xf numFmtId="0" fontId="20" fillId="2" borderId="40" xfId="0" applyFont="1" applyFill="1" applyBorder="1" applyAlignment="1">
      <alignment horizontal="center" vertical="center"/>
    </xf>
    <xf numFmtId="0" fontId="20" fillId="2" borderId="30" xfId="0" applyFont="1" applyFill="1" applyBorder="1" applyAlignment="1">
      <alignment horizontal="center" vertical="center"/>
    </xf>
    <xf numFmtId="0" fontId="20" fillId="2" borderId="55" xfId="0" applyFont="1" applyFill="1" applyBorder="1" applyAlignment="1">
      <alignment horizontal="center" vertical="center"/>
    </xf>
    <xf numFmtId="0" fontId="20" fillId="2" borderId="31" xfId="0" applyFont="1" applyFill="1" applyBorder="1" applyAlignment="1">
      <alignment horizontal="center" vertical="center"/>
    </xf>
    <xf numFmtId="0" fontId="20" fillId="2" borderId="50" xfId="0" applyFont="1" applyFill="1" applyBorder="1" applyAlignment="1">
      <alignment horizontal="center" vertical="center"/>
    </xf>
    <xf numFmtId="0" fontId="20" fillId="2" borderId="51" xfId="0" applyFont="1" applyFill="1" applyBorder="1" applyAlignment="1">
      <alignment horizontal="center" vertical="center"/>
    </xf>
    <xf numFmtId="0" fontId="20" fillId="2" borderId="25" xfId="0" applyFont="1" applyFill="1" applyBorder="1" applyAlignment="1">
      <alignment horizontal="center" vertical="center"/>
    </xf>
    <xf numFmtId="0" fontId="20" fillId="2" borderId="65" xfId="0" applyFont="1" applyFill="1" applyBorder="1" applyAlignment="1">
      <alignment horizontal="center" vertical="center"/>
    </xf>
    <xf numFmtId="0" fontId="14" fillId="0" borderId="24" xfId="0" applyNumberFormat="1" applyFont="1" applyBorder="1" applyAlignment="1">
      <alignment horizontal="center" vertical="center"/>
    </xf>
    <xf numFmtId="0" fontId="23" fillId="2" borderId="24" xfId="0" applyFont="1" applyFill="1" applyBorder="1" applyAlignment="1">
      <alignment horizontal="center" vertical="center"/>
    </xf>
    <xf numFmtId="165" fontId="9" fillId="6" borderId="64" xfId="4" applyNumberFormat="1" applyBorder="1" applyAlignment="1">
      <alignment horizontal="center" vertical="center"/>
    </xf>
    <xf numFmtId="0" fontId="9" fillId="6" borderId="37" xfId="4" applyNumberFormat="1" applyBorder="1" applyAlignment="1">
      <alignment horizontal="center" vertical="center"/>
    </xf>
    <xf numFmtId="2" fontId="9" fillId="6" borderId="37" xfId="4" applyNumberFormat="1" applyBorder="1" applyAlignment="1">
      <alignment horizontal="center" vertical="center"/>
    </xf>
    <xf numFmtId="165" fontId="9" fillId="6" borderId="37" xfId="4" applyNumberFormat="1" applyBorder="1" applyAlignment="1">
      <alignment horizontal="center" vertical="center"/>
    </xf>
    <xf numFmtId="165" fontId="9" fillId="6" borderId="38" xfId="4" applyNumberFormat="1" applyBorder="1" applyAlignment="1">
      <alignment horizontal="center" vertical="center"/>
    </xf>
    <xf numFmtId="165" fontId="9" fillId="6" borderId="37" xfId="4" applyNumberFormat="1" applyBorder="1" applyAlignment="1">
      <alignment horizontal="center"/>
    </xf>
    <xf numFmtId="0" fontId="9" fillId="5" borderId="25" xfId="3" applyNumberFormat="1" applyBorder="1" applyAlignment="1">
      <alignment horizontal="center" vertical="center"/>
    </xf>
    <xf numFmtId="2" fontId="9" fillId="5" borderId="25" xfId="3" applyNumberFormat="1" applyBorder="1" applyAlignment="1">
      <alignment horizontal="center" vertical="center"/>
    </xf>
    <xf numFmtId="165" fontId="9" fillId="5" borderId="25" xfId="3" applyNumberFormat="1" applyBorder="1" applyAlignment="1">
      <alignment horizontal="center"/>
    </xf>
    <xf numFmtId="165" fontId="9" fillId="5" borderId="46" xfId="3" applyNumberFormat="1" applyBorder="1" applyAlignment="1">
      <alignment horizontal="center" vertical="center"/>
    </xf>
    <xf numFmtId="165" fontId="9" fillId="5" borderId="34" xfId="3" applyNumberFormat="1" applyBorder="1" applyAlignment="1">
      <alignment horizontal="center"/>
    </xf>
    <xf numFmtId="165" fontId="9" fillId="6" borderId="38" xfId="4" applyNumberFormat="1" applyBorder="1" applyAlignment="1">
      <alignment horizontal="center"/>
    </xf>
    <xf numFmtId="165" fontId="9" fillId="6" borderId="41" xfId="4" applyNumberFormat="1" applyBorder="1" applyAlignment="1">
      <alignment horizontal="center"/>
    </xf>
    <xf numFmtId="165" fontId="20" fillId="2" borderId="19" xfId="0" applyNumberFormat="1" applyFont="1" applyFill="1" applyBorder="1" applyAlignment="1">
      <alignment horizontal="center" vertical="center"/>
    </xf>
    <xf numFmtId="0" fontId="17" fillId="0" borderId="23" xfId="0" applyFont="1" applyFill="1" applyBorder="1" applyAlignment="1"/>
    <xf numFmtId="0" fontId="17" fillId="0" borderId="24" xfId="0" applyFont="1" applyFill="1" applyBorder="1" applyAlignment="1"/>
    <xf numFmtId="0" fontId="17" fillId="0" borderId="21" xfId="0" applyFont="1" applyFill="1" applyBorder="1" applyAlignment="1"/>
    <xf numFmtId="0" fontId="17" fillId="0" borderId="22" xfId="0" applyFont="1" applyFill="1" applyBorder="1" applyAlignment="1"/>
    <xf numFmtId="0" fontId="17" fillId="0" borderId="44" xfId="0" applyFont="1" applyFill="1" applyBorder="1" applyAlignment="1"/>
    <xf numFmtId="0" fontId="20" fillId="2" borderId="24" xfId="0" applyNumberFormat="1" applyFont="1" applyFill="1" applyBorder="1" applyAlignment="1">
      <alignment horizontal="center" vertical="center"/>
    </xf>
    <xf numFmtId="49" fontId="20" fillId="2" borderId="24" xfId="0" applyNumberFormat="1" applyFont="1" applyFill="1" applyBorder="1" applyAlignment="1">
      <alignment horizontal="center" vertical="center"/>
    </xf>
    <xf numFmtId="49" fontId="16" fillId="0" borderId="0" xfId="0" applyNumberFormat="1" applyFont="1" applyFill="1" applyAlignment="1">
      <alignment horizontal="center" vertical="center"/>
    </xf>
    <xf numFmtId="49" fontId="16" fillId="0" borderId="0" xfId="0" applyNumberFormat="1" applyFont="1" applyFill="1" applyAlignment="1"/>
    <xf numFmtId="0" fontId="16" fillId="0" borderId="0" xfId="0" applyFont="1" applyFill="1" applyAlignment="1">
      <alignment horizontal="center"/>
    </xf>
  </cellXfs>
  <cellStyles count="7">
    <cellStyle name="%40 - Vurgu1" xfId="1" builtinId="31"/>
    <cellStyle name="%40 - Vurgu2" xfId="6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Normal" xfId="0" builtinId="0"/>
  </cellStyles>
  <dxfs count="1"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233" t="s">
        <v>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</row>
    <row r="2" spans="1:29" x14ac:dyDescent="0.25">
      <c r="A2" s="235"/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  <c r="Q2" s="232"/>
      <c r="R2" s="232"/>
      <c r="S2" s="232"/>
      <c r="T2" s="232"/>
      <c r="U2" s="232"/>
      <c r="V2" s="232"/>
      <c r="W2" s="232"/>
      <c r="X2" s="232"/>
      <c r="Y2" s="232"/>
      <c r="Z2" s="232"/>
      <c r="AA2" s="232"/>
      <c r="AB2" s="232"/>
      <c r="AC2" s="232"/>
    </row>
    <row r="3" spans="1:29" x14ac:dyDescent="0.25">
      <c r="A3" s="3">
        <v>1.8</v>
      </c>
      <c r="B3" s="230"/>
      <c r="C3" s="2">
        <v>2.2000000000000002</v>
      </c>
      <c r="D3" s="230"/>
      <c r="E3" s="2">
        <v>2.2999999999999998</v>
      </c>
      <c r="F3" s="230"/>
      <c r="G3" s="2">
        <v>2.4500000000000002</v>
      </c>
      <c r="H3" s="230"/>
      <c r="I3" s="2"/>
      <c r="J3" s="230"/>
      <c r="K3" s="2"/>
      <c r="L3" s="230"/>
      <c r="M3" s="2"/>
      <c r="N3" s="230"/>
      <c r="O3" s="2"/>
      <c r="P3" s="230"/>
      <c r="Q3" s="2"/>
      <c r="R3" s="230"/>
      <c r="S3" s="2"/>
      <c r="T3" s="230"/>
      <c r="U3" s="2"/>
      <c r="V3" s="230"/>
      <c r="W3" s="2"/>
      <c r="X3" s="230"/>
      <c r="Y3" s="2"/>
      <c r="Z3" s="230"/>
      <c r="AA3" s="2"/>
      <c r="AB3" s="232"/>
    </row>
    <row r="4" spans="1:29" ht="6" customHeight="1" x14ac:dyDescent="0.25">
      <c r="A4" s="4"/>
      <c r="B4" s="231"/>
      <c r="C4" s="5"/>
      <c r="D4" s="231"/>
      <c r="E4" s="5"/>
      <c r="F4" s="231"/>
      <c r="G4" s="5"/>
      <c r="H4" s="231"/>
      <c r="I4" s="5"/>
      <c r="J4" s="231"/>
      <c r="K4" s="5"/>
      <c r="L4" s="231"/>
      <c r="M4" s="5"/>
      <c r="N4" s="231"/>
      <c r="O4" s="5"/>
      <c r="P4" s="231"/>
      <c r="Q4" s="5"/>
      <c r="R4" s="231"/>
      <c r="S4" s="5"/>
      <c r="T4" s="231"/>
      <c r="U4" s="5"/>
      <c r="V4" s="231"/>
      <c r="W4" s="5"/>
      <c r="X4" s="231"/>
      <c r="Y4" s="5"/>
      <c r="Z4" s="231"/>
      <c r="AA4" s="5"/>
      <c r="AB4" s="232"/>
    </row>
    <row r="5" spans="1:29" x14ac:dyDescent="0.25">
      <c r="A5" s="6">
        <v>2035.8</v>
      </c>
      <c r="B5" s="231"/>
      <c r="C5" s="7">
        <v>2018.1</v>
      </c>
      <c r="D5" s="231"/>
      <c r="E5" s="7">
        <v>2056.1</v>
      </c>
      <c r="F5" s="231"/>
      <c r="G5" s="7">
        <v>1995.7</v>
      </c>
      <c r="H5" s="231"/>
      <c r="I5" s="7"/>
      <c r="J5" s="231"/>
      <c r="K5" s="7"/>
      <c r="L5" s="231"/>
      <c r="M5" s="7"/>
      <c r="N5" s="231"/>
      <c r="O5" s="7"/>
      <c r="P5" s="231"/>
      <c r="Q5" s="7"/>
      <c r="R5" s="231"/>
      <c r="S5" s="7"/>
      <c r="T5" s="231"/>
      <c r="U5" s="7"/>
      <c r="V5" s="231"/>
      <c r="W5" s="7"/>
      <c r="X5" s="231"/>
      <c r="Y5" s="7"/>
      <c r="Z5" s="231"/>
      <c r="AA5" s="7"/>
      <c r="AB5" s="232"/>
    </row>
    <row r="6" spans="1:29" x14ac:dyDescent="0.25">
      <c r="A6" s="6"/>
      <c r="B6" s="231"/>
      <c r="C6" s="7"/>
      <c r="D6" s="231"/>
      <c r="E6" s="7"/>
      <c r="F6" s="231"/>
      <c r="G6" s="7"/>
      <c r="H6" s="231"/>
      <c r="I6" s="7"/>
      <c r="J6" s="231"/>
      <c r="K6" s="7"/>
      <c r="L6" s="231"/>
      <c r="M6" s="7"/>
      <c r="N6" s="231"/>
      <c r="O6" s="7"/>
      <c r="P6" s="231"/>
      <c r="Q6" s="7"/>
      <c r="R6" s="231"/>
      <c r="S6" s="7"/>
      <c r="T6" s="231"/>
      <c r="U6" s="7"/>
      <c r="V6" s="231"/>
      <c r="W6" s="7"/>
      <c r="X6" s="231"/>
      <c r="Y6" s="7"/>
      <c r="Z6" s="231"/>
      <c r="AA6" s="7"/>
      <c r="AB6" s="232"/>
    </row>
    <row r="7" spans="1:29" x14ac:dyDescent="0.25">
      <c r="A7" s="6"/>
      <c r="B7" s="231"/>
      <c r="C7" s="7"/>
      <c r="D7" s="231"/>
      <c r="E7" s="7"/>
      <c r="F7" s="231"/>
      <c r="G7" s="7"/>
      <c r="H7" s="231"/>
      <c r="I7" s="7"/>
      <c r="J7" s="231"/>
      <c r="K7" s="7"/>
      <c r="L7" s="231"/>
      <c r="M7" s="7"/>
      <c r="N7" s="231"/>
      <c r="O7" s="7"/>
      <c r="P7" s="231"/>
      <c r="Q7" s="7"/>
      <c r="R7" s="231"/>
      <c r="S7" s="7"/>
      <c r="T7" s="231"/>
      <c r="U7" s="7"/>
      <c r="V7" s="231"/>
      <c r="W7" s="7"/>
      <c r="X7" s="231"/>
      <c r="Y7" s="7"/>
      <c r="Z7" s="231"/>
      <c r="AA7" s="7"/>
      <c r="AB7" s="232"/>
    </row>
    <row r="8" spans="1:29" x14ac:dyDescent="0.25">
      <c r="A8" s="6"/>
      <c r="B8" s="231"/>
      <c r="C8" s="7"/>
      <c r="D8" s="231"/>
      <c r="E8" s="7"/>
      <c r="F8" s="231"/>
      <c r="G8" s="7"/>
      <c r="H8" s="231"/>
      <c r="I8" s="7"/>
      <c r="J8" s="231"/>
      <c r="K8" s="7"/>
      <c r="L8" s="231"/>
      <c r="M8" s="7"/>
      <c r="N8" s="231"/>
      <c r="O8" s="7"/>
      <c r="P8" s="231"/>
      <c r="Q8" s="7"/>
      <c r="R8" s="231"/>
      <c r="S8" s="7"/>
      <c r="T8" s="231"/>
      <c r="U8" s="7"/>
      <c r="V8" s="231"/>
      <c r="W8" s="7"/>
      <c r="X8" s="231"/>
      <c r="Y8" s="7"/>
      <c r="Z8" s="231"/>
      <c r="AA8" s="7"/>
      <c r="AB8" s="232"/>
    </row>
    <row r="9" spans="1:29" x14ac:dyDescent="0.25">
      <c r="A9" s="6"/>
      <c r="B9" s="231"/>
      <c r="C9" s="7"/>
      <c r="D9" s="231"/>
      <c r="E9" s="7"/>
      <c r="F9" s="231"/>
      <c r="G9" s="7"/>
      <c r="H9" s="231"/>
      <c r="I9" s="7"/>
      <c r="J9" s="231"/>
      <c r="K9" s="7"/>
      <c r="L9" s="231"/>
      <c r="M9" s="7"/>
      <c r="N9" s="231"/>
      <c r="O9" s="7"/>
      <c r="P9" s="231"/>
      <c r="Q9" s="7"/>
      <c r="R9" s="231"/>
      <c r="S9" s="7"/>
      <c r="T9" s="231"/>
      <c r="U9" s="7"/>
      <c r="V9" s="231"/>
      <c r="W9" s="7"/>
      <c r="X9" s="231"/>
      <c r="Y9" s="7"/>
      <c r="Z9" s="231"/>
      <c r="AA9" s="7"/>
      <c r="AB9" s="232"/>
    </row>
    <row r="10" spans="1:29" x14ac:dyDescent="0.25">
      <c r="A10" s="6"/>
      <c r="B10" s="231"/>
      <c r="C10" s="7"/>
      <c r="D10" s="231"/>
      <c r="E10" s="7"/>
      <c r="F10" s="231"/>
      <c r="G10" s="7"/>
      <c r="H10" s="231"/>
      <c r="I10" s="7"/>
      <c r="J10" s="231"/>
      <c r="K10" s="7"/>
      <c r="L10" s="231"/>
      <c r="M10" s="7"/>
      <c r="N10" s="231"/>
      <c r="O10" s="7"/>
      <c r="P10" s="231"/>
      <c r="Q10" s="7"/>
      <c r="R10" s="231"/>
      <c r="S10" s="7"/>
      <c r="T10" s="231"/>
      <c r="U10" s="7"/>
      <c r="V10" s="231"/>
      <c r="W10" s="7"/>
      <c r="X10" s="231"/>
      <c r="Y10" s="7"/>
      <c r="Z10" s="231"/>
      <c r="AA10" s="7"/>
      <c r="AB10" s="232"/>
    </row>
    <row r="11" spans="1:29" x14ac:dyDescent="0.25">
      <c r="A11" s="6"/>
      <c r="B11" s="231"/>
      <c r="C11" s="7"/>
      <c r="D11" s="231"/>
      <c r="E11" s="7"/>
      <c r="F11" s="231"/>
      <c r="G11" s="7"/>
      <c r="H11" s="231"/>
      <c r="I11" s="7"/>
      <c r="J11" s="231"/>
      <c r="K11" s="7"/>
      <c r="L11" s="231"/>
      <c r="M11" s="7"/>
      <c r="N11" s="231"/>
      <c r="O11" s="7"/>
      <c r="P11" s="231"/>
      <c r="Q11" s="7"/>
      <c r="R11" s="231"/>
      <c r="S11" s="7"/>
      <c r="T11" s="231"/>
      <c r="U11" s="7"/>
      <c r="V11" s="231"/>
      <c r="W11" s="7"/>
      <c r="X11" s="231"/>
      <c r="Y11" s="7"/>
      <c r="Z11" s="231"/>
      <c r="AA11" s="7"/>
      <c r="AB11" s="232"/>
    </row>
    <row r="12" spans="1:29" x14ac:dyDescent="0.25">
      <c r="A12" s="6"/>
      <c r="B12" s="231"/>
      <c r="C12" s="7"/>
      <c r="D12" s="231"/>
      <c r="E12" s="7"/>
      <c r="F12" s="231"/>
      <c r="G12" s="7"/>
      <c r="H12" s="231"/>
      <c r="I12" s="7"/>
      <c r="J12" s="231"/>
      <c r="K12" s="7"/>
      <c r="L12" s="231"/>
      <c r="M12" s="7"/>
      <c r="N12" s="231"/>
      <c r="O12" s="7"/>
      <c r="P12" s="231"/>
      <c r="Q12" s="7"/>
      <c r="R12" s="231"/>
      <c r="S12" s="7"/>
      <c r="T12" s="231"/>
      <c r="U12" s="7"/>
      <c r="V12" s="231"/>
      <c r="W12" s="7"/>
      <c r="X12" s="231"/>
      <c r="Y12" s="7"/>
      <c r="Z12" s="231"/>
      <c r="AA12" s="7"/>
      <c r="AB12" s="232"/>
    </row>
    <row r="13" spans="1:29" x14ac:dyDescent="0.25">
      <c r="A13" s="6"/>
      <c r="B13" s="231"/>
      <c r="C13" s="7"/>
      <c r="D13" s="231"/>
      <c r="E13" s="7"/>
      <c r="F13" s="231"/>
      <c r="G13" s="7"/>
      <c r="H13" s="231"/>
      <c r="I13" s="7"/>
      <c r="J13" s="231"/>
      <c r="K13" s="7"/>
      <c r="L13" s="231"/>
      <c r="M13" s="7"/>
      <c r="N13" s="231"/>
      <c r="O13" s="7"/>
      <c r="P13" s="231"/>
      <c r="Q13" s="7"/>
      <c r="R13" s="231"/>
      <c r="S13" s="7"/>
      <c r="T13" s="231"/>
      <c r="U13" s="7"/>
      <c r="V13" s="231"/>
      <c r="W13" s="7"/>
      <c r="X13" s="231"/>
      <c r="Y13" s="7"/>
      <c r="Z13" s="231"/>
      <c r="AA13" s="7"/>
      <c r="AB13" s="232"/>
    </row>
    <row r="14" spans="1:29" x14ac:dyDescent="0.25">
      <c r="A14" s="6"/>
      <c r="B14" s="231"/>
      <c r="C14" s="7"/>
      <c r="D14" s="231"/>
      <c r="E14" s="7"/>
      <c r="F14" s="231"/>
      <c r="G14" s="7"/>
      <c r="H14" s="231"/>
      <c r="I14" s="7"/>
      <c r="J14" s="231"/>
      <c r="K14" s="7"/>
      <c r="L14" s="231"/>
      <c r="M14" s="7"/>
      <c r="N14" s="231"/>
      <c r="O14" s="7"/>
      <c r="P14" s="231"/>
      <c r="Q14" s="7"/>
      <c r="R14" s="231"/>
      <c r="S14" s="7"/>
      <c r="T14" s="231"/>
      <c r="U14" s="7"/>
      <c r="V14" s="231"/>
      <c r="W14" s="7"/>
      <c r="X14" s="231"/>
      <c r="Y14" s="7"/>
      <c r="Z14" s="231"/>
      <c r="AA14" s="7"/>
      <c r="AB14" s="232"/>
    </row>
    <row r="15" spans="1:29" x14ac:dyDescent="0.25">
      <c r="A15" s="6"/>
      <c r="B15" s="231"/>
      <c r="C15" s="7"/>
      <c r="D15" s="231"/>
      <c r="E15" s="7"/>
      <c r="F15" s="231"/>
      <c r="G15" s="7"/>
      <c r="H15" s="231"/>
      <c r="I15" s="7"/>
      <c r="J15" s="231"/>
      <c r="K15" s="7"/>
      <c r="L15" s="231"/>
      <c r="M15" s="7"/>
      <c r="N15" s="231"/>
      <c r="O15" s="7"/>
      <c r="P15" s="231"/>
      <c r="Q15" s="7"/>
      <c r="R15" s="231"/>
      <c r="S15" s="7"/>
      <c r="T15" s="231"/>
      <c r="U15" s="7"/>
      <c r="V15" s="231"/>
      <c r="W15" s="7"/>
      <c r="X15" s="231"/>
      <c r="Y15" s="7"/>
      <c r="Z15" s="231"/>
      <c r="AA15" s="7"/>
      <c r="AB15" s="232"/>
    </row>
    <row r="16" spans="1:29" x14ac:dyDescent="0.25">
      <c r="A16" s="6"/>
      <c r="B16" s="231"/>
      <c r="C16" s="7"/>
      <c r="D16" s="231"/>
      <c r="E16" s="7"/>
      <c r="F16" s="231"/>
      <c r="G16" s="7"/>
      <c r="H16" s="231"/>
      <c r="I16" s="7"/>
      <c r="J16" s="231"/>
      <c r="K16" s="7"/>
      <c r="L16" s="231"/>
      <c r="M16" s="7"/>
      <c r="N16" s="231"/>
      <c r="O16" s="7"/>
      <c r="P16" s="231"/>
      <c r="Q16" s="7"/>
      <c r="R16" s="231"/>
      <c r="S16" s="7"/>
      <c r="T16" s="231"/>
      <c r="U16" s="7"/>
      <c r="V16" s="231"/>
      <c r="W16" s="7"/>
      <c r="X16" s="231"/>
      <c r="Y16" s="7"/>
      <c r="Z16" s="231"/>
      <c r="AA16" s="7"/>
      <c r="AB16" s="232"/>
    </row>
    <row r="17" spans="1:28" x14ac:dyDescent="0.25">
      <c r="A17" s="6"/>
      <c r="B17" s="231"/>
      <c r="C17" s="7"/>
      <c r="D17" s="231"/>
      <c r="E17" s="7"/>
      <c r="F17" s="231"/>
      <c r="G17" s="7"/>
      <c r="H17" s="231"/>
      <c r="I17" s="7"/>
      <c r="J17" s="231"/>
      <c r="K17" s="7"/>
      <c r="L17" s="231"/>
      <c r="M17" s="7"/>
      <c r="N17" s="231"/>
      <c r="O17" s="7"/>
      <c r="P17" s="231"/>
      <c r="Q17" s="7"/>
      <c r="R17" s="231"/>
      <c r="S17" s="7"/>
      <c r="T17" s="231"/>
      <c r="U17" s="7"/>
      <c r="V17" s="231"/>
      <c r="W17" s="7"/>
      <c r="X17" s="231"/>
      <c r="Y17" s="7"/>
      <c r="Z17" s="231"/>
      <c r="AA17" s="7"/>
      <c r="AB17" s="232"/>
    </row>
    <row r="18" spans="1:28" x14ac:dyDescent="0.25">
      <c r="A18" s="6"/>
      <c r="B18" s="231"/>
      <c r="C18" s="7"/>
      <c r="D18" s="231"/>
      <c r="E18" s="7"/>
      <c r="F18" s="231"/>
      <c r="G18" s="7"/>
      <c r="H18" s="231"/>
      <c r="I18" s="7"/>
      <c r="J18" s="231"/>
      <c r="K18" s="7"/>
      <c r="L18" s="231"/>
      <c r="M18" s="7"/>
      <c r="N18" s="231"/>
      <c r="O18" s="7"/>
      <c r="P18" s="231"/>
      <c r="Q18" s="7"/>
      <c r="R18" s="231"/>
      <c r="S18" s="7"/>
      <c r="T18" s="231"/>
      <c r="U18" s="7"/>
      <c r="V18" s="231"/>
      <c r="W18" s="7"/>
      <c r="X18" s="231"/>
      <c r="Y18" s="7"/>
      <c r="Z18" s="231"/>
      <c r="AA18" s="7"/>
      <c r="AB18" s="232"/>
    </row>
    <row r="19" spans="1:28" x14ac:dyDescent="0.25">
      <c r="A19" s="6"/>
      <c r="B19" s="231"/>
      <c r="C19" s="7"/>
      <c r="D19" s="231"/>
      <c r="E19" s="7"/>
      <c r="F19" s="231"/>
      <c r="G19" s="7"/>
      <c r="H19" s="231"/>
      <c r="I19" s="7"/>
      <c r="J19" s="231"/>
      <c r="K19" s="7"/>
      <c r="L19" s="231"/>
      <c r="M19" s="7"/>
      <c r="N19" s="231"/>
      <c r="O19" s="7"/>
      <c r="P19" s="231"/>
      <c r="Q19" s="7"/>
      <c r="R19" s="231"/>
      <c r="S19" s="7"/>
      <c r="T19" s="231"/>
      <c r="U19" s="7"/>
      <c r="V19" s="231"/>
      <c r="W19" s="7"/>
      <c r="X19" s="231"/>
      <c r="Y19" s="7"/>
      <c r="Z19" s="231"/>
      <c r="AA19" s="7"/>
      <c r="AB19" s="232"/>
    </row>
    <row r="20" spans="1:28" x14ac:dyDescent="0.25">
      <c r="A20" s="6"/>
      <c r="B20" s="231"/>
      <c r="C20" s="7"/>
      <c r="D20" s="231"/>
      <c r="E20" s="7"/>
      <c r="F20" s="231"/>
      <c r="G20" s="7"/>
      <c r="H20" s="231"/>
      <c r="I20" s="7"/>
      <c r="J20" s="231"/>
      <c r="K20" s="7"/>
      <c r="L20" s="231"/>
      <c r="M20" s="7"/>
      <c r="N20" s="231"/>
      <c r="O20" s="7"/>
      <c r="P20" s="231"/>
      <c r="Q20" s="7"/>
      <c r="R20" s="231"/>
      <c r="S20" s="7"/>
      <c r="T20" s="231"/>
      <c r="U20" s="7"/>
      <c r="V20" s="231"/>
      <c r="W20" s="7"/>
      <c r="X20" s="231"/>
      <c r="Y20" s="7"/>
      <c r="Z20" s="231"/>
      <c r="AA20" s="7"/>
      <c r="AB20" s="232"/>
    </row>
    <row r="21" spans="1:28" ht="15.75" customHeight="1" x14ac:dyDescent="0.25">
      <c r="A21" s="6"/>
      <c r="B21" s="231"/>
      <c r="C21" s="7"/>
      <c r="D21" s="231"/>
      <c r="E21" s="7"/>
      <c r="F21" s="231"/>
      <c r="G21" s="7"/>
      <c r="H21" s="231"/>
      <c r="I21" s="7"/>
      <c r="J21" s="231"/>
      <c r="K21" s="7"/>
      <c r="L21" s="231"/>
      <c r="M21" s="7"/>
      <c r="N21" s="231"/>
      <c r="O21" s="7"/>
      <c r="P21" s="231"/>
      <c r="Q21" s="7"/>
      <c r="R21" s="231"/>
      <c r="S21" s="7"/>
      <c r="T21" s="231"/>
      <c r="U21" s="7"/>
      <c r="V21" s="231"/>
      <c r="W21" s="7"/>
      <c r="X21" s="231"/>
      <c r="Y21" s="7"/>
      <c r="Z21" s="231"/>
      <c r="AA21" s="7"/>
      <c r="AB21" s="232"/>
    </row>
    <row r="22" spans="1:28" ht="15.75" customHeight="1" x14ac:dyDescent="0.25">
      <c r="A22" s="6"/>
      <c r="B22" s="231"/>
      <c r="C22" s="7"/>
      <c r="D22" s="231"/>
      <c r="E22" s="7"/>
      <c r="F22" s="231"/>
      <c r="G22" s="7"/>
      <c r="H22" s="231"/>
      <c r="I22" s="7"/>
      <c r="J22" s="231"/>
      <c r="K22" s="7"/>
      <c r="L22" s="231"/>
      <c r="M22" s="7"/>
      <c r="N22" s="231"/>
      <c r="O22" s="7"/>
      <c r="P22" s="231"/>
      <c r="Q22" s="7"/>
      <c r="R22" s="231"/>
      <c r="S22" s="7"/>
      <c r="T22" s="231"/>
      <c r="U22" s="7"/>
      <c r="V22" s="231"/>
      <c r="W22" s="7"/>
      <c r="X22" s="231"/>
      <c r="Y22" s="7"/>
      <c r="Z22" s="231"/>
      <c r="AA22" s="7"/>
      <c r="AB22" s="232"/>
    </row>
    <row r="23" spans="1:28" ht="15.75" customHeight="1" x14ac:dyDescent="0.25">
      <c r="A23" s="6"/>
      <c r="B23" s="231"/>
      <c r="C23" s="7"/>
      <c r="D23" s="231"/>
      <c r="E23" s="7"/>
      <c r="F23" s="231"/>
      <c r="G23" s="7"/>
      <c r="H23" s="231"/>
      <c r="I23" s="7"/>
      <c r="J23" s="231"/>
      <c r="K23" s="7"/>
      <c r="L23" s="231"/>
      <c r="M23" s="7"/>
      <c r="N23" s="231"/>
      <c r="O23" s="7"/>
      <c r="P23" s="231"/>
      <c r="Q23" s="7"/>
      <c r="R23" s="231"/>
      <c r="S23" s="7"/>
      <c r="T23" s="231"/>
      <c r="U23" s="7"/>
      <c r="V23" s="231"/>
      <c r="W23" s="7"/>
      <c r="X23" s="231"/>
      <c r="Y23" s="7"/>
      <c r="Z23" s="231"/>
      <c r="AA23" s="7"/>
      <c r="AB23" s="232"/>
    </row>
    <row r="24" spans="1:28" ht="15.75" customHeight="1" x14ac:dyDescent="0.25">
      <c r="A24" s="6"/>
      <c r="B24" s="231"/>
      <c r="C24" s="7"/>
      <c r="D24" s="231"/>
      <c r="E24" s="7"/>
      <c r="F24" s="231"/>
      <c r="G24" s="7"/>
      <c r="H24" s="231"/>
      <c r="I24" s="7"/>
      <c r="J24" s="231"/>
      <c r="K24" s="7"/>
      <c r="L24" s="231"/>
      <c r="M24" s="7"/>
      <c r="N24" s="231"/>
      <c r="O24" s="7"/>
      <c r="P24" s="231"/>
      <c r="Q24" s="7"/>
      <c r="R24" s="231"/>
      <c r="S24" s="7"/>
      <c r="T24" s="231"/>
      <c r="U24" s="7"/>
      <c r="V24" s="231"/>
      <c r="W24" s="7"/>
      <c r="X24" s="231"/>
      <c r="Y24" s="7"/>
      <c r="Z24" s="231"/>
      <c r="AA24" s="7"/>
      <c r="AB24" s="232"/>
    </row>
    <row r="25" spans="1:28" ht="15.75" customHeight="1" x14ac:dyDescent="0.25">
      <c r="A25" s="6"/>
      <c r="B25" s="231"/>
      <c r="C25" s="7"/>
      <c r="D25" s="231"/>
      <c r="E25" s="7"/>
      <c r="F25" s="231"/>
      <c r="G25" s="7"/>
      <c r="H25" s="231"/>
      <c r="I25" s="7"/>
      <c r="J25" s="231"/>
      <c r="K25" s="7"/>
      <c r="L25" s="231"/>
      <c r="M25" s="7"/>
      <c r="N25" s="231"/>
      <c r="O25" s="7"/>
      <c r="P25" s="231"/>
      <c r="Q25" s="7"/>
      <c r="R25" s="231"/>
      <c r="S25" s="7"/>
      <c r="T25" s="231"/>
      <c r="U25" s="7"/>
      <c r="V25" s="231"/>
      <c r="W25" s="7"/>
      <c r="X25" s="231"/>
      <c r="Y25" s="7"/>
      <c r="Z25" s="231"/>
      <c r="AA25" s="7"/>
      <c r="AB25" s="232"/>
    </row>
    <row r="26" spans="1:28" ht="15.75" customHeight="1" x14ac:dyDescent="0.25">
      <c r="A26" s="6"/>
      <c r="B26" s="231"/>
      <c r="C26" s="7"/>
      <c r="D26" s="231"/>
      <c r="E26" s="7"/>
      <c r="F26" s="231"/>
      <c r="G26" s="7"/>
      <c r="H26" s="231"/>
      <c r="I26" s="7"/>
      <c r="J26" s="231"/>
      <c r="K26" s="7"/>
      <c r="L26" s="231"/>
      <c r="M26" s="7"/>
      <c r="N26" s="231"/>
      <c r="O26" s="7"/>
      <c r="P26" s="231"/>
      <c r="Q26" s="7"/>
      <c r="R26" s="231"/>
      <c r="S26" s="7"/>
      <c r="T26" s="231"/>
      <c r="U26" s="7"/>
      <c r="V26" s="231"/>
      <c r="W26" s="7"/>
      <c r="X26" s="231"/>
      <c r="Y26" s="7"/>
      <c r="Z26" s="231"/>
      <c r="AA26" s="7"/>
      <c r="AB26" s="232"/>
    </row>
    <row r="27" spans="1:28" ht="15.75" customHeight="1" x14ac:dyDescent="0.25">
      <c r="A27" s="6"/>
      <c r="B27" s="231"/>
      <c r="C27" s="7"/>
      <c r="D27" s="231"/>
      <c r="E27" s="7"/>
      <c r="F27" s="231"/>
      <c r="G27" s="7"/>
      <c r="H27" s="231"/>
      <c r="I27" s="7"/>
      <c r="J27" s="231"/>
      <c r="K27" s="7"/>
      <c r="L27" s="231"/>
      <c r="M27" s="7"/>
      <c r="N27" s="231"/>
      <c r="O27" s="7"/>
      <c r="P27" s="231"/>
      <c r="Q27" s="7"/>
      <c r="R27" s="231"/>
      <c r="S27" s="7"/>
      <c r="T27" s="231"/>
      <c r="U27" s="7"/>
      <c r="V27" s="231"/>
      <c r="W27" s="7"/>
      <c r="X27" s="231"/>
      <c r="Y27" s="7"/>
      <c r="Z27" s="231"/>
      <c r="AA27" s="7"/>
      <c r="AB27" s="232"/>
    </row>
    <row r="28" spans="1:28" ht="15.75" customHeight="1" x14ac:dyDescent="0.25">
      <c r="A28" s="6"/>
      <c r="B28" s="231"/>
      <c r="C28" s="7"/>
      <c r="D28" s="231"/>
      <c r="E28" s="7"/>
      <c r="F28" s="231"/>
      <c r="G28" s="7"/>
      <c r="H28" s="231"/>
      <c r="I28" s="7"/>
      <c r="J28" s="231"/>
      <c r="K28" s="7"/>
      <c r="L28" s="231"/>
      <c r="M28" s="7"/>
      <c r="N28" s="231"/>
      <c r="O28" s="7"/>
      <c r="P28" s="231"/>
      <c r="Q28" s="7"/>
      <c r="R28" s="231"/>
      <c r="S28" s="7"/>
      <c r="T28" s="231"/>
      <c r="U28" s="7"/>
      <c r="V28" s="231"/>
      <c r="W28" s="7"/>
      <c r="X28" s="231"/>
      <c r="Y28" s="7"/>
      <c r="Z28" s="231"/>
      <c r="AA28" s="7"/>
      <c r="AB28" s="232"/>
    </row>
    <row r="29" spans="1:28" ht="15.75" customHeight="1" x14ac:dyDescent="0.25">
      <c r="A29" s="6"/>
      <c r="B29" s="231"/>
      <c r="C29" s="7"/>
      <c r="D29" s="231"/>
      <c r="E29" s="7"/>
      <c r="F29" s="231"/>
      <c r="G29" s="7"/>
      <c r="H29" s="231"/>
      <c r="I29" s="7"/>
      <c r="J29" s="231"/>
      <c r="K29" s="7"/>
      <c r="L29" s="231"/>
      <c r="M29" s="7"/>
      <c r="N29" s="231"/>
      <c r="O29" s="7"/>
      <c r="P29" s="231"/>
      <c r="Q29" s="7"/>
      <c r="R29" s="231"/>
      <c r="S29" s="7"/>
      <c r="T29" s="231"/>
      <c r="U29" s="7"/>
      <c r="V29" s="231"/>
      <c r="W29" s="7"/>
      <c r="X29" s="231"/>
      <c r="Y29" s="7"/>
      <c r="Z29" s="231"/>
      <c r="AA29" s="7"/>
      <c r="AB29" s="232"/>
    </row>
    <row r="30" spans="1:28" ht="15.75" customHeight="1" x14ac:dyDescent="0.25">
      <c r="A30" s="6"/>
      <c r="B30" s="231"/>
      <c r="C30" s="7"/>
      <c r="D30" s="231"/>
      <c r="E30" s="7"/>
      <c r="F30" s="231"/>
      <c r="G30" s="7"/>
      <c r="H30" s="231"/>
      <c r="I30" s="7"/>
      <c r="J30" s="231"/>
      <c r="K30" s="7"/>
      <c r="L30" s="231"/>
      <c r="M30" s="7"/>
      <c r="N30" s="231"/>
      <c r="O30" s="7"/>
      <c r="P30" s="231"/>
      <c r="Q30" s="7"/>
      <c r="R30" s="231"/>
      <c r="S30" s="7"/>
      <c r="T30" s="231"/>
      <c r="U30" s="7"/>
      <c r="V30" s="231"/>
      <c r="W30" s="7"/>
      <c r="X30" s="231"/>
      <c r="Y30" s="7"/>
      <c r="Z30" s="231"/>
      <c r="AA30" s="7"/>
      <c r="AB30" s="232"/>
    </row>
    <row r="31" spans="1:28" ht="15.75" customHeight="1" x14ac:dyDescent="0.25">
      <c r="A31" s="6"/>
      <c r="B31" s="231"/>
      <c r="C31" s="7"/>
      <c r="D31" s="231"/>
      <c r="E31" s="7"/>
      <c r="F31" s="231"/>
      <c r="G31" s="7"/>
      <c r="H31" s="231"/>
      <c r="I31" s="7"/>
      <c r="J31" s="231"/>
      <c r="K31" s="7"/>
      <c r="L31" s="231"/>
      <c r="M31" s="7"/>
      <c r="N31" s="231"/>
      <c r="O31" s="7"/>
      <c r="P31" s="231"/>
      <c r="Q31" s="7"/>
      <c r="R31" s="231"/>
      <c r="S31" s="7"/>
      <c r="T31" s="231"/>
      <c r="U31" s="7"/>
      <c r="V31" s="231"/>
      <c r="W31" s="7"/>
      <c r="X31" s="231"/>
      <c r="Y31" s="7"/>
      <c r="Z31" s="231"/>
      <c r="AA31" s="7"/>
      <c r="AB31" s="232"/>
    </row>
    <row r="32" spans="1:28" ht="15.75" customHeight="1" x14ac:dyDescent="0.25">
      <c r="A32" s="6"/>
      <c r="B32" s="231"/>
      <c r="C32" s="7"/>
      <c r="D32" s="231"/>
      <c r="E32" s="7"/>
      <c r="F32" s="231"/>
      <c r="G32" s="7"/>
      <c r="H32" s="231"/>
      <c r="I32" s="7"/>
      <c r="J32" s="231"/>
      <c r="K32" s="7"/>
      <c r="L32" s="231"/>
      <c r="M32" s="7"/>
      <c r="N32" s="231"/>
      <c r="O32" s="7"/>
      <c r="P32" s="231"/>
      <c r="Q32" s="7"/>
      <c r="R32" s="231"/>
      <c r="S32" s="7"/>
      <c r="T32" s="231"/>
      <c r="U32" s="7"/>
      <c r="V32" s="231"/>
      <c r="W32" s="7"/>
      <c r="X32" s="231"/>
      <c r="Y32" s="7"/>
      <c r="Z32" s="231"/>
      <c r="AA32" s="7"/>
      <c r="AB32" s="232"/>
    </row>
    <row r="33" spans="1:30" ht="15.75" customHeight="1" x14ac:dyDescent="0.25">
      <c r="A33" s="6"/>
      <c r="B33" s="231"/>
      <c r="C33" s="7"/>
      <c r="D33" s="231"/>
      <c r="E33" s="7"/>
      <c r="F33" s="231"/>
      <c r="G33" s="7"/>
      <c r="H33" s="231"/>
      <c r="I33" s="7"/>
      <c r="J33" s="231"/>
      <c r="K33" s="7"/>
      <c r="L33" s="231"/>
      <c r="M33" s="7"/>
      <c r="N33" s="231"/>
      <c r="O33" s="7"/>
      <c r="P33" s="231"/>
      <c r="Q33" s="7"/>
      <c r="R33" s="231"/>
      <c r="S33" s="7"/>
      <c r="T33" s="231"/>
      <c r="U33" s="7"/>
      <c r="V33" s="231"/>
      <c r="W33" s="7"/>
      <c r="X33" s="231"/>
      <c r="Y33" s="7"/>
      <c r="Z33" s="231"/>
      <c r="AA33" s="7"/>
      <c r="AB33" s="232"/>
    </row>
    <row r="34" spans="1:30" ht="15.75" customHeight="1" x14ac:dyDescent="0.25">
      <c r="A34" s="6"/>
      <c r="B34" s="231"/>
      <c r="C34" s="7"/>
      <c r="D34" s="231"/>
      <c r="E34" s="7"/>
      <c r="F34" s="231"/>
      <c r="G34" s="7"/>
      <c r="H34" s="231"/>
      <c r="I34" s="7"/>
      <c r="J34" s="231"/>
      <c r="K34" s="7"/>
      <c r="L34" s="231"/>
      <c r="M34" s="7"/>
      <c r="N34" s="231"/>
      <c r="O34" s="7"/>
      <c r="P34" s="231"/>
      <c r="Q34" s="7"/>
      <c r="R34" s="231"/>
      <c r="S34" s="7"/>
      <c r="T34" s="231"/>
      <c r="U34" s="7"/>
      <c r="V34" s="231"/>
      <c r="W34" s="7"/>
      <c r="X34" s="231"/>
      <c r="Y34" s="7"/>
      <c r="Z34" s="231"/>
      <c r="AA34" s="7"/>
      <c r="AB34" s="232"/>
    </row>
    <row r="35" spans="1:30" ht="15.75" customHeight="1" x14ac:dyDescent="0.25">
      <c r="A35" s="6"/>
      <c r="B35" s="231"/>
      <c r="C35" s="7"/>
      <c r="D35" s="231"/>
      <c r="E35" s="7"/>
      <c r="F35" s="231"/>
      <c r="G35" s="7"/>
      <c r="H35" s="231"/>
      <c r="I35" s="7"/>
      <c r="J35" s="231"/>
      <c r="K35" s="7"/>
      <c r="L35" s="231"/>
      <c r="M35" s="7"/>
      <c r="N35" s="231"/>
      <c r="O35" s="7"/>
      <c r="P35" s="231"/>
      <c r="Q35" s="7"/>
      <c r="R35" s="231"/>
      <c r="S35" s="7"/>
      <c r="T35" s="231"/>
      <c r="U35" s="7"/>
      <c r="V35" s="231"/>
      <c r="W35" s="7"/>
      <c r="X35" s="231"/>
      <c r="Y35" s="7"/>
      <c r="Z35" s="231"/>
      <c r="AA35" s="7"/>
      <c r="AB35" s="232"/>
    </row>
    <row r="36" spans="1:30" ht="15.75" customHeight="1" x14ac:dyDescent="0.25">
      <c r="A36" s="4"/>
      <c r="B36" s="231"/>
      <c r="C36" s="5"/>
      <c r="D36" s="231"/>
      <c r="E36" s="5"/>
      <c r="F36" s="231"/>
      <c r="G36" s="5"/>
      <c r="H36" s="231"/>
      <c r="I36" s="5"/>
      <c r="J36" s="231"/>
      <c r="K36" s="5"/>
      <c r="L36" s="231"/>
      <c r="M36" s="5"/>
      <c r="N36" s="231"/>
      <c r="O36" s="5"/>
      <c r="P36" s="231"/>
      <c r="Q36" s="5"/>
      <c r="R36" s="231"/>
      <c r="S36" s="5"/>
      <c r="T36" s="231"/>
      <c r="U36" s="5"/>
      <c r="V36" s="231"/>
      <c r="W36" s="5"/>
      <c r="X36" s="231"/>
      <c r="Y36" s="5"/>
      <c r="Z36" s="231"/>
      <c r="AA36" s="5"/>
      <c r="AB36" s="232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224">
        <f>SUM(A38:AC38)</f>
        <v>8105.7</v>
      </c>
      <c r="B40" s="225"/>
      <c r="C40" s="225"/>
      <c r="D40" s="226"/>
    </row>
    <row r="41" spans="1:30" ht="15.75" customHeight="1" x14ac:dyDescent="0.25">
      <c r="A41" s="227"/>
      <c r="B41" s="228"/>
      <c r="C41" s="228"/>
      <c r="D41" s="229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986"/>
  <sheetViews>
    <sheetView tabSelected="1" zoomScale="129" zoomScaleNormal="129" zoomScalePageLayoutView="55" workbookViewId="0">
      <selection sqref="A1:K1"/>
    </sheetView>
  </sheetViews>
  <sheetFormatPr defaultColWidth="9.140625" defaultRowHeight="26.25" x14ac:dyDescent="0.4"/>
  <cols>
    <col min="1" max="1" width="14.7109375" style="195" customWidth="1"/>
    <col min="2" max="3" width="14.7109375" style="64" customWidth="1"/>
    <col min="4" max="4" width="8.7109375" style="64" customWidth="1"/>
    <col min="5" max="5" width="21.7109375" style="64" customWidth="1"/>
    <col min="6" max="11" width="21.7109375" style="65" customWidth="1"/>
    <col min="12" max="16384" width="9.140625" style="64"/>
  </cols>
  <sheetData>
    <row r="1" spans="1:24" ht="24.95" customHeight="1" thickBot="1" x14ac:dyDescent="0.45">
      <c r="A1" s="236" t="s">
        <v>15</v>
      </c>
      <c r="B1" s="237"/>
      <c r="C1" s="237"/>
      <c r="D1" s="237"/>
      <c r="E1" s="237"/>
      <c r="F1" s="237"/>
      <c r="G1" s="237"/>
      <c r="H1" s="237"/>
      <c r="I1" s="237"/>
      <c r="J1" s="237"/>
      <c r="K1" s="238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</row>
    <row r="2" spans="1:24" ht="21.95" customHeight="1" thickBot="1" x14ac:dyDescent="0.45">
      <c r="A2" s="248" t="s">
        <v>18</v>
      </c>
      <c r="B2" s="249"/>
      <c r="C2" s="250"/>
      <c r="D2" s="112" t="s">
        <v>27</v>
      </c>
      <c r="E2" s="113" t="s">
        <v>4</v>
      </c>
      <c r="F2" s="114" t="s">
        <v>16</v>
      </c>
      <c r="G2" s="115" t="s">
        <v>17</v>
      </c>
      <c r="H2" s="115" t="s">
        <v>2</v>
      </c>
      <c r="I2" s="115" t="s">
        <v>3</v>
      </c>
      <c r="J2" s="115" t="s">
        <v>6</v>
      </c>
      <c r="K2" s="116" t="s">
        <v>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</row>
    <row r="3" spans="1:24" s="73" customFormat="1" ht="18.600000000000001" customHeight="1" x14ac:dyDescent="0.35">
      <c r="A3" s="117" t="s">
        <v>30</v>
      </c>
      <c r="B3" s="254" t="s">
        <v>7</v>
      </c>
      <c r="C3" s="255"/>
      <c r="D3" s="118">
        <v>102</v>
      </c>
      <c r="E3" s="119">
        <f>SUM(F3:K3)</f>
        <v>25.675000000000001</v>
      </c>
      <c r="F3" s="120"/>
      <c r="G3" s="121">
        <f>'STOK DETAY'!D6</f>
        <v>25.675000000000001</v>
      </c>
      <c r="H3" s="121"/>
      <c r="I3" s="121"/>
      <c r="J3" s="121"/>
      <c r="K3" s="122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</row>
    <row r="4" spans="1:24" s="73" customFormat="1" ht="18.600000000000001" customHeight="1" x14ac:dyDescent="0.35">
      <c r="A4" s="123" t="s">
        <v>31</v>
      </c>
      <c r="B4" s="256" t="s">
        <v>7</v>
      </c>
      <c r="C4" s="257"/>
      <c r="D4" s="124">
        <v>102</v>
      </c>
      <c r="E4" s="125">
        <f t="shared" ref="E4:E7" si="0">SUM(F4:K4)</f>
        <v>0</v>
      </c>
      <c r="F4" s="126"/>
      <c r="G4" s="127">
        <f>'STOK DETAY'!E6</f>
        <v>0</v>
      </c>
      <c r="H4" s="127"/>
      <c r="I4" s="127"/>
      <c r="J4" s="127"/>
      <c r="K4" s="128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</row>
    <row r="5" spans="1:24" s="73" customFormat="1" ht="18.600000000000001" customHeight="1" x14ac:dyDescent="0.35">
      <c r="A5" s="123" t="s">
        <v>32</v>
      </c>
      <c r="B5" s="256" t="s">
        <v>7</v>
      </c>
      <c r="C5" s="257"/>
      <c r="D5" s="124">
        <v>102</v>
      </c>
      <c r="E5" s="125">
        <f t="shared" si="0"/>
        <v>0</v>
      </c>
      <c r="F5" s="126"/>
      <c r="G5" s="127">
        <f>'STOK DETAY'!F6</f>
        <v>0</v>
      </c>
      <c r="H5" s="127"/>
      <c r="I5" s="127"/>
      <c r="J5" s="127"/>
      <c r="K5" s="128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</row>
    <row r="6" spans="1:24" s="73" customFormat="1" ht="18.600000000000001" customHeight="1" thickBot="1" x14ac:dyDescent="0.4">
      <c r="A6" s="129" t="s">
        <v>33</v>
      </c>
      <c r="B6" s="261" t="s">
        <v>7</v>
      </c>
      <c r="C6" s="262"/>
      <c r="D6" s="130"/>
      <c r="E6" s="131">
        <f t="shared" si="0"/>
        <v>0</v>
      </c>
      <c r="F6" s="132"/>
      <c r="G6" s="133">
        <f>'STOK DETAY'!G6</f>
        <v>0</v>
      </c>
      <c r="H6" s="133"/>
      <c r="I6" s="133"/>
      <c r="J6" s="133"/>
      <c r="K6" s="13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</row>
    <row r="7" spans="1:24" ht="21.95" customHeight="1" thickBot="1" x14ac:dyDescent="0.45">
      <c r="A7" s="245" t="s">
        <v>4</v>
      </c>
      <c r="B7" s="246"/>
      <c r="C7" s="246"/>
      <c r="D7" s="247"/>
      <c r="E7" s="135">
        <f t="shared" si="0"/>
        <v>25.675000000000001</v>
      </c>
      <c r="F7" s="136">
        <f>SUM(F3:F6)</f>
        <v>0</v>
      </c>
      <c r="G7" s="137">
        <f t="shared" ref="G7:J7" si="1">SUM(G3:G6)</f>
        <v>25.675000000000001</v>
      </c>
      <c r="H7" s="137">
        <f>SUM(H3:H6)</f>
        <v>0</v>
      </c>
      <c r="I7" s="137">
        <f t="shared" si="1"/>
        <v>0</v>
      </c>
      <c r="J7" s="137">
        <f t="shared" si="1"/>
        <v>0</v>
      </c>
      <c r="K7" s="138">
        <f>SUM(K3:K6)</f>
        <v>0</v>
      </c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</row>
    <row r="8" spans="1:24" ht="21.95" customHeight="1" thickBot="1" x14ac:dyDescent="0.45">
      <c r="A8" s="263" t="s">
        <v>14</v>
      </c>
      <c r="B8" s="264"/>
      <c r="C8" s="265"/>
      <c r="D8" s="113" t="s">
        <v>27</v>
      </c>
      <c r="E8" s="113" t="s">
        <v>4</v>
      </c>
      <c r="F8" s="189" t="s">
        <v>16</v>
      </c>
      <c r="G8" s="190" t="s">
        <v>17</v>
      </c>
      <c r="H8" s="190" t="s">
        <v>2</v>
      </c>
      <c r="I8" s="190" t="s">
        <v>3</v>
      </c>
      <c r="J8" s="190" t="s">
        <v>6</v>
      </c>
      <c r="K8" s="191" t="s">
        <v>5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</row>
    <row r="9" spans="1:24" s="73" customFormat="1" ht="18.600000000000001" customHeight="1" x14ac:dyDescent="0.35">
      <c r="A9" s="117" t="s">
        <v>34</v>
      </c>
      <c r="B9" s="139" t="s">
        <v>7</v>
      </c>
      <c r="C9" s="140" t="s">
        <v>14</v>
      </c>
      <c r="D9" s="141">
        <v>312</v>
      </c>
      <c r="E9" s="119">
        <f>SUM(F9:K9)</f>
        <v>92.75</v>
      </c>
      <c r="F9" s="120">
        <f>'STOK DETAY'!H6</f>
        <v>92.75</v>
      </c>
      <c r="G9" s="121"/>
      <c r="H9" s="121"/>
      <c r="I9" s="121"/>
      <c r="J9" s="121"/>
      <c r="K9" s="122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</row>
    <row r="10" spans="1:24" s="73" customFormat="1" ht="18.600000000000001" customHeight="1" x14ac:dyDescent="0.35">
      <c r="A10" s="117">
        <v>0.15</v>
      </c>
      <c r="B10" s="175" t="s">
        <v>7</v>
      </c>
      <c r="C10" s="176" t="s">
        <v>14</v>
      </c>
      <c r="D10" s="141">
        <v>113</v>
      </c>
      <c r="E10" s="125">
        <f t="shared" ref="E10:E51" si="2">SUM(F10:K10)</f>
        <v>6.06</v>
      </c>
      <c r="F10" s="177">
        <f>'STOK DETAY'!I6</f>
        <v>6.06</v>
      </c>
      <c r="G10" s="178"/>
      <c r="H10" s="178"/>
      <c r="I10" s="178"/>
      <c r="J10" s="178"/>
      <c r="K10" s="179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</row>
    <row r="11" spans="1:24" s="73" customFormat="1" ht="18.600000000000001" customHeight="1" x14ac:dyDescent="0.35">
      <c r="A11" s="123">
        <v>0.16</v>
      </c>
      <c r="B11" s="142" t="s">
        <v>7</v>
      </c>
      <c r="C11" s="143" t="s">
        <v>14</v>
      </c>
      <c r="D11" s="144">
        <v>113</v>
      </c>
      <c r="E11" s="125">
        <f t="shared" si="2"/>
        <v>32.06</v>
      </c>
      <c r="F11" s="145">
        <f>'STOK DETAY'!J6</f>
        <v>32.06</v>
      </c>
      <c r="G11" s="146"/>
      <c r="H11" s="146"/>
      <c r="I11" s="146"/>
      <c r="J11" s="146"/>
      <c r="K11" s="147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</row>
    <row r="12" spans="1:24" s="73" customFormat="1" ht="18.600000000000001" customHeight="1" x14ac:dyDescent="0.35">
      <c r="A12" s="123">
        <v>0.2</v>
      </c>
      <c r="B12" s="148" t="s">
        <v>7</v>
      </c>
      <c r="C12" s="143" t="s">
        <v>14</v>
      </c>
      <c r="D12" s="144">
        <v>103</v>
      </c>
      <c r="E12" s="125">
        <f t="shared" si="2"/>
        <v>0</v>
      </c>
      <c r="F12" s="145">
        <f>'STOK DETAY'!K6</f>
        <v>0</v>
      </c>
      <c r="G12" s="146"/>
      <c r="H12" s="146"/>
      <c r="I12" s="146"/>
      <c r="J12" s="146"/>
      <c r="K12" s="147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</row>
    <row r="13" spans="1:24" s="73" customFormat="1" ht="18.600000000000001" customHeight="1" x14ac:dyDescent="0.35">
      <c r="A13" s="123">
        <v>0.25</v>
      </c>
      <c r="B13" s="148" t="s">
        <v>7</v>
      </c>
      <c r="C13" s="143" t="s">
        <v>14</v>
      </c>
      <c r="D13" s="144">
        <v>103</v>
      </c>
      <c r="E13" s="125">
        <f t="shared" si="2"/>
        <v>0</v>
      </c>
      <c r="F13" s="145">
        <f>'STOK DETAY'!L6</f>
        <v>0</v>
      </c>
      <c r="G13" s="146"/>
      <c r="H13" s="146"/>
      <c r="I13" s="146"/>
      <c r="J13" s="146"/>
      <c r="K13" s="147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</row>
    <row r="14" spans="1:24" s="73" customFormat="1" ht="18.600000000000001" customHeight="1" x14ac:dyDescent="0.35">
      <c r="A14" s="123">
        <v>0.28000000000000003</v>
      </c>
      <c r="B14" s="148" t="s">
        <v>8</v>
      </c>
      <c r="C14" s="143" t="s">
        <v>14</v>
      </c>
      <c r="D14" s="144">
        <v>212</v>
      </c>
      <c r="E14" s="125">
        <f t="shared" si="2"/>
        <v>89.04</v>
      </c>
      <c r="F14" s="145">
        <f>'STOK DETAY'!M6</f>
        <v>89.04</v>
      </c>
      <c r="G14" s="146"/>
      <c r="H14" s="146"/>
      <c r="I14" s="146"/>
      <c r="J14" s="146"/>
      <c r="K14" s="147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</row>
    <row r="15" spans="1:24" s="73" customFormat="1" ht="18.600000000000001" customHeight="1" x14ac:dyDescent="0.35">
      <c r="A15" s="123">
        <v>0.3</v>
      </c>
      <c r="B15" s="148" t="s">
        <v>7</v>
      </c>
      <c r="C15" s="143" t="s">
        <v>14</v>
      </c>
      <c r="D15" s="144">
        <v>201</v>
      </c>
      <c r="E15" s="125">
        <f t="shared" si="2"/>
        <v>26.79</v>
      </c>
      <c r="F15" s="145">
        <f>'STOK DETAY'!N6</f>
        <v>26.79</v>
      </c>
      <c r="G15" s="146"/>
      <c r="H15" s="149"/>
      <c r="I15" s="146"/>
      <c r="J15" s="146"/>
      <c r="K15" s="147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</row>
    <row r="16" spans="1:24" s="73" customFormat="1" ht="18.600000000000001" customHeight="1" x14ac:dyDescent="0.35">
      <c r="A16" s="123">
        <v>0.35</v>
      </c>
      <c r="B16" s="148" t="s">
        <v>7</v>
      </c>
      <c r="C16" s="143" t="s">
        <v>14</v>
      </c>
      <c r="D16" s="144">
        <v>201</v>
      </c>
      <c r="E16" s="125">
        <f t="shared" si="2"/>
        <v>14.455</v>
      </c>
      <c r="F16" s="145">
        <f>'STOK DETAY'!O6</f>
        <v>14.455</v>
      </c>
      <c r="G16" s="146"/>
      <c r="H16" s="146"/>
      <c r="I16" s="146"/>
      <c r="J16" s="146"/>
      <c r="K16" s="147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</row>
    <row r="17" spans="1:24" s="73" customFormat="1" ht="18.600000000000001" customHeight="1" x14ac:dyDescent="0.35">
      <c r="A17" s="123">
        <v>0.4</v>
      </c>
      <c r="B17" s="148" t="s">
        <v>7</v>
      </c>
      <c r="C17" s="143" t="s">
        <v>14</v>
      </c>
      <c r="D17" s="144">
        <v>202</v>
      </c>
      <c r="E17" s="125">
        <f t="shared" si="2"/>
        <v>38.564999999999998</v>
      </c>
      <c r="F17" s="145">
        <f>'STOK DETAY'!P6</f>
        <v>38.564999999999998</v>
      </c>
      <c r="G17" s="146"/>
      <c r="H17" s="146"/>
      <c r="I17" s="146"/>
      <c r="J17" s="146"/>
      <c r="K17" s="147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</row>
    <row r="18" spans="1:24" s="73" customFormat="1" ht="18.600000000000001" customHeight="1" x14ac:dyDescent="0.35">
      <c r="A18" s="123">
        <v>0.45</v>
      </c>
      <c r="B18" s="148" t="s">
        <v>7</v>
      </c>
      <c r="C18" s="143" t="s">
        <v>14</v>
      </c>
      <c r="D18" s="144">
        <v>202</v>
      </c>
      <c r="E18" s="125">
        <f t="shared" si="2"/>
        <v>16.21</v>
      </c>
      <c r="F18" s="145">
        <f>'STOK DETAY'!Q6</f>
        <v>16.21</v>
      </c>
      <c r="G18" s="146"/>
      <c r="H18" s="146"/>
      <c r="I18" s="146"/>
      <c r="J18" s="146"/>
      <c r="K18" s="147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</row>
    <row r="19" spans="1:24" s="73" customFormat="1" ht="18.600000000000001" customHeight="1" x14ac:dyDescent="0.35">
      <c r="A19" s="126">
        <v>0.47499999999999998</v>
      </c>
      <c r="B19" s="148" t="s">
        <v>7</v>
      </c>
      <c r="C19" s="143" t="s">
        <v>14</v>
      </c>
      <c r="D19" s="144">
        <v>212</v>
      </c>
      <c r="E19" s="125">
        <f t="shared" si="2"/>
        <v>24.22</v>
      </c>
      <c r="F19" s="145">
        <f>'STOK DETAY'!R6</f>
        <v>24.22</v>
      </c>
      <c r="G19" s="146"/>
      <c r="H19" s="146"/>
      <c r="I19" s="146"/>
      <c r="J19" s="146"/>
      <c r="K19" s="147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</row>
    <row r="20" spans="1:24" s="73" customFormat="1" ht="18.600000000000001" customHeight="1" x14ac:dyDescent="0.35">
      <c r="A20" s="123">
        <v>0.5</v>
      </c>
      <c r="B20" s="148" t="s">
        <v>7</v>
      </c>
      <c r="C20" s="188" t="s">
        <v>14</v>
      </c>
      <c r="D20" s="144">
        <v>203</v>
      </c>
      <c r="E20" s="125">
        <f t="shared" si="2"/>
        <v>65.760000000000005</v>
      </c>
      <c r="F20" s="145">
        <f>'STOK DETAY'!S6</f>
        <v>65.760000000000005</v>
      </c>
      <c r="G20" s="146"/>
      <c r="H20" s="146"/>
      <c r="I20" s="146"/>
      <c r="J20" s="146"/>
      <c r="K20" s="147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</row>
    <row r="21" spans="1:24" s="73" customFormat="1" ht="18.600000000000001" customHeight="1" x14ac:dyDescent="0.35">
      <c r="A21" s="123">
        <v>0.55000000000000004</v>
      </c>
      <c r="B21" s="148" t="s">
        <v>7</v>
      </c>
      <c r="C21" s="188" t="s">
        <v>14</v>
      </c>
      <c r="D21" s="144">
        <v>203</v>
      </c>
      <c r="E21" s="125">
        <f t="shared" si="2"/>
        <v>7.94</v>
      </c>
      <c r="F21" s="145">
        <f>'STOK DETAY'!T6</f>
        <v>7.94</v>
      </c>
      <c r="G21" s="146"/>
      <c r="H21" s="146"/>
      <c r="I21" s="146"/>
      <c r="J21" s="146"/>
      <c r="K21" s="147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</row>
    <row r="22" spans="1:24" s="73" customFormat="1" ht="18.600000000000001" customHeight="1" x14ac:dyDescent="0.35">
      <c r="A22" s="123">
        <v>0.6</v>
      </c>
      <c r="B22" s="148" t="s">
        <v>7</v>
      </c>
      <c r="C22" s="188" t="s">
        <v>14</v>
      </c>
      <c r="D22" s="144">
        <v>301</v>
      </c>
      <c r="E22" s="125">
        <f t="shared" si="2"/>
        <v>0</v>
      </c>
      <c r="F22" s="145">
        <f>'STOK DETAY'!U6</f>
        <v>0</v>
      </c>
      <c r="G22" s="146">
        <f>'STOK DETAY'!V6</f>
        <v>0</v>
      </c>
      <c r="H22" s="146"/>
      <c r="I22" s="146"/>
      <c r="J22" s="146"/>
      <c r="K22" s="147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</row>
    <row r="23" spans="1:24" s="73" customFormat="1" ht="18.600000000000001" customHeight="1" x14ac:dyDescent="0.35">
      <c r="A23" s="123">
        <v>0.65</v>
      </c>
      <c r="B23" s="148" t="s">
        <v>7</v>
      </c>
      <c r="C23" s="188" t="s">
        <v>14</v>
      </c>
      <c r="D23" s="144">
        <v>301</v>
      </c>
      <c r="E23" s="125">
        <f t="shared" si="2"/>
        <v>0</v>
      </c>
      <c r="F23" s="145">
        <f>'STOK DETAY'!W6</f>
        <v>0</v>
      </c>
      <c r="G23" s="146">
        <f>'STOK DETAY'!X6</f>
        <v>0</v>
      </c>
      <c r="H23" s="146"/>
      <c r="I23" s="146"/>
      <c r="J23" s="146"/>
      <c r="K23" s="147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</row>
    <row r="24" spans="1:24" s="73" customFormat="1" ht="18.600000000000001" customHeight="1" x14ac:dyDescent="0.35">
      <c r="A24" s="123">
        <v>0.7</v>
      </c>
      <c r="B24" s="148" t="s">
        <v>7</v>
      </c>
      <c r="C24" s="188" t="s">
        <v>14</v>
      </c>
      <c r="D24" s="144">
        <v>302</v>
      </c>
      <c r="E24" s="125">
        <f t="shared" si="2"/>
        <v>0</v>
      </c>
      <c r="F24" s="145">
        <f>'STOK DETAY'!Y6</f>
        <v>0</v>
      </c>
      <c r="G24" s="146">
        <f>'STOK DETAY'!Z6</f>
        <v>0</v>
      </c>
      <c r="H24" s="146"/>
      <c r="I24" s="146"/>
      <c r="J24" s="146"/>
      <c r="K24" s="147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</row>
    <row r="25" spans="1:24" s="73" customFormat="1" ht="18.600000000000001" customHeight="1" x14ac:dyDescent="0.35">
      <c r="A25" s="123">
        <v>0.75</v>
      </c>
      <c r="B25" s="148" t="s">
        <v>7</v>
      </c>
      <c r="C25" s="188" t="s">
        <v>14</v>
      </c>
      <c r="D25" s="144">
        <v>302</v>
      </c>
      <c r="E25" s="125">
        <f t="shared" si="2"/>
        <v>0</v>
      </c>
      <c r="F25" s="208">
        <f>'STOK DETAY'!AA6</f>
        <v>0</v>
      </c>
      <c r="G25" s="146">
        <f>'STOK DETAY'!AB6</f>
        <v>0</v>
      </c>
      <c r="H25" s="146"/>
      <c r="I25" s="146"/>
      <c r="J25" s="146"/>
      <c r="K25" s="147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</row>
    <row r="26" spans="1:24" s="73" customFormat="1" ht="18.600000000000001" customHeight="1" x14ac:dyDescent="0.35">
      <c r="A26" s="123">
        <v>0.8</v>
      </c>
      <c r="B26" s="148" t="s">
        <v>7</v>
      </c>
      <c r="C26" s="188" t="s">
        <v>14</v>
      </c>
      <c r="D26" s="144">
        <v>303</v>
      </c>
      <c r="E26" s="125">
        <f t="shared" si="2"/>
        <v>0</v>
      </c>
      <c r="F26" s="145">
        <f>'STOK DETAY'!AC6</f>
        <v>0</v>
      </c>
      <c r="G26" s="146">
        <f>'STOK DETAY'!AD6</f>
        <v>0</v>
      </c>
      <c r="H26" s="146"/>
      <c r="I26" s="146"/>
      <c r="J26" s="146"/>
      <c r="K26" s="147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</row>
    <row r="27" spans="1:24" s="73" customFormat="1" ht="18.600000000000001" customHeight="1" x14ac:dyDescent="0.35">
      <c r="A27" s="123">
        <v>0.85</v>
      </c>
      <c r="B27" s="148" t="s">
        <v>7</v>
      </c>
      <c r="C27" s="188" t="s">
        <v>14</v>
      </c>
      <c r="D27" s="144">
        <v>303</v>
      </c>
      <c r="E27" s="125">
        <f t="shared" si="2"/>
        <v>0</v>
      </c>
      <c r="F27" s="145">
        <f>'STOK DETAY'!AE6</f>
        <v>0</v>
      </c>
      <c r="G27" s="146">
        <f>'STOK DETAY'!AF6</f>
        <v>0</v>
      </c>
      <c r="H27" s="146"/>
      <c r="I27" s="146"/>
      <c r="J27" s="146"/>
      <c r="K27" s="147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</row>
    <row r="28" spans="1:24" s="73" customFormat="1" ht="18.600000000000001" customHeight="1" x14ac:dyDescent="0.35">
      <c r="A28" s="123">
        <v>0.9</v>
      </c>
      <c r="B28" s="148" t="s">
        <v>7</v>
      </c>
      <c r="C28" s="188" t="s">
        <v>14</v>
      </c>
      <c r="D28" s="144">
        <v>401</v>
      </c>
      <c r="E28" s="125">
        <f t="shared" si="2"/>
        <v>0</v>
      </c>
      <c r="F28" s="145">
        <f>'STOK DETAY'!AG6</f>
        <v>0</v>
      </c>
      <c r="G28" s="146">
        <f>'STOK DETAY'!AH6</f>
        <v>0</v>
      </c>
      <c r="H28" s="146"/>
      <c r="I28" s="146"/>
      <c r="J28" s="146"/>
      <c r="K28" s="147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</row>
    <row r="29" spans="1:24" s="73" customFormat="1" ht="18.600000000000001" customHeight="1" x14ac:dyDescent="0.35">
      <c r="A29" s="123">
        <v>0.95</v>
      </c>
      <c r="B29" s="148" t="s">
        <v>7</v>
      </c>
      <c r="C29" s="188" t="s">
        <v>14</v>
      </c>
      <c r="D29" s="144">
        <v>401</v>
      </c>
      <c r="E29" s="125">
        <f t="shared" si="2"/>
        <v>0</v>
      </c>
      <c r="F29" s="145">
        <f>'STOK DETAY'!AI6</f>
        <v>0</v>
      </c>
      <c r="G29" s="146">
        <f>'STOK DETAY'!AJ6</f>
        <v>0</v>
      </c>
      <c r="H29" s="146"/>
      <c r="I29" s="146"/>
      <c r="J29" s="146"/>
      <c r="K29" s="147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</row>
    <row r="30" spans="1:24" s="73" customFormat="1" ht="18.600000000000001" customHeight="1" x14ac:dyDescent="0.35">
      <c r="A30" s="123">
        <v>1</v>
      </c>
      <c r="B30" s="148" t="s">
        <v>7</v>
      </c>
      <c r="C30" s="188" t="s">
        <v>14</v>
      </c>
      <c r="D30" s="144">
        <v>402</v>
      </c>
      <c r="E30" s="125">
        <f t="shared" si="2"/>
        <v>0</v>
      </c>
      <c r="F30" s="145">
        <f>'STOK DETAY'!AK6</f>
        <v>0</v>
      </c>
      <c r="G30" s="146">
        <f>'STOK DETAY'!AL6</f>
        <v>0</v>
      </c>
      <c r="H30" s="146"/>
      <c r="I30" s="146"/>
      <c r="J30" s="146"/>
      <c r="K30" s="147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</row>
    <row r="31" spans="1:24" s="73" customFormat="1" ht="18.600000000000001" customHeight="1" x14ac:dyDescent="0.35">
      <c r="A31" s="123">
        <v>1.05</v>
      </c>
      <c r="B31" s="148" t="s">
        <v>7</v>
      </c>
      <c r="C31" s="188" t="s">
        <v>14</v>
      </c>
      <c r="D31" s="144">
        <v>402</v>
      </c>
      <c r="E31" s="125">
        <f t="shared" si="2"/>
        <v>0</v>
      </c>
      <c r="F31" s="145">
        <f>'STOK DETAY'!AM6</f>
        <v>0</v>
      </c>
      <c r="G31" s="146">
        <f>'STOK DETAY'!AN6</f>
        <v>0</v>
      </c>
      <c r="H31" s="146"/>
      <c r="I31" s="146"/>
      <c r="J31" s="146"/>
      <c r="K31" s="147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</row>
    <row r="32" spans="1:24" s="73" customFormat="1" ht="18.600000000000001" customHeight="1" x14ac:dyDescent="0.35">
      <c r="A32" s="123">
        <v>1.1000000000000001</v>
      </c>
      <c r="B32" s="148" t="s">
        <v>7</v>
      </c>
      <c r="C32" s="188" t="s">
        <v>14</v>
      </c>
      <c r="D32" s="144">
        <v>403</v>
      </c>
      <c r="E32" s="125">
        <f t="shared" si="2"/>
        <v>34.340000000000003</v>
      </c>
      <c r="F32" s="145">
        <f>'STOK DETAY'!AO6</f>
        <v>34.340000000000003</v>
      </c>
      <c r="G32" s="146">
        <f>'STOK DETAY'!AP6</f>
        <v>0</v>
      </c>
      <c r="H32" s="146"/>
      <c r="I32" s="146"/>
      <c r="J32" s="146"/>
      <c r="K32" s="147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</row>
    <row r="33" spans="1:24" s="73" customFormat="1" ht="18.600000000000001" customHeight="1" x14ac:dyDescent="0.35">
      <c r="A33" s="123">
        <v>1.1499999999999999</v>
      </c>
      <c r="B33" s="148" t="s">
        <v>7</v>
      </c>
      <c r="C33" s="188" t="s">
        <v>14</v>
      </c>
      <c r="D33" s="144">
        <v>403</v>
      </c>
      <c r="E33" s="125">
        <f t="shared" si="2"/>
        <v>34.72</v>
      </c>
      <c r="F33" s="145">
        <f>'STOK DETAY'!AQ6</f>
        <v>34.72</v>
      </c>
      <c r="G33" s="146">
        <f>'STOK DETAY'!AS6</f>
        <v>0</v>
      </c>
      <c r="H33" s="146"/>
      <c r="I33" s="146"/>
      <c r="J33" s="146"/>
      <c r="K33" s="147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</row>
    <row r="34" spans="1:24" s="73" customFormat="1" ht="18.600000000000001" customHeight="1" x14ac:dyDescent="0.35">
      <c r="A34" s="123">
        <v>1.2</v>
      </c>
      <c r="B34" s="148" t="s">
        <v>7</v>
      </c>
      <c r="C34" s="188" t="s">
        <v>14</v>
      </c>
      <c r="D34" s="144">
        <v>501</v>
      </c>
      <c r="E34" s="125">
        <f t="shared" si="2"/>
        <v>8.5250000000000004</v>
      </c>
      <c r="F34" s="145">
        <f>'STOK DETAY'!AS6</f>
        <v>0</v>
      </c>
      <c r="G34" s="146">
        <f>'STOK DETAY'!AT6</f>
        <v>0</v>
      </c>
      <c r="I34" s="146">
        <f>'STOK DETAY'!AU6</f>
        <v>8.5250000000000004</v>
      </c>
      <c r="J34" s="146"/>
      <c r="K34" s="147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</row>
    <row r="35" spans="1:24" s="73" customFormat="1" ht="18.600000000000001" customHeight="1" x14ac:dyDescent="0.35">
      <c r="A35" s="123">
        <v>1.25</v>
      </c>
      <c r="B35" s="148" t="s">
        <v>7</v>
      </c>
      <c r="C35" s="188" t="s">
        <v>14</v>
      </c>
      <c r="D35" s="144">
        <v>501</v>
      </c>
      <c r="E35" s="125">
        <f t="shared" si="2"/>
        <v>0</v>
      </c>
      <c r="F35" s="145">
        <f>'STOK DETAY'!AV6</f>
        <v>0</v>
      </c>
      <c r="G35" s="146">
        <f>'STOK DETAY'!AW6</f>
        <v>0</v>
      </c>
      <c r="H35" s="146"/>
      <c r="I35" s="146"/>
      <c r="J35" s="146"/>
      <c r="K35" s="147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</row>
    <row r="36" spans="1:24" s="73" customFormat="1" ht="18.600000000000001" customHeight="1" x14ac:dyDescent="0.35">
      <c r="A36" s="123">
        <v>1.3</v>
      </c>
      <c r="B36" s="148" t="s">
        <v>7</v>
      </c>
      <c r="C36" s="188" t="s">
        <v>14</v>
      </c>
      <c r="D36" s="144">
        <v>502</v>
      </c>
      <c r="E36" s="125">
        <f t="shared" si="2"/>
        <v>0</v>
      </c>
      <c r="F36" s="145">
        <f>'STOK DETAY'!AX6</f>
        <v>0</v>
      </c>
      <c r="G36" s="146">
        <f>'STOK DETAY'!AY6</f>
        <v>0</v>
      </c>
      <c r="H36" s="146"/>
      <c r="I36" s="146"/>
      <c r="J36" s="146"/>
      <c r="K36" s="147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</row>
    <row r="37" spans="1:24" s="73" customFormat="1" ht="18.600000000000001" customHeight="1" x14ac:dyDescent="0.35">
      <c r="A37" s="123">
        <v>1.35</v>
      </c>
      <c r="B37" s="148" t="s">
        <v>7</v>
      </c>
      <c r="C37" s="188" t="s">
        <v>14</v>
      </c>
      <c r="D37" s="144">
        <v>502</v>
      </c>
      <c r="E37" s="125">
        <f t="shared" si="2"/>
        <v>221.58500000000001</v>
      </c>
      <c r="F37" s="145">
        <f>'STOK DETAY'!AZ6</f>
        <v>211.39500000000001</v>
      </c>
      <c r="G37" s="146"/>
      <c r="H37" s="146"/>
      <c r="I37" s="146"/>
      <c r="J37" s="146">
        <f>'STOK DETAY'!BA6</f>
        <v>8.44</v>
      </c>
      <c r="K37" s="147">
        <f>'STOK DETAY'!BB6</f>
        <v>1.75</v>
      </c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</row>
    <row r="38" spans="1:24" s="73" customFormat="1" ht="18.600000000000001" customHeight="1" x14ac:dyDescent="0.35">
      <c r="A38" s="123">
        <v>1.4</v>
      </c>
      <c r="B38" s="148" t="s">
        <v>7</v>
      </c>
      <c r="C38" s="188" t="s">
        <v>14</v>
      </c>
      <c r="D38" s="144">
        <v>503</v>
      </c>
      <c r="E38" s="125">
        <f t="shared" si="2"/>
        <v>68.8</v>
      </c>
      <c r="F38" s="145">
        <f>'STOK DETAY'!BC6</f>
        <v>0</v>
      </c>
      <c r="G38" s="146"/>
      <c r="H38" s="146"/>
      <c r="I38" s="146"/>
      <c r="J38" s="146">
        <f>'STOK DETAY'!BD6</f>
        <v>68.8</v>
      </c>
      <c r="K38" s="147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</row>
    <row r="39" spans="1:24" s="73" customFormat="1" ht="18.600000000000001" customHeight="1" x14ac:dyDescent="0.35">
      <c r="A39" s="123">
        <v>1.45</v>
      </c>
      <c r="B39" s="148" t="s">
        <v>7</v>
      </c>
      <c r="C39" s="188" t="s">
        <v>14</v>
      </c>
      <c r="D39" s="144">
        <v>503</v>
      </c>
      <c r="E39" s="125">
        <f t="shared" si="2"/>
        <v>16.170000000000002</v>
      </c>
      <c r="F39" s="145">
        <f>'STOK DETAY'!BE6</f>
        <v>16.170000000000002</v>
      </c>
      <c r="G39" s="146"/>
      <c r="H39" s="146"/>
      <c r="I39" s="146"/>
      <c r="J39" s="146">
        <f>'STOK DETAY'!BF6</f>
        <v>0</v>
      </c>
      <c r="K39" s="147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</row>
    <row r="40" spans="1:24" s="73" customFormat="1" ht="18.600000000000001" customHeight="1" x14ac:dyDescent="0.35">
      <c r="A40" s="123">
        <v>1.5</v>
      </c>
      <c r="B40" s="148" t="s">
        <v>7</v>
      </c>
      <c r="C40" s="188" t="s">
        <v>14</v>
      </c>
      <c r="D40" s="144"/>
      <c r="E40" s="125">
        <f t="shared" si="2"/>
        <v>0</v>
      </c>
      <c r="F40" s="145"/>
      <c r="G40" s="146"/>
      <c r="H40" s="146"/>
      <c r="I40" s="146"/>
      <c r="J40" s="146"/>
      <c r="K40" s="147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</row>
    <row r="41" spans="1:24" s="73" customFormat="1" ht="18.600000000000001" customHeight="1" x14ac:dyDescent="0.35">
      <c r="A41" s="123">
        <v>1.55</v>
      </c>
      <c r="B41" s="148" t="s">
        <v>20</v>
      </c>
      <c r="C41" s="143" t="s">
        <v>14</v>
      </c>
      <c r="D41" s="144">
        <v>211</v>
      </c>
      <c r="E41" s="125">
        <f t="shared" si="2"/>
        <v>27.65</v>
      </c>
      <c r="F41" s="145"/>
      <c r="G41" s="146"/>
      <c r="H41" s="146"/>
      <c r="I41" s="146"/>
      <c r="J41" s="146">
        <f>'STOK DETAY'!BH6</f>
        <v>27.65</v>
      </c>
      <c r="K41" s="147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</row>
    <row r="42" spans="1:24" s="73" customFormat="1" ht="18.600000000000001" customHeight="1" x14ac:dyDescent="0.35">
      <c r="A42" s="123">
        <v>1.6</v>
      </c>
      <c r="B42" s="148" t="s">
        <v>9</v>
      </c>
      <c r="C42" s="143" t="s">
        <v>14</v>
      </c>
      <c r="D42" s="144"/>
      <c r="E42" s="125">
        <f t="shared" si="2"/>
        <v>0</v>
      </c>
      <c r="F42" s="145">
        <f>'STOK DETAY'!BI6</f>
        <v>0</v>
      </c>
      <c r="G42" s="146"/>
      <c r="H42" s="146"/>
      <c r="I42" s="146"/>
      <c r="J42" s="146"/>
      <c r="K42" s="147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</row>
    <row r="43" spans="1:24" s="73" customFormat="1" ht="18.600000000000001" customHeight="1" x14ac:dyDescent="0.35">
      <c r="A43" s="123">
        <v>1.85</v>
      </c>
      <c r="B43" s="148" t="s">
        <v>9</v>
      </c>
      <c r="C43" s="143" t="s">
        <v>14</v>
      </c>
      <c r="D43" s="144">
        <v>112</v>
      </c>
      <c r="E43" s="125">
        <f t="shared" si="2"/>
        <v>28</v>
      </c>
      <c r="F43" s="145"/>
      <c r="G43" s="146"/>
      <c r="H43" s="146"/>
      <c r="I43" s="146"/>
      <c r="J43" s="146">
        <f>'STOK DETAY'!BJ6</f>
        <v>28</v>
      </c>
      <c r="K43" s="147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</row>
    <row r="44" spans="1:24" s="73" customFormat="1" ht="18.600000000000001" customHeight="1" x14ac:dyDescent="0.35">
      <c r="A44" s="123">
        <v>1.9</v>
      </c>
      <c r="B44" s="148" t="s">
        <v>9</v>
      </c>
      <c r="C44" s="188" t="s">
        <v>14</v>
      </c>
      <c r="D44" s="144">
        <v>112</v>
      </c>
      <c r="E44" s="125">
        <f t="shared" si="2"/>
        <v>103.66500000000001</v>
      </c>
      <c r="F44" s="145">
        <f>'STOK DETAY'!BK6</f>
        <v>103.66500000000001</v>
      </c>
      <c r="G44" s="146"/>
      <c r="H44" s="146"/>
      <c r="I44" s="146"/>
      <c r="J44" s="146"/>
      <c r="K44" s="147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</row>
    <row r="45" spans="1:24" s="73" customFormat="1" ht="18.600000000000001" customHeight="1" x14ac:dyDescent="0.35">
      <c r="A45" s="123">
        <v>2</v>
      </c>
      <c r="B45" s="148" t="s">
        <v>9</v>
      </c>
      <c r="C45" s="143" t="s">
        <v>14</v>
      </c>
      <c r="D45" s="144"/>
      <c r="E45" s="125">
        <f t="shared" si="2"/>
        <v>0</v>
      </c>
      <c r="F45" s="145">
        <f>'STOK DETAY'!BL6</f>
        <v>0</v>
      </c>
      <c r="G45" s="146"/>
      <c r="H45" s="146"/>
      <c r="I45" s="146"/>
      <c r="J45" s="146"/>
      <c r="K45" s="147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</row>
    <row r="46" spans="1:24" s="73" customFormat="1" ht="18.600000000000001" customHeight="1" x14ac:dyDescent="0.35">
      <c r="A46" s="123">
        <v>2.2000000000000002</v>
      </c>
      <c r="B46" s="148" t="s">
        <v>9</v>
      </c>
      <c r="C46" s="143" t="s">
        <v>14</v>
      </c>
      <c r="D46" s="144">
        <v>211</v>
      </c>
      <c r="E46" s="125">
        <f t="shared" si="2"/>
        <v>45.85</v>
      </c>
      <c r="F46" s="145"/>
      <c r="G46" s="146"/>
      <c r="H46" s="146"/>
      <c r="I46" s="146"/>
      <c r="J46" s="146">
        <f>'STOK DETAY'!BM6</f>
        <v>45.85</v>
      </c>
      <c r="K46" s="147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</row>
    <row r="47" spans="1:24" s="73" customFormat="1" ht="18.600000000000001" customHeight="1" x14ac:dyDescent="0.35">
      <c r="A47" s="123">
        <v>2.5</v>
      </c>
      <c r="B47" s="148" t="s">
        <v>9</v>
      </c>
      <c r="C47" s="143" t="s">
        <v>14</v>
      </c>
      <c r="D47" s="144"/>
      <c r="E47" s="125">
        <f t="shared" si="2"/>
        <v>0</v>
      </c>
      <c r="F47" s="145"/>
      <c r="G47" s="146"/>
      <c r="H47" s="146"/>
      <c r="I47" s="146"/>
      <c r="J47" s="146"/>
      <c r="K47" s="147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</row>
    <row r="48" spans="1:24" s="73" customFormat="1" ht="18.600000000000001" customHeight="1" x14ac:dyDescent="0.35">
      <c r="A48" s="123">
        <v>2.6</v>
      </c>
      <c r="B48" s="148" t="s">
        <v>9</v>
      </c>
      <c r="C48" s="143" t="s">
        <v>14</v>
      </c>
      <c r="D48" s="144">
        <v>211</v>
      </c>
      <c r="E48" s="125">
        <f t="shared" si="2"/>
        <v>45.4</v>
      </c>
      <c r="F48" s="145"/>
      <c r="G48" s="146"/>
      <c r="H48" s="146"/>
      <c r="I48" s="146"/>
      <c r="J48" s="146">
        <f>'STOK DETAY'!BO6</f>
        <v>45.4</v>
      </c>
      <c r="K48" s="147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</row>
    <row r="49" spans="1:24" s="73" customFormat="1" ht="18.600000000000001" customHeight="1" x14ac:dyDescent="0.35">
      <c r="A49" s="123">
        <v>2.7</v>
      </c>
      <c r="B49" s="148" t="s">
        <v>9</v>
      </c>
      <c r="C49" s="188" t="s">
        <v>14</v>
      </c>
      <c r="D49" s="144">
        <v>211</v>
      </c>
      <c r="E49" s="125">
        <f t="shared" si="2"/>
        <v>9.1999999999999993</v>
      </c>
      <c r="F49" s="145"/>
      <c r="G49" s="146"/>
      <c r="H49" s="146">
        <f>'STOK DETAY'!BP6</f>
        <v>9.1999999999999993</v>
      </c>
      <c r="I49" s="146"/>
      <c r="J49" s="146"/>
      <c r="K49" s="147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</row>
    <row r="50" spans="1:24" s="73" customFormat="1" ht="18.600000000000001" customHeight="1" x14ac:dyDescent="0.35">
      <c r="A50" s="123">
        <v>3</v>
      </c>
      <c r="B50" s="148" t="s">
        <v>9</v>
      </c>
      <c r="C50" s="188" t="s">
        <v>14</v>
      </c>
      <c r="D50" s="144">
        <v>113</v>
      </c>
      <c r="E50" s="125">
        <f t="shared" si="2"/>
        <v>89.45</v>
      </c>
      <c r="F50" s="145"/>
      <c r="G50" s="146"/>
      <c r="H50" s="146"/>
      <c r="I50" s="146"/>
      <c r="J50" s="146">
        <f>'STOK DETAY'!BQ6</f>
        <v>89.45</v>
      </c>
      <c r="K50" s="147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</row>
    <row r="51" spans="1:24" s="73" customFormat="1" ht="18.600000000000001" customHeight="1" thickBot="1" x14ac:dyDescent="0.4">
      <c r="A51" s="123">
        <v>3.2</v>
      </c>
      <c r="B51" s="148" t="s">
        <v>9</v>
      </c>
      <c r="C51" s="188" t="s">
        <v>14</v>
      </c>
      <c r="D51" s="144">
        <v>112</v>
      </c>
      <c r="E51" s="125">
        <f t="shared" si="2"/>
        <v>21.45</v>
      </c>
      <c r="F51" s="145"/>
      <c r="G51" s="146"/>
      <c r="H51" s="146"/>
      <c r="I51" s="146"/>
      <c r="J51" s="146">
        <f>'STOK DETAY'!BR6</f>
        <v>21.45</v>
      </c>
      <c r="K51" s="147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</row>
    <row r="52" spans="1:24" ht="21.95" customHeight="1" thickBot="1" x14ac:dyDescent="0.45">
      <c r="A52" s="245" t="s">
        <v>4</v>
      </c>
      <c r="B52" s="246"/>
      <c r="C52" s="246"/>
      <c r="D52" s="247"/>
      <c r="E52" s="135">
        <f>SUM(F52:K52)</f>
        <v>1168.6549999999997</v>
      </c>
      <c r="F52" s="136">
        <f t="shared" ref="F52:K52" si="3">SUM(F9:F51)</f>
        <v>814.13999999999987</v>
      </c>
      <c r="G52" s="137">
        <f t="shared" si="3"/>
        <v>0</v>
      </c>
      <c r="H52" s="137">
        <f t="shared" si="3"/>
        <v>9.1999999999999993</v>
      </c>
      <c r="I52" s="137">
        <f t="shared" si="3"/>
        <v>8.5250000000000004</v>
      </c>
      <c r="J52" s="137">
        <f t="shared" si="3"/>
        <v>335.03999999999996</v>
      </c>
      <c r="K52" s="138">
        <f t="shared" si="3"/>
        <v>1.75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</row>
    <row r="53" spans="1:24" ht="21.95" customHeight="1" thickBot="1" x14ac:dyDescent="0.45">
      <c r="A53" s="248" t="s">
        <v>12</v>
      </c>
      <c r="B53" s="249"/>
      <c r="C53" s="250"/>
      <c r="D53" s="112" t="s">
        <v>27</v>
      </c>
      <c r="E53" s="135" t="s">
        <v>4</v>
      </c>
      <c r="F53" s="189" t="s">
        <v>16</v>
      </c>
      <c r="G53" s="190" t="s">
        <v>17</v>
      </c>
      <c r="H53" s="190" t="s">
        <v>2</v>
      </c>
      <c r="I53" s="190" t="s">
        <v>3</v>
      </c>
      <c r="J53" s="190" t="s">
        <v>6</v>
      </c>
      <c r="K53" s="191" t="s">
        <v>5</v>
      </c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</row>
    <row r="54" spans="1:24" s="73" customFormat="1" ht="18.600000000000001" customHeight="1" x14ac:dyDescent="0.35">
      <c r="A54" s="123">
        <v>0.08</v>
      </c>
      <c r="B54" s="142" t="s">
        <v>7</v>
      </c>
      <c r="C54" s="143" t="s">
        <v>12</v>
      </c>
      <c r="D54" s="151">
        <v>312</v>
      </c>
      <c r="E54" s="125">
        <f t="shared" ref="E54:E69" si="4">SUM(F54:K54)</f>
        <v>54.058</v>
      </c>
      <c r="F54" s="145">
        <f>'STOK DETAY'!BS6</f>
        <v>54.058</v>
      </c>
      <c r="G54" s="146"/>
      <c r="H54" s="146"/>
      <c r="I54" s="146"/>
      <c r="J54" s="146"/>
      <c r="K54" s="147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</row>
    <row r="55" spans="1:24" s="73" customFormat="1" ht="18.600000000000001" customHeight="1" x14ac:dyDescent="0.35">
      <c r="A55" s="123">
        <v>0.12</v>
      </c>
      <c r="B55" s="142" t="s">
        <v>7</v>
      </c>
      <c r="C55" s="150" t="s">
        <v>12</v>
      </c>
      <c r="D55" s="151"/>
      <c r="E55" s="125">
        <f t="shared" si="4"/>
        <v>0</v>
      </c>
      <c r="F55" s="145">
        <f>'STOK DETAY'!BT6</f>
        <v>0</v>
      </c>
      <c r="G55" s="146"/>
      <c r="H55" s="146"/>
      <c r="I55" s="146"/>
      <c r="J55" s="146"/>
      <c r="K55" s="147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</row>
    <row r="56" spans="1:24" s="73" customFormat="1" ht="18.600000000000001" customHeight="1" x14ac:dyDescent="0.35">
      <c r="A56" s="123">
        <v>0.14000000000000001</v>
      </c>
      <c r="B56" s="187" t="s">
        <v>7</v>
      </c>
      <c r="C56" s="150" t="s">
        <v>12</v>
      </c>
      <c r="D56" s="151"/>
      <c r="E56" s="125">
        <f t="shared" si="4"/>
        <v>0</v>
      </c>
      <c r="F56" s="145">
        <f>'STOK DETAY'!BU6</f>
        <v>0</v>
      </c>
      <c r="G56" s="146"/>
      <c r="H56" s="146"/>
      <c r="I56" s="146"/>
      <c r="J56" s="146"/>
      <c r="K56" s="147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</row>
    <row r="57" spans="1:24" s="73" customFormat="1" ht="18.600000000000001" customHeight="1" x14ac:dyDescent="0.35">
      <c r="A57" s="123">
        <v>0.2</v>
      </c>
      <c r="B57" s="187" t="s">
        <v>7</v>
      </c>
      <c r="C57" s="150" t="s">
        <v>12</v>
      </c>
      <c r="D57" s="151"/>
      <c r="E57" s="125">
        <f t="shared" si="4"/>
        <v>32.700000000000003</v>
      </c>
      <c r="F57" s="145">
        <f>'STOK DETAY'!BV6</f>
        <v>32.700000000000003</v>
      </c>
      <c r="G57" s="146">
        <f>'STOK DETAY'!BW6</f>
        <v>0</v>
      </c>
      <c r="H57" s="146"/>
      <c r="I57" s="146"/>
      <c r="J57" s="146"/>
      <c r="K57" s="147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</row>
    <row r="58" spans="1:24" s="73" customFormat="1" ht="18.600000000000001" customHeight="1" x14ac:dyDescent="0.35">
      <c r="A58" s="123">
        <v>0.23</v>
      </c>
      <c r="B58" s="187" t="s">
        <v>7</v>
      </c>
      <c r="C58" s="150" t="s">
        <v>12</v>
      </c>
      <c r="D58" s="151"/>
      <c r="E58" s="125">
        <f t="shared" si="4"/>
        <v>0.75</v>
      </c>
      <c r="F58" s="145"/>
      <c r="G58" s="146"/>
      <c r="H58" s="146">
        <f>'STOK DETAY'!BX6</f>
        <v>0.75</v>
      </c>
      <c r="I58" s="146"/>
      <c r="J58" s="146"/>
      <c r="K58" s="147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</row>
    <row r="59" spans="1:24" s="73" customFormat="1" ht="18.600000000000001" customHeight="1" x14ac:dyDescent="0.35">
      <c r="A59" s="123">
        <v>0.25</v>
      </c>
      <c r="B59" s="187" t="s">
        <v>7</v>
      </c>
      <c r="C59" s="150" t="s">
        <v>12</v>
      </c>
      <c r="D59" s="151"/>
      <c r="E59" s="125">
        <f t="shared" si="4"/>
        <v>0</v>
      </c>
      <c r="F59" s="145">
        <f>'STOK DETAY'!BY6</f>
        <v>0</v>
      </c>
      <c r="G59" s="146"/>
      <c r="H59" s="146">
        <f>'STOK DETAY'!BZ6</f>
        <v>0</v>
      </c>
      <c r="I59" s="146"/>
      <c r="J59" s="146"/>
      <c r="K59" s="147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</row>
    <row r="60" spans="1:24" s="73" customFormat="1" ht="18.600000000000001" customHeight="1" x14ac:dyDescent="0.35">
      <c r="A60" s="123">
        <v>0.28000000000000003</v>
      </c>
      <c r="B60" s="193" t="s">
        <v>7</v>
      </c>
      <c r="C60" s="150" t="s">
        <v>12</v>
      </c>
      <c r="D60" s="151"/>
      <c r="E60" s="125">
        <f t="shared" si="4"/>
        <v>0</v>
      </c>
      <c r="F60" s="145">
        <f>'STOK DETAY'!CA6</f>
        <v>0</v>
      </c>
      <c r="G60" s="146"/>
      <c r="H60" s="146"/>
      <c r="I60" s="146"/>
      <c r="J60" s="146"/>
      <c r="K60" s="147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</row>
    <row r="61" spans="1:24" s="73" customFormat="1" ht="18.600000000000001" customHeight="1" x14ac:dyDescent="0.35">
      <c r="A61" s="123">
        <v>0.3</v>
      </c>
      <c r="B61" s="187" t="s">
        <v>7</v>
      </c>
      <c r="C61" s="150" t="s">
        <v>12</v>
      </c>
      <c r="D61" s="151"/>
      <c r="E61" s="125">
        <f t="shared" si="4"/>
        <v>13.32</v>
      </c>
      <c r="F61" s="145">
        <f>'STOK DETAY'!CB6</f>
        <v>0</v>
      </c>
      <c r="G61" s="146">
        <f>'STOK DETAY'!CC6</f>
        <v>13.32</v>
      </c>
      <c r="H61" s="146"/>
      <c r="I61" s="146"/>
      <c r="J61" s="146"/>
      <c r="K61" s="147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</row>
    <row r="62" spans="1:24" s="73" customFormat="1" ht="18.600000000000001" customHeight="1" x14ac:dyDescent="0.35">
      <c r="A62" s="123">
        <v>0.32</v>
      </c>
      <c r="B62" s="187" t="s">
        <v>7</v>
      </c>
      <c r="C62" s="150" t="s">
        <v>12</v>
      </c>
      <c r="D62" s="151"/>
      <c r="E62" s="125">
        <f t="shared" si="4"/>
        <v>8.9849999999999994</v>
      </c>
      <c r="F62" s="145">
        <f>'STOK DETAY'!CD6</f>
        <v>8.9849999999999994</v>
      </c>
      <c r="G62" s="146"/>
      <c r="H62" s="146"/>
      <c r="I62" s="146"/>
      <c r="J62" s="146"/>
      <c r="K62" s="147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</row>
    <row r="63" spans="1:24" s="73" customFormat="1" ht="18.600000000000001" customHeight="1" x14ac:dyDescent="0.35">
      <c r="A63" s="123">
        <v>0.35</v>
      </c>
      <c r="B63" s="187" t="s">
        <v>7</v>
      </c>
      <c r="C63" s="150" t="s">
        <v>12</v>
      </c>
      <c r="D63" s="151"/>
      <c r="E63" s="125">
        <f t="shared" si="4"/>
        <v>0</v>
      </c>
      <c r="F63" s="145">
        <f>'STOK DETAY'!CE6</f>
        <v>0</v>
      </c>
      <c r="G63" s="146"/>
      <c r="H63" s="146"/>
      <c r="I63" s="146"/>
      <c r="J63" s="146"/>
      <c r="K63" s="147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</row>
    <row r="64" spans="1:24" s="73" customFormat="1" ht="18.600000000000001" customHeight="1" x14ac:dyDescent="0.35">
      <c r="A64" s="123">
        <v>0.38</v>
      </c>
      <c r="B64" s="187" t="s">
        <v>7</v>
      </c>
      <c r="C64" s="150" t="s">
        <v>12</v>
      </c>
      <c r="D64" s="151"/>
      <c r="E64" s="125">
        <f t="shared" si="4"/>
        <v>0</v>
      </c>
      <c r="F64" s="145">
        <f>'STOK DETAY'!CF6</f>
        <v>0</v>
      </c>
      <c r="G64" s="146"/>
      <c r="H64" s="146"/>
      <c r="I64" s="146"/>
      <c r="J64" s="146"/>
      <c r="K64" s="147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</row>
    <row r="65" spans="1:24" s="73" customFormat="1" ht="18.600000000000001" customHeight="1" x14ac:dyDescent="0.35">
      <c r="A65" s="123">
        <v>0.4</v>
      </c>
      <c r="B65" s="187" t="s">
        <v>7</v>
      </c>
      <c r="C65" s="150" t="s">
        <v>12</v>
      </c>
      <c r="D65" s="151"/>
      <c r="E65" s="125">
        <f t="shared" si="4"/>
        <v>0</v>
      </c>
      <c r="F65" s="145">
        <f>'STOK DETAY'!CG6</f>
        <v>0</v>
      </c>
      <c r="G65" s="146"/>
      <c r="H65" s="146"/>
      <c r="I65" s="146"/>
      <c r="J65" s="146"/>
      <c r="K65" s="147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</row>
    <row r="66" spans="1:24" s="73" customFormat="1" ht="18.600000000000001" customHeight="1" x14ac:dyDescent="0.35">
      <c r="A66" s="123">
        <v>0.45</v>
      </c>
      <c r="B66" s="187" t="s">
        <v>7</v>
      </c>
      <c r="C66" s="150" t="s">
        <v>12</v>
      </c>
      <c r="D66" s="151"/>
      <c r="E66" s="125">
        <f t="shared" si="4"/>
        <v>93.39</v>
      </c>
      <c r="F66" s="145"/>
      <c r="G66" s="146"/>
      <c r="H66" s="146">
        <f>'STOK DETAY'!CH6</f>
        <v>93.39</v>
      </c>
      <c r="I66" s="146"/>
      <c r="J66" s="146"/>
      <c r="K66" s="147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</row>
    <row r="67" spans="1:24" s="73" customFormat="1" ht="18.600000000000001" customHeight="1" x14ac:dyDescent="0.35">
      <c r="A67" s="123">
        <v>0.45</v>
      </c>
      <c r="B67" s="187" t="s">
        <v>7</v>
      </c>
      <c r="C67" s="150" t="s">
        <v>19</v>
      </c>
      <c r="D67" s="151"/>
      <c r="E67" s="125">
        <f t="shared" si="4"/>
        <v>14.9</v>
      </c>
      <c r="F67" s="145">
        <f>'STOK DETAY'!CI6</f>
        <v>14.9</v>
      </c>
      <c r="G67" s="146"/>
      <c r="H67" s="146"/>
      <c r="I67" s="146"/>
      <c r="J67" s="146"/>
      <c r="K67" s="147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</row>
    <row r="68" spans="1:24" s="73" customFormat="1" ht="18.600000000000001" customHeight="1" x14ac:dyDescent="0.35">
      <c r="A68" s="123">
        <v>0.6</v>
      </c>
      <c r="B68" s="187" t="s">
        <v>7</v>
      </c>
      <c r="C68" s="150" t="s">
        <v>12</v>
      </c>
      <c r="D68" s="151"/>
      <c r="E68" s="125">
        <f t="shared" si="4"/>
        <v>6.02</v>
      </c>
      <c r="F68" s="145"/>
      <c r="G68" s="146"/>
      <c r="H68" s="146">
        <f>'STOK DETAY'!CJ6</f>
        <v>6.02</v>
      </c>
      <c r="I68" s="146"/>
      <c r="J68" s="146"/>
      <c r="K68" s="147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</row>
    <row r="69" spans="1:24" s="73" customFormat="1" ht="18.600000000000001" customHeight="1" thickBot="1" x14ac:dyDescent="0.4">
      <c r="A69" s="123">
        <v>0.95</v>
      </c>
      <c r="B69" s="187" t="s">
        <v>7</v>
      </c>
      <c r="C69" s="150" t="s">
        <v>12</v>
      </c>
      <c r="D69" s="151"/>
      <c r="E69" s="125">
        <f t="shared" si="4"/>
        <v>2.25</v>
      </c>
      <c r="F69" s="145">
        <f>'STOK DETAY'!CK6</f>
        <v>2.25</v>
      </c>
      <c r="G69" s="146"/>
      <c r="H69" s="146"/>
      <c r="I69" s="146"/>
      <c r="J69" s="146"/>
      <c r="K69" s="147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</row>
    <row r="70" spans="1:24" ht="21.95" customHeight="1" thickBot="1" x14ac:dyDescent="0.45">
      <c r="A70" s="242" t="s">
        <v>4</v>
      </c>
      <c r="B70" s="243"/>
      <c r="C70" s="243"/>
      <c r="D70" s="244"/>
      <c r="E70" s="135">
        <f>SUM(F70:K70)</f>
        <v>226.37300000000002</v>
      </c>
      <c r="F70" s="136">
        <f>SUM(F54:F69)</f>
        <v>112.89300000000001</v>
      </c>
      <c r="G70" s="137">
        <f>SUM(G54:G69)</f>
        <v>13.32</v>
      </c>
      <c r="H70" s="137">
        <f>SUM(H54:H69)</f>
        <v>100.16</v>
      </c>
      <c r="I70" s="137">
        <f>SUM(I54:I69)</f>
        <v>0</v>
      </c>
      <c r="J70" s="137">
        <f>SUM(J54:J69)</f>
        <v>0</v>
      </c>
      <c r="K70" s="138">
        <f>SUM(K54:K69)</f>
        <v>0</v>
      </c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</row>
    <row r="71" spans="1:24" ht="21.95" customHeight="1" thickBot="1" x14ac:dyDescent="0.45">
      <c r="A71" s="248" t="s">
        <v>10</v>
      </c>
      <c r="B71" s="249"/>
      <c r="C71" s="251"/>
      <c r="D71" s="152" t="s">
        <v>27</v>
      </c>
      <c r="E71" s="135" t="s">
        <v>4</v>
      </c>
      <c r="F71" s="189" t="s">
        <v>16</v>
      </c>
      <c r="G71" s="190" t="s">
        <v>17</v>
      </c>
      <c r="H71" s="190" t="s">
        <v>2</v>
      </c>
      <c r="I71" s="190" t="s">
        <v>3</v>
      </c>
      <c r="J71" s="190" t="s">
        <v>6</v>
      </c>
      <c r="K71" s="191" t="s">
        <v>5</v>
      </c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</row>
    <row r="72" spans="1:24" s="73" customFormat="1" ht="18.600000000000001" customHeight="1" x14ac:dyDescent="0.35">
      <c r="A72" s="153">
        <v>0.3</v>
      </c>
      <c r="B72" s="266"/>
      <c r="C72" s="267"/>
      <c r="D72" s="154">
        <v>511</v>
      </c>
      <c r="E72" s="155">
        <f t="shared" ref="E72:E82" si="5">SUM(F72:K72)</f>
        <v>3.28</v>
      </c>
      <c r="F72" s="285"/>
      <c r="G72" s="286"/>
      <c r="H72" s="156"/>
      <c r="I72" s="156">
        <f>'STOK DETAY'!CL6</f>
        <v>3.28</v>
      </c>
      <c r="J72" s="156"/>
      <c r="K72" s="157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</row>
    <row r="73" spans="1:24" s="73" customFormat="1" ht="18.600000000000001" customHeight="1" x14ac:dyDescent="0.35">
      <c r="A73" s="123">
        <v>0.5</v>
      </c>
      <c r="B73" s="268"/>
      <c r="C73" s="269"/>
      <c r="D73" s="154">
        <v>511</v>
      </c>
      <c r="E73" s="125">
        <f t="shared" si="5"/>
        <v>63.54</v>
      </c>
      <c r="F73" s="145"/>
      <c r="G73" s="287"/>
      <c r="H73" s="146"/>
      <c r="I73" s="146">
        <f>'STOK DETAY'!CM6</f>
        <v>63.54</v>
      </c>
      <c r="J73" s="146"/>
      <c r="K73" s="147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</row>
    <row r="74" spans="1:24" s="73" customFormat="1" ht="18.600000000000001" customHeight="1" x14ac:dyDescent="0.35">
      <c r="A74" s="123">
        <v>0.55000000000000004</v>
      </c>
      <c r="B74" s="268"/>
      <c r="C74" s="269"/>
      <c r="D74" s="154">
        <v>511</v>
      </c>
      <c r="E74" s="125">
        <f t="shared" si="5"/>
        <v>10.45</v>
      </c>
      <c r="F74" s="145"/>
      <c r="G74" s="287"/>
      <c r="H74" s="146"/>
      <c r="I74" s="146">
        <f>'STOK DETAY'!CN6</f>
        <v>10.45</v>
      </c>
      <c r="J74" s="146"/>
      <c r="K74" s="147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</row>
    <row r="75" spans="1:24" s="73" customFormat="1" ht="18.600000000000001" customHeight="1" x14ac:dyDescent="0.35">
      <c r="A75" s="123">
        <v>0.6</v>
      </c>
      <c r="B75" s="268"/>
      <c r="C75" s="269"/>
      <c r="D75" s="154">
        <v>101</v>
      </c>
      <c r="E75" s="125">
        <f>SUM(G75:K75)</f>
        <v>0</v>
      </c>
      <c r="F75" s="288"/>
      <c r="G75" s="146"/>
      <c r="H75" s="146">
        <f>'STOK DETAY'!CO6</f>
        <v>0</v>
      </c>
      <c r="I75" s="146"/>
      <c r="J75" s="146"/>
      <c r="K75" s="147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</row>
    <row r="76" spans="1:24" s="73" customFormat="1" ht="18.600000000000001" customHeight="1" x14ac:dyDescent="0.35">
      <c r="A76" s="123">
        <v>0.7</v>
      </c>
      <c r="B76" s="268"/>
      <c r="C76" s="269"/>
      <c r="D76" s="154">
        <v>101</v>
      </c>
      <c r="E76" s="125">
        <f>SUM(G76:J76)</f>
        <v>404.44</v>
      </c>
      <c r="F76" s="288"/>
      <c r="G76" s="146">
        <f>'STOK DETAY'!CP6</f>
        <v>404.44</v>
      </c>
      <c r="H76" s="146">
        <f>'STOK DETAY'!CQ6</f>
        <v>0</v>
      </c>
      <c r="I76" s="146"/>
      <c r="J76" s="146"/>
      <c r="K76" s="289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</row>
    <row r="77" spans="1:24" s="73" customFormat="1" ht="18.600000000000001" customHeight="1" x14ac:dyDescent="0.35">
      <c r="A77" s="123">
        <v>1</v>
      </c>
      <c r="B77" s="268"/>
      <c r="C77" s="269"/>
      <c r="D77" s="154">
        <v>511</v>
      </c>
      <c r="E77" s="125">
        <f t="shared" si="5"/>
        <v>2.5</v>
      </c>
      <c r="F77" s="145"/>
      <c r="G77" s="287"/>
      <c r="H77" s="146"/>
      <c r="I77" s="146">
        <f>'STOK DETAY'!CR6</f>
        <v>2.5</v>
      </c>
      <c r="J77" s="146"/>
      <c r="K77" s="147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</row>
    <row r="78" spans="1:24" s="73" customFormat="1" ht="18.600000000000001" customHeight="1" x14ac:dyDescent="0.35">
      <c r="A78" s="123">
        <v>1.2</v>
      </c>
      <c r="B78" s="268"/>
      <c r="C78" s="269"/>
      <c r="D78" s="154">
        <v>511</v>
      </c>
      <c r="E78" s="125">
        <f t="shared" si="5"/>
        <v>14.7</v>
      </c>
      <c r="F78" s="145"/>
      <c r="G78" s="287"/>
      <c r="H78" s="146"/>
      <c r="I78" s="146">
        <f>'STOK DETAY'!CS6</f>
        <v>14.7</v>
      </c>
      <c r="J78" s="146"/>
      <c r="K78" s="147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</row>
    <row r="79" spans="1:24" s="73" customFormat="1" ht="18.600000000000001" customHeight="1" x14ac:dyDescent="0.35">
      <c r="A79" s="123">
        <v>1.3</v>
      </c>
      <c r="B79" s="268"/>
      <c r="C79" s="269"/>
      <c r="D79" s="154">
        <v>511</v>
      </c>
      <c r="E79" s="125">
        <f t="shared" si="5"/>
        <v>2.85</v>
      </c>
      <c r="F79" s="145"/>
      <c r="G79" s="287"/>
      <c r="H79" s="146"/>
      <c r="I79" s="146">
        <f>'STOK DETAY'!CT6</f>
        <v>2.85</v>
      </c>
      <c r="J79" s="146"/>
      <c r="K79" s="147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</row>
    <row r="80" spans="1:24" s="73" customFormat="1" ht="18.600000000000001" customHeight="1" x14ac:dyDescent="0.35">
      <c r="A80" s="123">
        <v>1.4</v>
      </c>
      <c r="B80" s="268"/>
      <c r="C80" s="269"/>
      <c r="D80" s="154">
        <v>511</v>
      </c>
      <c r="E80" s="125">
        <f t="shared" si="5"/>
        <v>6.83</v>
      </c>
      <c r="F80" s="145"/>
      <c r="G80" s="287"/>
      <c r="H80" s="146"/>
      <c r="I80" s="146">
        <f>'STOK DETAY'!CU6</f>
        <v>6.83</v>
      </c>
      <c r="J80" s="146"/>
      <c r="K80" s="147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</row>
    <row r="81" spans="1:24" s="73" customFormat="1" ht="18.600000000000001" customHeight="1" x14ac:dyDescent="0.35">
      <c r="A81" s="123">
        <v>1.6</v>
      </c>
      <c r="B81" s="268"/>
      <c r="C81" s="269"/>
      <c r="D81" s="154">
        <v>511</v>
      </c>
      <c r="E81" s="125">
        <f t="shared" si="5"/>
        <v>9.2200000000000006</v>
      </c>
      <c r="F81" s="145"/>
      <c r="G81" s="287"/>
      <c r="H81" s="146"/>
      <c r="I81" s="146">
        <f>'STOK DETAY'!CV6</f>
        <v>9.2200000000000006</v>
      </c>
      <c r="J81" s="146"/>
      <c r="K81" s="147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</row>
    <row r="82" spans="1:24" s="73" customFormat="1" ht="18.600000000000001" customHeight="1" x14ac:dyDescent="0.35">
      <c r="A82" s="123">
        <v>1.7</v>
      </c>
      <c r="B82" s="268"/>
      <c r="C82" s="269"/>
      <c r="D82" s="154">
        <v>511</v>
      </c>
      <c r="E82" s="125">
        <f t="shared" si="5"/>
        <v>18.5</v>
      </c>
      <c r="F82" s="145"/>
      <c r="G82" s="287"/>
      <c r="H82" s="146"/>
      <c r="I82" s="146">
        <f>'STOK DETAY'!CW6</f>
        <v>18.5</v>
      </c>
      <c r="J82" s="146"/>
      <c r="K82" s="147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</row>
    <row r="83" spans="1:24" s="73" customFormat="1" ht="18.600000000000001" customHeight="1" thickBot="1" x14ac:dyDescent="0.4">
      <c r="A83" s="158">
        <v>3.5</v>
      </c>
      <c r="B83" s="252"/>
      <c r="C83" s="253"/>
      <c r="D83" s="159">
        <v>511</v>
      </c>
      <c r="E83" s="160">
        <f>SUM(F83:K83)</f>
        <v>52.36</v>
      </c>
      <c r="F83" s="132"/>
      <c r="G83" s="290"/>
      <c r="H83" s="133"/>
      <c r="I83" s="133">
        <f>'STOK DETAY'!CX6</f>
        <v>52.36</v>
      </c>
      <c r="J83" s="133"/>
      <c r="K83" s="13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</row>
    <row r="84" spans="1:24" ht="21.95" customHeight="1" thickBot="1" x14ac:dyDescent="0.45">
      <c r="A84" s="258" t="s">
        <v>4</v>
      </c>
      <c r="B84" s="259"/>
      <c r="C84" s="259"/>
      <c r="D84" s="260"/>
      <c r="E84" s="135">
        <f>SUM(F84:K84)</f>
        <v>588.67000000000007</v>
      </c>
      <c r="F84" s="136">
        <f>SUM(F72:F83)</f>
        <v>0</v>
      </c>
      <c r="G84" s="137">
        <f>SUM(G72:G83)</f>
        <v>404.44</v>
      </c>
      <c r="H84" s="137">
        <f>SUM(H72:H83)</f>
        <v>0</v>
      </c>
      <c r="I84" s="137">
        <f>SUM(I72:I83)</f>
        <v>184.23000000000002</v>
      </c>
      <c r="J84" s="137">
        <f>SUM(J72:J83)</f>
        <v>0</v>
      </c>
      <c r="K84" s="138">
        <f>SUM(K72:K83)</f>
        <v>0</v>
      </c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</row>
    <row r="85" spans="1:24" ht="21.95" customHeight="1" thickBot="1" x14ac:dyDescent="0.45">
      <c r="A85" s="239" t="s">
        <v>1</v>
      </c>
      <c r="B85" s="240"/>
      <c r="C85" s="240"/>
      <c r="D85" s="241"/>
      <c r="E85" s="161">
        <f>SUM(F85:K85)</f>
        <v>2009.3729999999998</v>
      </c>
      <c r="F85" s="162">
        <f>F7+F52+F70+F84</f>
        <v>927.0329999999999</v>
      </c>
      <c r="G85" s="163">
        <f>G7+G52+G70+G84</f>
        <v>443.435</v>
      </c>
      <c r="H85" s="163">
        <f>H7+H52+H70+H84</f>
        <v>109.36</v>
      </c>
      <c r="I85" s="163">
        <f>I7+I52+I70+I84</f>
        <v>192.75500000000002</v>
      </c>
      <c r="J85" s="163">
        <f>J7+J52+J70+J84</f>
        <v>335.03999999999996</v>
      </c>
      <c r="K85" s="164">
        <f>K7+K52+K70+K84</f>
        <v>1.75</v>
      </c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</row>
    <row r="86" spans="1:24" ht="15.75" customHeight="1" x14ac:dyDescent="0.4">
      <c r="A86" s="194"/>
      <c r="B86" s="65"/>
      <c r="C86" s="65"/>
      <c r="D86" s="65"/>
      <c r="E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</row>
    <row r="87" spans="1:24" ht="15.75" customHeight="1" x14ac:dyDescent="0.4">
      <c r="A87" s="194"/>
      <c r="B87" s="65"/>
      <c r="C87" s="65"/>
      <c r="D87" s="65"/>
      <c r="E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</row>
    <row r="88" spans="1:24" ht="15.75" customHeight="1" x14ac:dyDescent="0.4">
      <c r="A88" s="194"/>
      <c r="B88" s="65"/>
      <c r="C88" s="65"/>
      <c r="D88" s="65"/>
      <c r="E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</row>
    <row r="89" spans="1:24" ht="15.75" customHeight="1" x14ac:dyDescent="0.4">
      <c r="A89" s="194"/>
      <c r="B89" s="65"/>
      <c r="C89" s="65"/>
      <c r="D89" s="65"/>
      <c r="E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</row>
    <row r="90" spans="1:24" ht="15.75" customHeight="1" x14ac:dyDescent="0.4">
      <c r="A90" s="194"/>
      <c r="B90" s="65"/>
      <c r="C90" s="65"/>
      <c r="D90" s="65"/>
      <c r="E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</row>
    <row r="91" spans="1:24" ht="15.75" customHeight="1" x14ac:dyDescent="0.4">
      <c r="A91" s="194"/>
      <c r="B91" s="65"/>
      <c r="C91" s="65"/>
      <c r="D91" s="65"/>
      <c r="E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</row>
    <row r="92" spans="1:24" ht="15.75" customHeight="1" x14ac:dyDescent="0.4">
      <c r="A92" s="194"/>
      <c r="B92" s="65"/>
      <c r="C92" s="65"/>
      <c r="D92" s="65"/>
      <c r="E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</row>
    <row r="93" spans="1:24" ht="15.75" customHeight="1" x14ac:dyDescent="0.4">
      <c r="A93" s="194"/>
      <c r="B93" s="65"/>
      <c r="C93" s="65"/>
      <c r="D93" s="65"/>
      <c r="E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</row>
    <row r="94" spans="1:24" ht="15.75" customHeight="1" x14ac:dyDescent="0.4">
      <c r="A94" s="194"/>
      <c r="B94" s="65"/>
      <c r="C94" s="65"/>
      <c r="D94" s="65"/>
      <c r="E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</row>
    <row r="95" spans="1:24" ht="15.75" customHeight="1" x14ac:dyDescent="0.4">
      <c r="A95" s="194"/>
      <c r="B95" s="65"/>
      <c r="C95" s="65"/>
      <c r="D95" s="65"/>
      <c r="E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</row>
    <row r="96" spans="1:24" ht="15.75" customHeight="1" x14ac:dyDescent="0.4">
      <c r="A96" s="194"/>
      <c r="B96" s="65"/>
      <c r="C96" s="65"/>
      <c r="D96" s="65"/>
      <c r="E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</row>
    <row r="97" spans="1:24" ht="15.75" customHeight="1" x14ac:dyDescent="0.4">
      <c r="A97" s="194"/>
      <c r="B97" s="65"/>
      <c r="C97" s="65"/>
      <c r="D97" s="65"/>
      <c r="E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</row>
    <row r="98" spans="1:24" ht="15.75" customHeight="1" x14ac:dyDescent="0.4">
      <c r="A98" s="194"/>
      <c r="B98" s="65"/>
      <c r="C98" s="65"/>
      <c r="D98" s="65"/>
      <c r="E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</row>
    <row r="99" spans="1:24" ht="15.75" customHeight="1" x14ac:dyDescent="0.4">
      <c r="A99" s="194"/>
      <c r="B99" s="65"/>
      <c r="C99" s="65"/>
      <c r="D99" s="65"/>
      <c r="E99" s="65"/>
      <c r="I99" s="66"/>
      <c r="J99" s="66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</row>
    <row r="100" spans="1:24" ht="15.75" customHeight="1" x14ac:dyDescent="0.4">
      <c r="A100" s="194"/>
      <c r="B100" s="65"/>
      <c r="C100" s="65"/>
      <c r="D100" s="65"/>
      <c r="E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</row>
    <row r="101" spans="1:24" ht="15.75" customHeight="1" x14ac:dyDescent="0.4">
      <c r="A101" s="194"/>
      <c r="B101" s="65"/>
      <c r="C101" s="65"/>
      <c r="D101" s="65"/>
      <c r="E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</row>
    <row r="102" spans="1:24" ht="15.75" customHeight="1" x14ac:dyDescent="0.4">
      <c r="A102" s="194"/>
      <c r="B102" s="65"/>
      <c r="C102" s="65"/>
      <c r="D102" s="65"/>
      <c r="E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</row>
    <row r="103" spans="1:24" ht="15.75" customHeight="1" x14ac:dyDescent="0.4">
      <c r="A103" s="194"/>
      <c r="B103" s="65"/>
      <c r="C103" s="65"/>
      <c r="D103" s="65"/>
      <c r="E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</row>
    <row r="104" spans="1:24" ht="15.75" customHeight="1" x14ac:dyDescent="0.4">
      <c r="A104" s="194"/>
      <c r="B104" s="65"/>
      <c r="C104" s="65"/>
      <c r="D104" s="65"/>
      <c r="E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</row>
    <row r="105" spans="1:24" ht="15.75" customHeight="1" x14ac:dyDescent="0.4">
      <c r="A105" s="194"/>
      <c r="B105" s="65"/>
      <c r="C105" s="65"/>
      <c r="D105" s="65"/>
      <c r="E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</row>
    <row r="106" spans="1:24" ht="15.75" customHeight="1" x14ac:dyDescent="0.4">
      <c r="A106" s="194"/>
      <c r="B106" s="65"/>
      <c r="C106" s="65"/>
      <c r="D106" s="65"/>
      <c r="E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</row>
    <row r="107" spans="1:24" ht="15.75" customHeight="1" x14ac:dyDescent="0.4">
      <c r="A107" s="194"/>
      <c r="B107" s="65"/>
      <c r="C107" s="65"/>
      <c r="D107" s="65"/>
      <c r="E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</row>
    <row r="108" spans="1:24" ht="15.75" customHeight="1" x14ac:dyDescent="0.4">
      <c r="A108" s="194"/>
      <c r="B108" s="65"/>
      <c r="C108" s="65"/>
      <c r="D108" s="65"/>
      <c r="E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</row>
    <row r="109" spans="1:24" ht="15.75" customHeight="1" x14ac:dyDescent="0.4">
      <c r="A109" s="194"/>
      <c r="B109" s="65"/>
      <c r="C109" s="65"/>
      <c r="D109" s="65"/>
      <c r="E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</row>
    <row r="110" spans="1:24" ht="15.75" customHeight="1" x14ac:dyDescent="0.4">
      <c r="A110" s="194"/>
      <c r="B110" s="65"/>
      <c r="C110" s="65"/>
      <c r="D110" s="65"/>
      <c r="E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</row>
    <row r="111" spans="1:24" ht="15.75" customHeight="1" x14ac:dyDescent="0.4">
      <c r="A111" s="194"/>
      <c r="B111" s="65"/>
      <c r="C111" s="65"/>
      <c r="D111" s="65"/>
      <c r="E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</row>
    <row r="112" spans="1:24" ht="15.75" customHeight="1" x14ac:dyDescent="0.4">
      <c r="A112" s="194"/>
      <c r="B112" s="65"/>
      <c r="C112" s="65"/>
      <c r="D112" s="65"/>
      <c r="E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</row>
    <row r="113" spans="1:24" ht="15.75" customHeight="1" x14ac:dyDescent="0.4">
      <c r="A113" s="194"/>
      <c r="B113" s="65"/>
      <c r="C113" s="65"/>
      <c r="D113" s="65"/>
      <c r="E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</row>
    <row r="114" spans="1:24" ht="15.75" customHeight="1" x14ac:dyDescent="0.4">
      <c r="A114" s="194"/>
      <c r="B114" s="65"/>
      <c r="C114" s="65"/>
      <c r="D114" s="65"/>
      <c r="E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</row>
    <row r="115" spans="1:24" ht="15.75" customHeight="1" x14ac:dyDescent="0.4">
      <c r="A115" s="194"/>
      <c r="B115" s="65"/>
      <c r="C115" s="65"/>
      <c r="D115" s="65"/>
      <c r="E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</row>
    <row r="116" spans="1:24" ht="15.75" customHeight="1" x14ac:dyDescent="0.4">
      <c r="A116" s="194"/>
      <c r="B116" s="65"/>
      <c r="C116" s="65"/>
      <c r="D116" s="65"/>
      <c r="E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</row>
    <row r="117" spans="1:24" ht="15.75" customHeight="1" x14ac:dyDescent="0.4">
      <c r="A117" s="194"/>
      <c r="B117" s="65"/>
      <c r="C117" s="65"/>
      <c r="D117" s="65"/>
      <c r="E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</row>
    <row r="118" spans="1:24" ht="15.75" customHeight="1" x14ac:dyDescent="0.4">
      <c r="A118" s="194"/>
      <c r="B118" s="65"/>
      <c r="C118" s="65"/>
      <c r="D118" s="65"/>
      <c r="E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</row>
    <row r="119" spans="1:24" ht="15.75" customHeight="1" x14ac:dyDescent="0.4">
      <c r="A119" s="194"/>
      <c r="B119" s="65"/>
      <c r="C119" s="65"/>
      <c r="D119" s="65"/>
      <c r="E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</row>
    <row r="120" spans="1:24" ht="15.75" customHeight="1" x14ac:dyDescent="0.4">
      <c r="A120" s="194"/>
      <c r="B120" s="65"/>
      <c r="C120" s="65"/>
      <c r="D120" s="65"/>
      <c r="E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</row>
    <row r="121" spans="1:24" ht="15.75" customHeight="1" x14ac:dyDescent="0.4">
      <c r="A121" s="194"/>
      <c r="B121" s="65"/>
      <c r="C121" s="65"/>
      <c r="D121" s="65"/>
      <c r="E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</row>
    <row r="122" spans="1:24" ht="15.75" customHeight="1" x14ac:dyDescent="0.4">
      <c r="A122" s="194"/>
      <c r="B122" s="65"/>
      <c r="C122" s="65"/>
      <c r="D122" s="65"/>
      <c r="E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</row>
    <row r="123" spans="1:24" ht="15.75" customHeight="1" x14ac:dyDescent="0.4">
      <c r="A123" s="194"/>
      <c r="B123" s="65"/>
      <c r="C123" s="65"/>
      <c r="D123" s="65"/>
      <c r="E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</row>
    <row r="124" spans="1:24" ht="15.75" customHeight="1" x14ac:dyDescent="0.4">
      <c r="A124" s="194"/>
      <c r="B124" s="65"/>
      <c r="C124" s="65"/>
      <c r="D124" s="65"/>
      <c r="E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</row>
    <row r="125" spans="1:24" ht="15.75" customHeight="1" x14ac:dyDescent="0.4">
      <c r="A125" s="194"/>
      <c r="B125" s="65"/>
      <c r="C125" s="65"/>
      <c r="D125" s="65"/>
      <c r="E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</row>
    <row r="126" spans="1:24" ht="15.75" customHeight="1" x14ac:dyDescent="0.4">
      <c r="A126" s="194"/>
      <c r="B126" s="65"/>
      <c r="C126" s="65"/>
      <c r="D126" s="65"/>
      <c r="E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</row>
    <row r="127" spans="1:24" ht="15.75" customHeight="1" x14ac:dyDescent="0.4">
      <c r="A127" s="194"/>
      <c r="B127" s="65"/>
      <c r="C127" s="65"/>
      <c r="D127" s="65"/>
      <c r="E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</row>
    <row r="128" spans="1:24" ht="15.75" customHeight="1" x14ac:dyDescent="0.4">
      <c r="A128" s="194"/>
      <c r="B128" s="65"/>
      <c r="C128" s="65"/>
      <c r="D128" s="65"/>
      <c r="E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</row>
    <row r="129" spans="1:24" ht="15.75" customHeight="1" x14ac:dyDescent="0.4">
      <c r="A129" s="194"/>
      <c r="B129" s="65"/>
      <c r="C129" s="65"/>
      <c r="D129" s="65"/>
      <c r="E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</row>
    <row r="130" spans="1:24" ht="15.75" customHeight="1" x14ac:dyDescent="0.4">
      <c r="A130" s="194"/>
      <c r="B130" s="65"/>
      <c r="C130" s="65"/>
      <c r="D130" s="65"/>
      <c r="E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</row>
    <row r="131" spans="1:24" ht="15.75" customHeight="1" x14ac:dyDescent="0.4">
      <c r="A131" s="194"/>
      <c r="B131" s="65"/>
      <c r="C131" s="65"/>
      <c r="D131" s="65"/>
      <c r="E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</row>
    <row r="132" spans="1:24" ht="15.75" customHeight="1" x14ac:dyDescent="0.4">
      <c r="A132" s="194"/>
      <c r="B132" s="65"/>
      <c r="C132" s="65"/>
      <c r="D132" s="65"/>
      <c r="E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</row>
    <row r="133" spans="1:24" ht="15.75" customHeight="1" x14ac:dyDescent="0.4">
      <c r="A133" s="194"/>
      <c r="B133" s="65"/>
      <c r="C133" s="65"/>
      <c r="D133" s="65"/>
      <c r="E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</row>
    <row r="134" spans="1:24" ht="15.75" customHeight="1" x14ac:dyDescent="0.4">
      <c r="A134" s="194"/>
      <c r="B134" s="65"/>
      <c r="C134" s="65"/>
      <c r="D134" s="65"/>
      <c r="E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</row>
    <row r="135" spans="1:24" ht="15.75" customHeight="1" x14ac:dyDescent="0.4">
      <c r="A135" s="194"/>
      <c r="B135" s="65"/>
      <c r="C135" s="65"/>
      <c r="D135" s="65"/>
      <c r="E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</row>
    <row r="136" spans="1:24" ht="15.75" customHeight="1" x14ac:dyDescent="0.4">
      <c r="A136" s="194"/>
      <c r="B136" s="65"/>
      <c r="C136" s="65"/>
      <c r="D136" s="65"/>
      <c r="E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</row>
    <row r="137" spans="1:24" ht="15.75" customHeight="1" x14ac:dyDescent="0.4">
      <c r="A137" s="194"/>
      <c r="B137" s="65"/>
      <c r="C137" s="65"/>
      <c r="D137" s="65"/>
      <c r="E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</row>
    <row r="138" spans="1:24" ht="15.75" customHeight="1" x14ac:dyDescent="0.4">
      <c r="A138" s="194"/>
      <c r="B138" s="65"/>
      <c r="C138" s="65"/>
      <c r="D138" s="65"/>
      <c r="E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</row>
    <row r="139" spans="1:24" ht="15.75" customHeight="1" x14ac:dyDescent="0.4">
      <c r="A139" s="194"/>
      <c r="B139" s="65"/>
      <c r="C139" s="65"/>
      <c r="D139" s="65"/>
      <c r="E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</row>
    <row r="140" spans="1:24" ht="15.75" customHeight="1" x14ac:dyDescent="0.4">
      <c r="A140" s="194"/>
      <c r="B140" s="65"/>
      <c r="C140" s="65"/>
      <c r="D140" s="65"/>
      <c r="E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</row>
    <row r="141" spans="1:24" ht="15.75" customHeight="1" x14ac:dyDescent="0.4">
      <c r="A141" s="194"/>
      <c r="B141" s="65"/>
      <c r="C141" s="65"/>
      <c r="D141" s="65"/>
      <c r="E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</row>
    <row r="142" spans="1:24" ht="15.75" customHeight="1" x14ac:dyDescent="0.4">
      <c r="A142" s="194"/>
      <c r="B142" s="65"/>
      <c r="C142" s="65"/>
      <c r="D142" s="65"/>
      <c r="E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</row>
    <row r="143" spans="1:24" ht="15.75" customHeight="1" x14ac:dyDescent="0.4">
      <c r="A143" s="194"/>
      <c r="B143" s="65"/>
      <c r="C143" s="65"/>
      <c r="D143" s="65"/>
      <c r="E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</row>
    <row r="144" spans="1:24" ht="15.75" customHeight="1" x14ac:dyDescent="0.4">
      <c r="A144" s="194"/>
      <c r="B144" s="65"/>
      <c r="C144" s="65"/>
      <c r="D144" s="65"/>
      <c r="E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</row>
    <row r="145" spans="1:24" ht="15.75" customHeight="1" x14ac:dyDescent="0.4">
      <c r="A145" s="194"/>
      <c r="B145" s="65"/>
      <c r="C145" s="65"/>
      <c r="D145" s="65"/>
      <c r="E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</row>
    <row r="146" spans="1:24" ht="15.75" customHeight="1" x14ac:dyDescent="0.4">
      <c r="A146" s="194"/>
      <c r="B146" s="65"/>
      <c r="C146" s="65"/>
      <c r="D146" s="65"/>
      <c r="E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</row>
    <row r="147" spans="1:24" ht="15.75" customHeight="1" x14ac:dyDescent="0.4">
      <c r="A147" s="194"/>
      <c r="B147" s="65"/>
      <c r="C147" s="65"/>
      <c r="D147" s="65"/>
      <c r="E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</row>
    <row r="148" spans="1:24" ht="15.75" customHeight="1" x14ac:dyDescent="0.4">
      <c r="A148" s="194"/>
      <c r="B148" s="65"/>
      <c r="C148" s="65"/>
      <c r="D148" s="65"/>
      <c r="E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</row>
    <row r="149" spans="1:24" ht="15.75" customHeight="1" x14ac:dyDescent="0.4">
      <c r="A149" s="194"/>
      <c r="B149" s="65"/>
      <c r="C149" s="65"/>
      <c r="D149" s="65"/>
      <c r="E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</row>
    <row r="150" spans="1:24" ht="15.75" customHeight="1" x14ac:dyDescent="0.4">
      <c r="A150" s="194"/>
      <c r="B150" s="65"/>
      <c r="C150" s="65"/>
      <c r="D150" s="65"/>
      <c r="E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</row>
    <row r="151" spans="1:24" ht="15.75" customHeight="1" x14ac:dyDescent="0.4">
      <c r="A151" s="194"/>
      <c r="B151" s="65"/>
      <c r="C151" s="65"/>
      <c r="D151" s="65"/>
      <c r="E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</row>
    <row r="152" spans="1:24" ht="15.75" customHeight="1" x14ac:dyDescent="0.4">
      <c r="A152" s="194"/>
      <c r="B152" s="65"/>
      <c r="C152" s="65"/>
      <c r="D152" s="65"/>
      <c r="E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</row>
    <row r="153" spans="1:24" ht="15.75" customHeight="1" x14ac:dyDescent="0.4">
      <c r="A153" s="194"/>
      <c r="B153" s="65"/>
      <c r="C153" s="65"/>
      <c r="D153" s="65"/>
      <c r="E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</row>
    <row r="154" spans="1:24" ht="15.75" customHeight="1" x14ac:dyDescent="0.4">
      <c r="A154" s="194"/>
      <c r="B154" s="65"/>
      <c r="C154" s="65"/>
      <c r="D154" s="65"/>
      <c r="E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</row>
    <row r="155" spans="1:24" ht="15.75" customHeight="1" x14ac:dyDescent="0.4">
      <c r="A155" s="194"/>
      <c r="B155" s="65"/>
      <c r="C155" s="65"/>
      <c r="D155" s="65"/>
      <c r="E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</row>
    <row r="156" spans="1:24" ht="15.75" customHeight="1" x14ac:dyDescent="0.4">
      <c r="A156" s="194"/>
      <c r="B156" s="65"/>
      <c r="C156" s="65"/>
      <c r="D156" s="65"/>
      <c r="E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</row>
    <row r="157" spans="1:24" ht="15.75" customHeight="1" x14ac:dyDescent="0.4">
      <c r="A157" s="194"/>
      <c r="B157" s="65"/>
      <c r="C157" s="65"/>
      <c r="D157" s="65"/>
      <c r="E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</row>
    <row r="158" spans="1:24" ht="15.75" customHeight="1" x14ac:dyDescent="0.4">
      <c r="A158" s="194"/>
      <c r="B158" s="65"/>
      <c r="C158" s="65"/>
      <c r="D158" s="65"/>
      <c r="E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</row>
    <row r="159" spans="1:24" ht="15.75" customHeight="1" x14ac:dyDescent="0.4">
      <c r="A159" s="194"/>
      <c r="B159" s="65"/>
      <c r="C159" s="65"/>
      <c r="D159" s="65"/>
      <c r="E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</row>
    <row r="160" spans="1:24" ht="15.75" customHeight="1" x14ac:dyDescent="0.4">
      <c r="A160" s="194"/>
      <c r="B160" s="65"/>
      <c r="C160" s="65"/>
      <c r="D160" s="65"/>
      <c r="E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</row>
    <row r="161" spans="1:24" ht="15.75" customHeight="1" x14ac:dyDescent="0.4">
      <c r="A161" s="194"/>
      <c r="B161" s="65"/>
      <c r="C161" s="65"/>
      <c r="D161" s="65"/>
      <c r="E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</row>
    <row r="162" spans="1:24" ht="15.75" customHeight="1" x14ac:dyDescent="0.4">
      <c r="A162" s="194"/>
      <c r="B162" s="65"/>
      <c r="C162" s="65"/>
      <c r="D162" s="65"/>
      <c r="E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</row>
    <row r="163" spans="1:24" ht="15.75" customHeight="1" x14ac:dyDescent="0.4">
      <c r="A163" s="194"/>
      <c r="B163" s="65"/>
      <c r="C163" s="65"/>
      <c r="D163" s="65"/>
      <c r="E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</row>
    <row r="164" spans="1:24" ht="15.75" customHeight="1" x14ac:dyDescent="0.4">
      <c r="A164" s="194"/>
      <c r="B164" s="65"/>
      <c r="C164" s="65"/>
      <c r="D164" s="65"/>
      <c r="E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</row>
    <row r="165" spans="1:24" ht="15.75" customHeight="1" x14ac:dyDescent="0.4">
      <c r="A165" s="194"/>
      <c r="B165" s="65"/>
      <c r="C165" s="65"/>
      <c r="D165" s="65"/>
      <c r="E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</row>
    <row r="166" spans="1:24" ht="15.75" customHeight="1" x14ac:dyDescent="0.4">
      <c r="A166" s="194"/>
      <c r="B166" s="65"/>
      <c r="C166" s="65"/>
      <c r="D166" s="65"/>
      <c r="E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</row>
    <row r="167" spans="1:24" ht="15.75" customHeight="1" x14ac:dyDescent="0.4">
      <c r="A167" s="194"/>
      <c r="B167" s="65"/>
      <c r="C167" s="65"/>
      <c r="D167" s="65"/>
      <c r="E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</row>
    <row r="168" spans="1:24" ht="15.75" customHeight="1" x14ac:dyDescent="0.4">
      <c r="A168" s="194"/>
      <c r="B168" s="65"/>
      <c r="C168" s="65"/>
      <c r="D168" s="65"/>
      <c r="E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</row>
    <row r="169" spans="1:24" ht="15.75" customHeight="1" x14ac:dyDescent="0.4">
      <c r="A169" s="194"/>
      <c r="B169" s="65"/>
      <c r="C169" s="65"/>
      <c r="D169" s="65"/>
      <c r="E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</row>
    <row r="170" spans="1:24" ht="15.75" customHeight="1" x14ac:dyDescent="0.4">
      <c r="A170" s="194"/>
      <c r="B170" s="65"/>
      <c r="C170" s="65"/>
      <c r="D170" s="65"/>
      <c r="E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</row>
    <row r="171" spans="1:24" ht="15.75" customHeight="1" x14ac:dyDescent="0.4">
      <c r="A171" s="194"/>
      <c r="B171" s="65"/>
      <c r="C171" s="65"/>
      <c r="D171" s="65"/>
      <c r="E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</row>
    <row r="172" spans="1:24" ht="15.75" customHeight="1" x14ac:dyDescent="0.4">
      <c r="A172" s="194"/>
      <c r="B172" s="65"/>
      <c r="C172" s="65"/>
      <c r="D172" s="65"/>
      <c r="E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</row>
    <row r="173" spans="1:24" ht="15.75" customHeight="1" x14ac:dyDescent="0.4">
      <c r="A173" s="194"/>
      <c r="B173" s="65"/>
      <c r="C173" s="65"/>
      <c r="D173" s="65"/>
      <c r="E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</row>
    <row r="174" spans="1:24" ht="15.75" customHeight="1" x14ac:dyDescent="0.4">
      <c r="A174" s="194"/>
      <c r="B174" s="65"/>
      <c r="C174" s="65"/>
      <c r="D174" s="65"/>
      <c r="E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</row>
    <row r="175" spans="1:24" ht="15.75" customHeight="1" x14ac:dyDescent="0.4">
      <c r="A175" s="194"/>
      <c r="B175" s="65"/>
      <c r="C175" s="65"/>
      <c r="D175" s="65"/>
      <c r="E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</row>
    <row r="176" spans="1:24" ht="15.75" customHeight="1" x14ac:dyDescent="0.4">
      <c r="A176" s="194"/>
      <c r="B176" s="65"/>
      <c r="C176" s="65"/>
      <c r="D176" s="65"/>
      <c r="E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</row>
    <row r="177" spans="1:24" ht="15.75" customHeight="1" x14ac:dyDescent="0.4">
      <c r="A177" s="194"/>
      <c r="B177" s="65"/>
      <c r="C177" s="65"/>
      <c r="D177" s="65"/>
      <c r="E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</row>
    <row r="178" spans="1:24" ht="15.75" customHeight="1" x14ac:dyDescent="0.4">
      <c r="A178" s="194"/>
      <c r="B178" s="65"/>
      <c r="C178" s="65"/>
      <c r="D178" s="65"/>
      <c r="E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</row>
    <row r="179" spans="1:24" ht="15.75" customHeight="1" x14ac:dyDescent="0.4">
      <c r="A179" s="194"/>
      <c r="B179" s="65"/>
      <c r="C179" s="65"/>
      <c r="D179" s="65"/>
      <c r="E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</row>
    <row r="180" spans="1:24" ht="15.75" customHeight="1" x14ac:dyDescent="0.4">
      <c r="A180" s="194"/>
      <c r="B180" s="65"/>
      <c r="C180" s="65"/>
      <c r="D180" s="65"/>
      <c r="E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</row>
    <row r="181" spans="1:24" ht="15.75" customHeight="1" x14ac:dyDescent="0.4">
      <c r="A181" s="194"/>
      <c r="B181" s="65"/>
      <c r="C181" s="65"/>
      <c r="D181" s="65"/>
      <c r="E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</row>
    <row r="182" spans="1:24" ht="15.75" customHeight="1" x14ac:dyDescent="0.4">
      <c r="A182" s="194"/>
      <c r="B182" s="65"/>
      <c r="C182" s="65"/>
      <c r="D182" s="65"/>
      <c r="E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</row>
    <row r="183" spans="1:24" ht="15.75" customHeight="1" x14ac:dyDescent="0.4">
      <c r="A183" s="194"/>
      <c r="B183" s="65"/>
      <c r="C183" s="65"/>
      <c r="D183" s="65"/>
      <c r="E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</row>
    <row r="184" spans="1:24" ht="15.75" customHeight="1" x14ac:dyDescent="0.4">
      <c r="A184" s="194"/>
      <c r="B184" s="65"/>
      <c r="C184" s="65"/>
      <c r="D184" s="65"/>
      <c r="E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</row>
    <row r="185" spans="1:24" ht="15.75" customHeight="1" x14ac:dyDescent="0.4">
      <c r="A185" s="194"/>
      <c r="B185" s="65"/>
      <c r="C185" s="65"/>
      <c r="D185" s="65"/>
      <c r="E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</row>
    <row r="186" spans="1:24" ht="15.75" customHeight="1" x14ac:dyDescent="0.4">
      <c r="A186" s="194"/>
      <c r="B186" s="65"/>
      <c r="C186" s="65"/>
      <c r="D186" s="65"/>
      <c r="E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</row>
    <row r="187" spans="1:24" ht="15.75" customHeight="1" x14ac:dyDescent="0.4">
      <c r="A187" s="194"/>
      <c r="B187" s="65"/>
      <c r="C187" s="65"/>
      <c r="D187" s="65"/>
      <c r="E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</row>
    <row r="188" spans="1:24" ht="15.75" customHeight="1" x14ac:dyDescent="0.4">
      <c r="A188" s="194"/>
      <c r="B188" s="65"/>
      <c r="C188" s="65"/>
      <c r="D188" s="65"/>
      <c r="E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</row>
    <row r="189" spans="1:24" ht="15.75" customHeight="1" x14ac:dyDescent="0.4">
      <c r="A189" s="194"/>
      <c r="B189" s="65"/>
      <c r="C189" s="65"/>
      <c r="D189" s="65"/>
      <c r="E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</row>
    <row r="190" spans="1:24" ht="15.75" customHeight="1" x14ac:dyDescent="0.4">
      <c r="A190" s="194"/>
      <c r="B190" s="65"/>
      <c r="C190" s="65"/>
      <c r="D190" s="65"/>
      <c r="E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</row>
    <row r="191" spans="1:24" ht="15.75" customHeight="1" x14ac:dyDescent="0.4">
      <c r="A191" s="194"/>
      <c r="B191" s="65"/>
      <c r="C191" s="65"/>
      <c r="D191" s="65"/>
      <c r="E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</row>
    <row r="192" spans="1:24" ht="15.75" customHeight="1" x14ac:dyDescent="0.4">
      <c r="A192" s="194"/>
      <c r="B192" s="65"/>
      <c r="C192" s="65"/>
      <c r="D192" s="65"/>
      <c r="E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</row>
    <row r="193" spans="1:24" ht="15.75" customHeight="1" x14ac:dyDescent="0.4">
      <c r="A193" s="194"/>
      <c r="B193" s="65"/>
      <c r="C193" s="65"/>
      <c r="D193" s="65"/>
      <c r="E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</row>
    <row r="194" spans="1:24" ht="15.75" customHeight="1" x14ac:dyDescent="0.4">
      <c r="A194" s="194"/>
      <c r="B194" s="65"/>
      <c r="C194" s="65"/>
      <c r="D194" s="65"/>
      <c r="E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</row>
    <row r="195" spans="1:24" ht="15.75" customHeight="1" x14ac:dyDescent="0.4">
      <c r="A195" s="194"/>
      <c r="B195" s="65"/>
      <c r="C195" s="65"/>
      <c r="D195" s="65"/>
      <c r="E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</row>
    <row r="196" spans="1:24" ht="15.75" customHeight="1" x14ac:dyDescent="0.4">
      <c r="A196" s="194"/>
      <c r="B196" s="65"/>
      <c r="C196" s="65"/>
      <c r="D196" s="65"/>
      <c r="E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</row>
    <row r="197" spans="1:24" ht="15.75" customHeight="1" x14ac:dyDescent="0.4">
      <c r="A197" s="194"/>
      <c r="B197" s="65"/>
      <c r="C197" s="65"/>
      <c r="D197" s="65"/>
      <c r="E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</row>
    <row r="198" spans="1:24" ht="15.75" customHeight="1" x14ac:dyDescent="0.4">
      <c r="A198" s="194"/>
      <c r="B198" s="65"/>
      <c r="C198" s="65"/>
      <c r="D198" s="65"/>
      <c r="E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</row>
    <row r="199" spans="1:24" ht="15.75" customHeight="1" x14ac:dyDescent="0.4">
      <c r="A199" s="194"/>
      <c r="B199" s="65"/>
      <c r="C199" s="65"/>
      <c r="D199" s="65"/>
      <c r="E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</row>
    <row r="200" spans="1:24" ht="15.75" customHeight="1" x14ac:dyDescent="0.4">
      <c r="A200" s="194"/>
      <c r="B200" s="65"/>
      <c r="C200" s="65"/>
      <c r="D200" s="65"/>
      <c r="E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</row>
    <row r="201" spans="1:24" ht="15.75" customHeight="1" x14ac:dyDescent="0.4">
      <c r="A201" s="194"/>
      <c r="B201" s="65"/>
      <c r="C201" s="65"/>
      <c r="D201" s="65"/>
      <c r="E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</row>
    <row r="202" spans="1:24" ht="15.75" customHeight="1" x14ac:dyDescent="0.4">
      <c r="A202" s="194"/>
      <c r="B202" s="65"/>
      <c r="C202" s="65"/>
      <c r="D202" s="65"/>
      <c r="E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</row>
    <row r="203" spans="1:24" ht="15.75" customHeight="1" x14ac:dyDescent="0.4">
      <c r="A203" s="194"/>
      <c r="B203" s="65"/>
      <c r="C203" s="65"/>
      <c r="D203" s="65"/>
      <c r="E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</row>
    <row r="204" spans="1:24" ht="15.75" customHeight="1" x14ac:dyDescent="0.4">
      <c r="A204" s="194"/>
      <c r="B204" s="65"/>
      <c r="C204" s="65"/>
      <c r="D204" s="65"/>
      <c r="E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</row>
    <row r="205" spans="1:24" ht="15.75" customHeight="1" x14ac:dyDescent="0.4">
      <c r="A205" s="194"/>
      <c r="B205" s="65"/>
      <c r="C205" s="65"/>
      <c r="D205" s="65"/>
      <c r="E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</row>
    <row r="206" spans="1:24" ht="15.75" customHeight="1" x14ac:dyDescent="0.4">
      <c r="A206" s="194"/>
      <c r="B206" s="65"/>
      <c r="C206" s="65"/>
      <c r="D206" s="65"/>
      <c r="E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</row>
    <row r="207" spans="1:24" ht="15.75" customHeight="1" x14ac:dyDescent="0.4">
      <c r="A207" s="194"/>
      <c r="B207" s="65"/>
      <c r="C207" s="65"/>
      <c r="D207" s="65"/>
      <c r="E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</row>
    <row r="208" spans="1:24" ht="15.75" customHeight="1" x14ac:dyDescent="0.4">
      <c r="A208" s="194"/>
      <c r="B208" s="65"/>
      <c r="C208" s="65"/>
      <c r="D208" s="65"/>
      <c r="E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</row>
    <row r="209" spans="1:24" ht="15.75" customHeight="1" x14ac:dyDescent="0.4">
      <c r="A209" s="194"/>
      <c r="B209" s="65"/>
      <c r="C209" s="65"/>
      <c r="D209" s="65"/>
      <c r="E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</row>
    <row r="210" spans="1:24" ht="15.75" customHeight="1" x14ac:dyDescent="0.4">
      <c r="A210" s="194"/>
      <c r="B210" s="65"/>
      <c r="C210" s="65"/>
      <c r="D210" s="65"/>
      <c r="E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</row>
    <row r="211" spans="1:24" ht="15.75" customHeight="1" x14ac:dyDescent="0.4">
      <c r="A211" s="194"/>
      <c r="B211" s="65"/>
      <c r="C211" s="65"/>
      <c r="D211" s="65"/>
      <c r="E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</row>
    <row r="212" spans="1:24" ht="15.75" customHeight="1" x14ac:dyDescent="0.4">
      <c r="A212" s="194"/>
      <c r="B212" s="65"/>
      <c r="C212" s="65"/>
      <c r="D212" s="65"/>
      <c r="E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</row>
    <row r="213" spans="1:24" ht="15.75" customHeight="1" x14ac:dyDescent="0.4">
      <c r="A213" s="194"/>
      <c r="B213" s="65"/>
      <c r="C213" s="65"/>
      <c r="D213" s="65"/>
      <c r="E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</row>
    <row r="214" spans="1:24" ht="15.75" customHeight="1" x14ac:dyDescent="0.4">
      <c r="A214" s="194"/>
      <c r="B214" s="65"/>
      <c r="C214" s="65"/>
      <c r="D214" s="65"/>
      <c r="E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</row>
    <row r="215" spans="1:24" ht="15.75" customHeight="1" x14ac:dyDescent="0.4">
      <c r="A215" s="194"/>
      <c r="B215" s="65"/>
      <c r="C215" s="65"/>
      <c r="D215" s="65"/>
      <c r="E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</row>
    <row r="216" spans="1:24" ht="15.75" customHeight="1" x14ac:dyDescent="0.4">
      <c r="A216" s="194"/>
      <c r="B216" s="65"/>
      <c r="C216" s="65"/>
      <c r="D216" s="65"/>
      <c r="E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</row>
    <row r="217" spans="1:24" ht="15.75" customHeight="1" x14ac:dyDescent="0.4">
      <c r="A217" s="194"/>
      <c r="B217" s="65"/>
      <c r="C217" s="65"/>
      <c r="D217" s="65"/>
      <c r="E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</row>
    <row r="218" spans="1:24" ht="15.75" customHeight="1" x14ac:dyDescent="0.4">
      <c r="A218" s="194"/>
      <c r="B218" s="65"/>
      <c r="C218" s="65"/>
      <c r="D218" s="65"/>
      <c r="E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</row>
    <row r="219" spans="1:24" ht="15.75" customHeight="1" x14ac:dyDescent="0.4">
      <c r="A219" s="194"/>
      <c r="B219" s="65"/>
      <c r="C219" s="65"/>
      <c r="D219" s="65"/>
      <c r="E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</row>
    <row r="220" spans="1:24" ht="15.75" customHeight="1" x14ac:dyDescent="0.4">
      <c r="A220" s="194"/>
      <c r="B220" s="65"/>
      <c r="C220" s="65"/>
      <c r="D220" s="65"/>
      <c r="E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</row>
    <row r="221" spans="1:24" ht="15.75" customHeight="1" x14ac:dyDescent="0.4">
      <c r="A221" s="194"/>
      <c r="B221" s="65"/>
      <c r="C221" s="65"/>
      <c r="D221" s="65"/>
      <c r="E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</row>
    <row r="222" spans="1:24" ht="15.75" customHeight="1" x14ac:dyDescent="0.4">
      <c r="A222" s="194"/>
      <c r="B222" s="65"/>
      <c r="C222" s="65"/>
      <c r="D222" s="65"/>
      <c r="E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</row>
    <row r="223" spans="1:24" ht="15.75" customHeight="1" x14ac:dyDescent="0.4">
      <c r="A223" s="194"/>
      <c r="B223" s="65"/>
      <c r="C223" s="65"/>
      <c r="D223" s="65"/>
      <c r="E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</row>
    <row r="224" spans="1:24" ht="15.75" customHeight="1" x14ac:dyDescent="0.4">
      <c r="A224" s="194"/>
      <c r="B224" s="65"/>
      <c r="C224" s="65"/>
      <c r="D224" s="65"/>
      <c r="E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</row>
    <row r="225" spans="1:24" ht="15.75" customHeight="1" x14ac:dyDescent="0.4">
      <c r="A225" s="194"/>
      <c r="B225" s="65"/>
      <c r="C225" s="65"/>
      <c r="D225" s="65"/>
      <c r="E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</row>
    <row r="226" spans="1:24" ht="15.75" customHeight="1" x14ac:dyDescent="0.4">
      <c r="A226" s="194"/>
      <c r="B226" s="65"/>
      <c r="C226" s="65"/>
      <c r="D226" s="65"/>
      <c r="E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</row>
    <row r="227" spans="1:24" ht="15.75" customHeight="1" x14ac:dyDescent="0.4">
      <c r="A227" s="194"/>
      <c r="B227" s="65"/>
      <c r="C227" s="65"/>
      <c r="D227" s="65"/>
      <c r="E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</row>
    <row r="228" spans="1:24" ht="15.75" customHeight="1" x14ac:dyDescent="0.4">
      <c r="A228" s="194"/>
      <c r="B228" s="65"/>
      <c r="C228" s="65"/>
      <c r="D228" s="65"/>
      <c r="E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</row>
    <row r="229" spans="1:24" ht="15.75" customHeight="1" x14ac:dyDescent="0.4">
      <c r="A229" s="194"/>
      <c r="B229" s="65"/>
      <c r="C229" s="65"/>
      <c r="D229" s="65"/>
      <c r="E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</row>
    <row r="230" spans="1:24" ht="15.75" customHeight="1" x14ac:dyDescent="0.4">
      <c r="A230" s="194"/>
      <c r="B230" s="65"/>
      <c r="C230" s="65"/>
      <c r="D230" s="65"/>
      <c r="E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</row>
    <row r="231" spans="1:24" ht="15.75" customHeight="1" x14ac:dyDescent="0.4">
      <c r="A231" s="194"/>
      <c r="B231" s="65"/>
      <c r="C231" s="65"/>
      <c r="D231" s="65"/>
      <c r="E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</row>
    <row r="232" spans="1:24" ht="15.75" customHeight="1" x14ac:dyDescent="0.4">
      <c r="A232" s="194"/>
      <c r="B232" s="65"/>
      <c r="C232" s="65"/>
      <c r="D232" s="65"/>
      <c r="E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</row>
    <row r="233" spans="1:24" ht="15.75" customHeight="1" x14ac:dyDescent="0.4">
      <c r="A233" s="194"/>
      <c r="B233" s="65"/>
      <c r="C233" s="65"/>
      <c r="D233" s="65"/>
      <c r="E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</row>
    <row r="234" spans="1:24" ht="15.75" customHeight="1" x14ac:dyDescent="0.4">
      <c r="A234" s="194"/>
      <c r="B234" s="65"/>
      <c r="C234" s="65"/>
      <c r="D234" s="65"/>
      <c r="E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</row>
    <row r="235" spans="1:24" ht="15.75" customHeight="1" x14ac:dyDescent="0.4">
      <c r="A235" s="194"/>
      <c r="B235" s="65"/>
      <c r="C235" s="65"/>
      <c r="D235" s="65"/>
      <c r="E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</row>
    <row r="236" spans="1:24" ht="15.75" customHeight="1" x14ac:dyDescent="0.4">
      <c r="A236" s="194"/>
      <c r="B236" s="65"/>
      <c r="C236" s="65"/>
      <c r="D236" s="65"/>
      <c r="E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</row>
    <row r="237" spans="1:24" ht="15.75" customHeight="1" x14ac:dyDescent="0.4">
      <c r="A237" s="194"/>
      <c r="B237" s="65"/>
      <c r="C237" s="65"/>
      <c r="D237" s="65"/>
      <c r="E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</row>
    <row r="238" spans="1:24" ht="15.75" customHeight="1" x14ac:dyDescent="0.4">
      <c r="A238" s="194"/>
      <c r="B238" s="65"/>
      <c r="C238" s="65"/>
      <c r="D238" s="65"/>
      <c r="E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</row>
    <row r="239" spans="1:24" ht="15.75" customHeight="1" x14ac:dyDescent="0.4">
      <c r="A239" s="194"/>
      <c r="B239" s="65"/>
      <c r="C239" s="65"/>
      <c r="D239" s="65"/>
      <c r="E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</row>
    <row r="240" spans="1:24" ht="15.75" customHeight="1" x14ac:dyDescent="0.4">
      <c r="A240" s="194"/>
      <c r="B240" s="65"/>
      <c r="C240" s="65"/>
      <c r="D240" s="65"/>
      <c r="E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</row>
    <row r="241" spans="1:24" ht="15.75" customHeight="1" x14ac:dyDescent="0.4">
      <c r="A241" s="194"/>
      <c r="B241" s="65"/>
      <c r="C241" s="65"/>
      <c r="D241" s="65"/>
      <c r="E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</row>
    <row r="242" spans="1:24" ht="15.75" customHeight="1" x14ac:dyDescent="0.4">
      <c r="A242" s="194"/>
      <c r="B242" s="65"/>
      <c r="C242" s="65"/>
      <c r="D242" s="65"/>
      <c r="E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</row>
    <row r="243" spans="1:24" ht="15.75" customHeight="1" x14ac:dyDescent="0.4">
      <c r="A243" s="194"/>
      <c r="B243" s="65"/>
      <c r="C243" s="65"/>
      <c r="D243" s="65"/>
      <c r="E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</row>
    <row r="244" spans="1:24" ht="15.75" customHeight="1" x14ac:dyDescent="0.4">
      <c r="A244" s="194"/>
      <c r="B244" s="65"/>
      <c r="C244" s="65"/>
      <c r="D244" s="65"/>
      <c r="E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</row>
    <row r="245" spans="1:24" ht="15.75" customHeight="1" x14ac:dyDescent="0.4">
      <c r="A245" s="194"/>
      <c r="B245" s="65"/>
      <c r="C245" s="65"/>
      <c r="D245" s="65"/>
      <c r="E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</row>
    <row r="246" spans="1:24" ht="15.75" customHeight="1" x14ac:dyDescent="0.4">
      <c r="A246" s="194"/>
      <c r="B246" s="65"/>
      <c r="C246" s="65"/>
      <c r="D246" s="65"/>
      <c r="E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</row>
    <row r="247" spans="1:24" ht="15.75" customHeight="1" x14ac:dyDescent="0.4">
      <c r="A247" s="194"/>
      <c r="B247" s="65"/>
      <c r="C247" s="65"/>
      <c r="D247" s="65"/>
      <c r="E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</row>
    <row r="248" spans="1:24" ht="15.75" customHeight="1" x14ac:dyDescent="0.4">
      <c r="A248" s="194"/>
      <c r="B248" s="65"/>
      <c r="C248" s="65"/>
      <c r="D248" s="65"/>
      <c r="E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</row>
    <row r="249" spans="1:24" ht="15.75" customHeight="1" x14ac:dyDescent="0.4">
      <c r="A249" s="194"/>
      <c r="B249" s="65"/>
      <c r="C249" s="65"/>
      <c r="D249" s="65"/>
      <c r="E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</row>
    <row r="250" spans="1:24" ht="15.75" customHeight="1" x14ac:dyDescent="0.4">
      <c r="A250" s="194"/>
      <c r="B250" s="65"/>
      <c r="C250" s="65"/>
      <c r="D250" s="65"/>
      <c r="E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</row>
    <row r="251" spans="1:24" ht="15.75" customHeight="1" x14ac:dyDescent="0.4">
      <c r="A251" s="194"/>
      <c r="B251" s="65"/>
      <c r="C251" s="65"/>
      <c r="D251" s="65"/>
      <c r="E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</row>
    <row r="252" spans="1:24" ht="15.75" customHeight="1" x14ac:dyDescent="0.4">
      <c r="A252" s="194"/>
      <c r="B252" s="65"/>
      <c r="C252" s="65"/>
      <c r="D252" s="65"/>
      <c r="E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</row>
    <row r="253" spans="1:24" ht="15.75" customHeight="1" x14ac:dyDescent="0.4">
      <c r="A253" s="194"/>
      <c r="B253" s="65"/>
      <c r="C253" s="65"/>
      <c r="D253" s="65"/>
      <c r="E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</row>
    <row r="254" spans="1:24" ht="15.75" customHeight="1" x14ac:dyDescent="0.4">
      <c r="A254" s="194"/>
      <c r="B254" s="65"/>
      <c r="C254" s="65"/>
      <c r="D254" s="65"/>
      <c r="E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</row>
    <row r="255" spans="1:24" ht="15.75" customHeight="1" x14ac:dyDescent="0.4">
      <c r="A255" s="194"/>
      <c r="B255" s="65"/>
      <c r="C255" s="65"/>
      <c r="D255" s="65"/>
      <c r="E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</row>
    <row r="256" spans="1:24" ht="15.75" customHeight="1" x14ac:dyDescent="0.4">
      <c r="A256" s="194"/>
      <c r="B256" s="65"/>
      <c r="C256" s="65"/>
      <c r="D256" s="65"/>
      <c r="E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</row>
    <row r="257" spans="1:24" ht="15.75" customHeight="1" x14ac:dyDescent="0.4">
      <c r="A257" s="194"/>
      <c r="B257" s="65"/>
      <c r="C257" s="65"/>
      <c r="D257" s="65"/>
      <c r="E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</row>
    <row r="258" spans="1:24" ht="15.75" customHeight="1" x14ac:dyDescent="0.4">
      <c r="A258" s="194"/>
      <c r="B258" s="65"/>
      <c r="C258" s="65"/>
      <c r="D258" s="65"/>
      <c r="E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</row>
    <row r="259" spans="1:24" ht="15.75" customHeight="1" x14ac:dyDescent="0.4">
      <c r="A259" s="194"/>
      <c r="B259" s="65"/>
      <c r="C259" s="65"/>
      <c r="D259" s="65"/>
      <c r="E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</row>
    <row r="260" spans="1:24" ht="15.75" customHeight="1" x14ac:dyDescent="0.4">
      <c r="A260" s="194"/>
      <c r="B260" s="65"/>
      <c r="C260" s="65"/>
      <c r="D260" s="65"/>
      <c r="E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</row>
    <row r="261" spans="1:24" ht="15.75" customHeight="1" x14ac:dyDescent="0.4">
      <c r="A261" s="194"/>
      <c r="B261" s="65"/>
      <c r="C261" s="65"/>
      <c r="D261" s="65"/>
      <c r="E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</row>
    <row r="262" spans="1:24" ht="15.75" customHeight="1" x14ac:dyDescent="0.4">
      <c r="A262" s="194"/>
      <c r="B262" s="65"/>
      <c r="C262" s="65"/>
      <c r="D262" s="65"/>
      <c r="E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</row>
    <row r="263" spans="1:24" ht="15.75" customHeight="1" x14ac:dyDescent="0.4">
      <c r="A263" s="194"/>
      <c r="B263" s="65"/>
      <c r="C263" s="65"/>
      <c r="D263" s="65"/>
      <c r="E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</row>
    <row r="264" spans="1:24" ht="15.75" customHeight="1" x14ac:dyDescent="0.4">
      <c r="A264" s="194"/>
      <c r="B264" s="65"/>
      <c r="C264" s="65"/>
      <c r="D264" s="65"/>
      <c r="E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</row>
    <row r="265" spans="1:24" ht="15.75" customHeight="1" x14ac:dyDescent="0.4">
      <c r="A265" s="194"/>
      <c r="B265" s="65"/>
      <c r="C265" s="65"/>
      <c r="D265" s="65"/>
      <c r="E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</row>
    <row r="266" spans="1:24" ht="15.75" customHeight="1" x14ac:dyDescent="0.4">
      <c r="A266" s="194"/>
      <c r="B266" s="65"/>
      <c r="C266" s="65"/>
      <c r="D266" s="65"/>
      <c r="E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</row>
    <row r="267" spans="1:24" ht="15.75" customHeight="1" x14ac:dyDescent="0.4">
      <c r="A267" s="194"/>
      <c r="B267" s="65"/>
      <c r="C267" s="65"/>
      <c r="D267" s="65"/>
      <c r="E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</row>
    <row r="268" spans="1:24" ht="15.75" customHeight="1" x14ac:dyDescent="0.4">
      <c r="A268" s="194"/>
      <c r="B268" s="65"/>
      <c r="C268" s="65"/>
      <c r="D268" s="65"/>
      <c r="E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</row>
    <row r="269" spans="1:24" ht="15.75" customHeight="1" x14ac:dyDescent="0.4">
      <c r="A269" s="194"/>
      <c r="B269" s="65"/>
      <c r="C269" s="65"/>
      <c r="D269" s="65"/>
      <c r="E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</row>
    <row r="270" spans="1:24" ht="15.75" customHeight="1" x14ac:dyDescent="0.4">
      <c r="A270" s="194"/>
      <c r="B270" s="65"/>
      <c r="C270" s="65"/>
      <c r="D270" s="65"/>
      <c r="E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</row>
    <row r="271" spans="1:24" ht="15.75" customHeight="1" x14ac:dyDescent="0.4">
      <c r="A271" s="194"/>
      <c r="B271" s="65"/>
      <c r="C271" s="65"/>
      <c r="D271" s="65"/>
      <c r="E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</row>
    <row r="272" spans="1:24" ht="15.75" customHeight="1" x14ac:dyDescent="0.4">
      <c r="A272" s="194"/>
      <c r="B272" s="65"/>
      <c r="C272" s="65"/>
      <c r="D272" s="65"/>
      <c r="E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</row>
    <row r="273" spans="1:24" ht="15.75" customHeight="1" x14ac:dyDescent="0.4">
      <c r="A273" s="194"/>
      <c r="B273" s="65"/>
      <c r="C273" s="65"/>
      <c r="D273" s="65"/>
      <c r="E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</row>
    <row r="274" spans="1:24" ht="15.75" customHeight="1" x14ac:dyDescent="0.4">
      <c r="A274" s="194"/>
      <c r="B274" s="65"/>
      <c r="C274" s="65"/>
      <c r="D274" s="65"/>
      <c r="E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</row>
    <row r="275" spans="1:24" ht="15.75" customHeight="1" x14ac:dyDescent="0.4">
      <c r="A275" s="194"/>
      <c r="B275" s="65"/>
      <c r="C275" s="65"/>
      <c r="D275" s="65"/>
      <c r="E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</row>
    <row r="276" spans="1:24" ht="15.75" customHeight="1" x14ac:dyDescent="0.4">
      <c r="A276" s="194"/>
      <c r="B276" s="65"/>
      <c r="C276" s="65"/>
      <c r="D276" s="65"/>
      <c r="E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</row>
    <row r="277" spans="1:24" ht="15.75" customHeight="1" x14ac:dyDescent="0.4">
      <c r="A277" s="194"/>
      <c r="B277" s="65"/>
      <c r="C277" s="65"/>
      <c r="D277" s="65"/>
      <c r="E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</row>
    <row r="278" spans="1:24" ht="15.75" customHeight="1" x14ac:dyDescent="0.4">
      <c r="A278" s="194"/>
      <c r="B278" s="65"/>
      <c r="C278" s="65"/>
      <c r="D278" s="65"/>
      <c r="E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</row>
    <row r="279" spans="1:24" ht="15.75" customHeight="1" x14ac:dyDescent="0.4">
      <c r="A279" s="194"/>
      <c r="B279" s="65"/>
      <c r="C279" s="65"/>
      <c r="D279" s="65"/>
      <c r="E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</row>
    <row r="280" spans="1:24" ht="15.75" customHeight="1" x14ac:dyDescent="0.4">
      <c r="A280" s="194"/>
      <c r="B280" s="65"/>
      <c r="C280" s="65"/>
      <c r="D280" s="65"/>
      <c r="E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</row>
    <row r="281" spans="1:24" ht="15.75" customHeight="1" x14ac:dyDescent="0.4">
      <c r="A281" s="194"/>
      <c r="B281" s="65"/>
      <c r="C281" s="65"/>
      <c r="D281" s="65"/>
      <c r="E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</row>
    <row r="282" spans="1:24" ht="15.75" customHeight="1" x14ac:dyDescent="0.4">
      <c r="A282" s="194"/>
      <c r="B282" s="65"/>
      <c r="C282" s="65"/>
      <c r="D282" s="65"/>
      <c r="E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</row>
    <row r="283" spans="1:24" ht="15.75" customHeight="1" x14ac:dyDescent="0.4">
      <c r="A283" s="194"/>
      <c r="B283" s="65"/>
      <c r="C283" s="65"/>
      <c r="D283" s="65"/>
      <c r="E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</row>
    <row r="284" spans="1:24" ht="15.75" customHeight="1" x14ac:dyDescent="0.4">
      <c r="A284" s="194"/>
      <c r="B284" s="65"/>
      <c r="C284" s="65"/>
      <c r="D284" s="65"/>
      <c r="E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</row>
    <row r="285" spans="1:24" ht="15.75" customHeight="1" x14ac:dyDescent="0.4">
      <c r="A285" s="194"/>
      <c r="B285" s="65"/>
      <c r="C285" s="65"/>
      <c r="D285" s="65"/>
      <c r="E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</row>
    <row r="286" spans="1:24" ht="15.75" customHeight="1" x14ac:dyDescent="0.4">
      <c r="A286" s="194"/>
      <c r="B286" s="65"/>
      <c r="C286" s="65"/>
      <c r="D286" s="65"/>
      <c r="E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</row>
    <row r="287" spans="1:24" ht="15.75" customHeight="1" x14ac:dyDescent="0.4">
      <c r="A287" s="194"/>
      <c r="B287" s="65"/>
      <c r="C287" s="65"/>
      <c r="D287" s="65"/>
      <c r="E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</row>
    <row r="288" spans="1:24" ht="15.75" customHeight="1" x14ac:dyDescent="0.4">
      <c r="A288" s="194"/>
      <c r="B288" s="65"/>
      <c r="C288" s="65"/>
      <c r="D288" s="65"/>
      <c r="E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</row>
    <row r="289" spans="1:24" ht="15.75" customHeight="1" x14ac:dyDescent="0.4">
      <c r="A289" s="194"/>
      <c r="B289" s="65"/>
      <c r="C289" s="65"/>
      <c r="D289" s="65"/>
      <c r="E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</row>
    <row r="290" spans="1:24" ht="15.75" customHeight="1" x14ac:dyDescent="0.4">
      <c r="A290" s="194"/>
      <c r="B290" s="65"/>
      <c r="C290" s="65"/>
      <c r="D290" s="65"/>
      <c r="E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</row>
    <row r="291" spans="1:24" ht="15.75" customHeight="1" x14ac:dyDescent="0.4">
      <c r="A291" s="194"/>
      <c r="B291" s="65"/>
      <c r="C291" s="65"/>
      <c r="D291" s="65"/>
      <c r="E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</row>
    <row r="292" spans="1:24" ht="15.75" customHeight="1" x14ac:dyDescent="0.4">
      <c r="A292" s="194"/>
      <c r="B292" s="65"/>
      <c r="C292" s="65"/>
      <c r="D292" s="65"/>
      <c r="E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</row>
    <row r="293" spans="1:24" ht="15.75" customHeight="1" x14ac:dyDescent="0.4">
      <c r="A293" s="194"/>
      <c r="B293" s="65"/>
      <c r="C293" s="65"/>
      <c r="D293" s="65"/>
      <c r="E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</row>
    <row r="294" spans="1:24" ht="15.75" customHeight="1" x14ac:dyDescent="0.4">
      <c r="A294" s="194"/>
      <c r="B294" s="65"/>
      <c r="C294" s="65"/>
      <c r="D294" s="65"/>
      <c r="E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</row>
    <row r="295" spans="1:24" ht="15.75" customHeight="1" x14ac:dyDescent="0.4">
      <c r="A295" s="194"/>
      <c r="B295" s="65"/>
      <c r="C295" s="65"/>
      <c r="D295" s="65"/>
      <c r="E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</row>
    <row r="296" spans="1:24" ht="15.75" customHeight="1" x14ac:dyDescent="0.4">
      <c r="A296" s="194"/>
      <c r="B296" s="65"/>
      <c r="C296" s="65"/>
      <c r="D296" s="65"/>
      <c r="E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</row>
    <row r="297" spans="1:24" ht="15.75" customHeight="1" x14ac:dyDescent="0.4">
      <c r="A297" s="194"/>
      <c r="B297" s="65"/>
      <c r="C297" s="65"/>
      <c r="D297" s="65"/>
      <c r="E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</row>
    <row r="298" spans="1:24" ht="15.75" customHeight="1" x14ac:dyDescent="0.4">
      <c r="A298" s="194"/>
      <c r="B298" s="65"/>
      <c r="C298" s="65"/>
      <c r="D298" s="65"/>
      <c r="E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</row>
    <row r="299" spans="1:24" ht="15.75" customHeight="1" x14ac:dyDescent="0.4">
      <c r="A299" s="194"/>
      <c r="B299" s="65"/>
      <c r="C299" s="65"/>
      <c r="D299" s="65"/>
      <c r="E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</row>
    <row r="300" spans="1:24" ht="15.75" customHeight="1" x14ac:dyDescent="0.4">
      <c r="A300" s="194"/>
      <c r="B300" s="65"/>
      <c r="C300" s="65"/>
      <c r="D300" s="65"/>
      <c r="E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</row>
    <row r="301" spans="1:24" ht="15.75" customHeight="1" x14ac:dyDescent="0.4">
      <c r="A301" s="194"/>
      <c r="B301" s="65"/>
      <c r="C301" s="65"/>
      <c r="D301" s="65"/>
      <c r="E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</row>
    <row r="302" spans="1:24" ht="15.75" customHeight="1" x14ac:dyDescent="0.4">
      <c r="A302" s="194"/>
      <c r="B302" s="65"/>
      <c r="C302" s="65"/>
      <c r="D302" s="65"/>
      <c r="E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</row>
    <row r="303" spans="1:24" ht="15.75" customHeight="1" x14ac:dyDescent="0.4">
      <c r="A303" s="194"/>
      <c r="B303" s="65"/>
      <c r="C303" s="65"/>
      <c r="D303" s="65"/>
      <c r="E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</row>
    <row r="304" spans="1:24" ht="15.75" customHeight="1" x14ac:dyDescent="0.4">
      <c r="A304" s="194"/>
      <c r="B304" s="65"/>
      <c r="C304" s="65"/>
      <c r="D304" s="65"/>
      <c r="E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</row>
    <row r="305" spans="1:24" ht="15.75" customHeight="1" x14ac:dyDescent="0.4">
      <c r="A305" s="194"/>
      <c r="B305" s="65"/>
      <c r="C305" s="65"/>
      <c r="D305" s="65"/>
      <c r="E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</row>
    <row r="306" spans="1:24" ht="15.75" customHeight="1" x14ac:dyDescent="0.4">
      <c r="A306" s="194"/>
      <c r="B306" s="65"/>
      <c r="C306" s="65"/>
      <c r="D306" s="65"/>
      <c r="E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</row>
    <row r="307" spans="1:24" ht="15.75" customHeight="1" x14ac:dyDescent="0.4">
      <c r="A307" s="194"/>
      <c r="B307" s="65"/>
      <c r="C307" s="65"/>
      <c r="D307" s="65"/>
      <c r="E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</row>
    <row r="308" spans="1:24" ht="15.75" customHeight="1" x14ac:dyDescent="0.4">
      <c r="A308" s="194"/>
      <c r="B308" s="65"/>
      <c r="C308" s="65"/>
      <c r="D308" s="65"/>
      <c r="E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</row>
    <row r="309" spans="1:24" ht="15.75" customHeight="1" x14ac:dyDescent="0.4">
      <c r="A309" s="194"/>
      <c r="B309" s="65"/>
      <c r="C309" s="65"/>
      <c r="D309" s="65"/>
      <c r="E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</row>
    <row r="310" spans="1:24" ht="15.75" customHeight="1" x14ac:dyDescent="0.4">
      <c r="A310" s="194"/>
      <c r="B310" s="65"/>
      <c r="C310" s="65"/>
      <c r="D310" s="65"/>
      <c r="E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</row>
    <row r="311" spans="1:24" ht="15.75" customHeight="1" x14ac:dyDescent="0.4">
      <c r="A311" s="194"/>
      <c r="B311" s="65"/>
      <c r="C311" s="65"/>
      <c r="D311" s="65"/>
      <c r="E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</row>
    <row r="312" spans="1:24" ht="15.75" customHeight="1" x14ac:dyDescent="0.4">
      <c r="A312" s="194"/>
      <c r="B312" s="65"/>
      <c r="C312" s="65"/>
      <c r="D312" s="65"/>
      <c r="E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</row>
    <row r="313" spans="1:24" ht="15.75" customHeight="1" x14ac:dyDescent="0.4">
      <c r="A313" s="194"/>
      <c r="B313" s="65"/>
      <c r="C313" s="65"/>
      <c r="D313" s="65"/>
      <c r="E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</row>
    <row r="314" spans="1:24" ht="15.75" customHeight="1" x14ac:dyDescent="0.4">
      <c r="A314" s="194"/>
      <c r="B314" s="65"/>
      <c r="C314" s="65"/>
      <c r="D314" s="65"/>
      <c r="E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</row>
    <row r="315" spans="1:24" ht="15.75" customHeight="1" x14ac:dyDescent="0.4">
      <c r="A315" s="194"/>
      <c r="B315" s="65"/>
      <c r="C315" s="65"/>
      <c r="D315" s="65"/>
      <c r="E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</row>
    <row r="316" spans="1:24" ht="15.75" customHeight="1" x14ac:dyDescent="0.4">
      <c r="A316" s="194"/>
      <c r="B316" s="65"/>
      <c r="C316" s="65"/>
      <c r="D316" s="65"/>
      <c r="E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</row>
    <row r="317" spans="1:24" ht="15.75" customHeight="1" x14ac:dyDescent="0.4">
      <c r="A317" s="194"/>
      <c r="B317" s="65"/>
      <c r="C317" s="65"/>
      <c r="D317" s="65"/>
      <c r="E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</row>
    <row r="318" spans="1:24" ht="15.75" customHeight="1" x14ac:dyDescent="0.4">
      <c r="A318" s="194"/>
      <c r="B318" s="65"/>
      <c r="C318" s="65"/>
      <c r="D318" s="65"/>
      <c r="E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</row>
    <row r="319" spans="1:24" ht="15.75" customHeight="1" x14ac:dyDescent="0.4">
      <c r="A319" s="194"/>
      <c r="B319" s="65"/>
      <c r="C319" s="65"/>
      <c r="D319" s="65"/>
      <c r="E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</row>
    <row r="320" spans="1:24" ht="15.75" customHeight="1" x14ac:dyDescent="0.4">
      <c r="A320" s="194"/>
      <c r="B320" s="65"/>
      <c r="C320" s="65"/>
      <c r="D320" s="65"/>
      <c r="E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</row>
    <row r="321" spans="1:24" ht="15.75" customHeight="1" x14ac:dyDescent="0.4">
      <c r="A321" s="194"/>
      <c r="B321" s="65"/>
      <c r="C321" s="65"/>
      <c r="D321" s="65"/>
      <c r="E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</row>
    <row r="322" spans="1:24" ht="15.75" customHeight="1" x14ac:dyDescent="0.4">
      <c r="A322" s="194"/>
      <c r="B322" s="65"/>
      <c r="C322" s="65"/>
      <c r="D322" s="65"/>
      <c r="E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</row>
    <row r="323" spans="1:24" ht="15.75" customHeight="1" x14ac:dyDescent="0.4">
      <c r="A323" s="194"/>
      <c r="B323" s="65"/>
      <c r="C323" s="65"/>
      <c r="D323" s="65"/>
      <c r="E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</row>
    <row r="324" spans="1:24" ht="15.75" customHeight="1" x14ac:dyDescent="0.4">
      <c r="A324" s="194"/>
      <c r="B324" s="65"/>
      <c r="C324" s="65"/>
      <c r="D324" s="65"/>
      <c r="E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</row>
    <row r="325" spans="1:24" ht="15.75" customHeight="1" x14ac:dyDescent="0.4">
      <c r="A325" s="194"/>
      <c r="B325" s="65"/>
      <c r="C325" s="65"/>
      <c r="D325" s="65"/>
      <c r="E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</row>
    <row r="326" spans="1:24" ht="15.75" customHeight="1" x14ac:dyDescent="0.4">
      <c r="A326" s="194"/>
      <c r="B326" s="65"/>
      <c r="C326" s="65"/>
      <c r="D326" s="65"/>
      <c r="E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</row>
    <row r="327" spans="1:24" ht="15.75" customHeight="1" x14ac:dyDescent="0.4">
      <c r="A327" s="194"/>
      <c r="B327" s="65"/>
      <c r="C327" s="65"/>
      <c r="D327" s="65"/>
      <c r="E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</row>
    <row r="328" spans="1:24" ht="15.75" customHeight="1" x14ac:dyDescent="0.4">
      <c r="A328" s="194"/>
      <c r="B328" s="65"/>
      <c r="C328" s="65"/>
      <c r="D328" s="65"/>
      <c r="E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</row>
    <row r="329" spans="1:24" ht="15.75" customHeight="1" x14ac:dyDescent="0.4">
      <c r="A329" s="194"/>
      <c r="B329" s="65"/>
      <c r="C329" s="65"/>
      <c r="D329" s="65"/>
      <c r="E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</row>
    <row r="330" spans="1:24" ht="15.75" customHeight="1" x14ac:dyDescent="0.4">
      <c r="A330" s="194"/>
      <c r="B330" s="65"/>
      <c r="C330" s="65"/>
      <c r="D330" s="65"/>
      <c r="E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</row>
    <row r="331" spans="1:24" ht="15.75" customHeight="1" x14ac:dyDescent="0.4">
      <c r="A331" s="194"/>
      <c r="B331" s="65"/>
      <c r="C331" s="65"/>
      <c r="D331" s="65"/>
      <c r="E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</row>
    <row r="332" spans="1:24" ht="15.75" customHeight="1" x14ac:dyDescent="0.4">
      <c r="A332" s="194"/>
      <c r="B332" s="65"/>
      <c r="C332" s="65"/>
      <c r="D332" s="65"/>
      <c r="E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</row>
    <row r="333" spans="1:24" ht="15.75" customHeight="1" x14ac:dyDescent="0.4">
      <c r="A333" s="194"/>
      <c r="B333" s="65"/>
      <c r="C333" s="65"/>
      <c r="D333" s="65"/>
      <c r="E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</row>
    <row r="334" spans="1:24" ht="15.75" customHeight="1" x14ac:dyDescent="0.4">
      <c r="A334" s="194"/>
      <c r="B334" s="65"/>
      <c r="C334" s="65"/>
      <c r="D334" s="65"/>
      <c r="E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</row>
    <row r="335" spans="1:24" ht="15.75" customHeight="1" x14ac:dyDescent="0.4">
      <c r="A335" s="194"/>
      <c r="B335" s="65"/>
      <c r="C335" s="65"/>
      <c r="D335" s="65"/>
      <c r="E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</row>
    <row r="336" spans="1:24" ht="15.75" customHeight="1" x14ac:dyDescent="0.4">
      <c r="A336" s="194"/>
      <c r="B336" s="65"/>
      <c r="C336" s="65"/>
      <c r="D336" s="65"/>
      <c r="E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</row>
    <row r="337" spans="1:24" ht="15.75" customHeight="1" x14ac:dyDescent="0.4">
      <c r="A337" s="194"/>
      <c r="B337" s="65"/>
      <c r="C337" s="65"/>
      <c r="D337" s="65"/>
      <c r="E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</row>
    <row r="338" spans="1:24" ht="15.75" customHeight="1" x14ac:dyDescent="0.4">
      <c r="A338" s="194"/>
      <c r="B338" s="65"/>
      <c r="C338" s="65"/>
      <c r="D338" s="65"/>
      <c r="E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</row>
    <row r="339" spans="1:24" ht="15.75" customHeight="1" x14ac:dyDescent="0.4">
      <c r="A339" s="194"/>
      <c r="B339" s="65"/>
      <c r="C339" s="65"/>
      <c r="D339" s="65"/>
      <c r="E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</row>
    <row r="340" spans="1:24" ht="15.75" customHeight="1" x14ac:dyDescent="0.4">
      <c r="A340" s="194"/>
      <c r="B340" s="65"/>
      <c r="C340" s="65"/>
      <c r="D340" s="65"/>
      <c r="E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</row>
    <row r="341" spans="1:24" ht="15.75" customHeight="1" x14ac:dyDescent="0.4">
      <c r="A341" s="194"/>
      <c r="B341" s="65"/>
      <c r="C341" s="65"/>
      <c r="D341" s="65"/>
      <c r="E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</row>
    <row r="342" spans="1:24" ht="15.75" customHeight="1" x14ac:dyDescent="0.4">
      <c r="A342" s="194"/>
      <c r="B342" s="65"/>
      <c r="C342" s="65"/>
      <c r="D342" s="65"/>
      <c r="E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</row>
    <row r="343" spans="1:24" ht="15.75" customHeight="1" x14ac:dyDescent="0.4">
      <c r="A343" s="194"/>
      <c r="B343" s="65"/>
      <c r="C343" s="65"/>
      <c r="D343" s="65"/>
      <c r="E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</row>
    <row r="344" spans="1:24" ht="15.75" customHeight="1" x14ac:dyDescent="0.4">
      <c r="A344" s="194"/>
      <c r="B344" s="65"/>
      <c r="C344" s="65"/>
      <c r="D344" s="65"/>
      <c r="E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</row>
    <row r="345" spans="1:24" ht="15.75" customHeight="1" x14ac:dyDescent="0.4">
      <c r="A345" s="194"/>
      <c r="B345" s="65"/>
      <c r="C345" s="65"/>
      <c r="D345" s="65"/>
      <c r="E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</row>
    <row r="346" spans="1:24" ht="15.75" customHeight="1" x14ac:dyDescent="0.4">
      <c r="A346" s="194"/>
      <c r="B346" s="65"/>
      <c r="C346" s="65"/>
      <c r="D346" s="65"/>
      <c r="E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</row>
    <row r="347" spans="1:24" ht="15.75" customHeight="1" x14ac:dyDescent="0.4">
      <c r="A347" s="194"/>
      <c r="B347" s="65"/>
      <c r="C347" s="65"/>
      <c r="D347" s="65"/>
      <c r="E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</row>
    <row r="348" spans="1:24" ht="15.75" customHeight="1" x14ac:dyDescent="0.4">
      <c r="A348" s="194"/>
      <c r="B348" s="65"/>
      <c r="C348" s="65"/>
      <c r="D348" s="65"/>
      <c r="E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</row>
    <row r="349" spans="1:24" ht="15.75" customHeight="1" x14ac:dyDescent="0.4">
      <c r="A349" s="194"/>
      <c r="B349" s="65"/>
      <c r="C349" s="65"/>
      <c r="D349" s="65"/>
      <c r="E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</row>
    <row r="350" spans="1:24" ht="15.75" customHeight="1" x14ac:dyDescent="0.4">
      <c r="A350" s="194"/>
      <c r="B350" s="65"/>
      <c r="C350" s="65"/>
      <c r="D350" s="65"/>
      <c r="E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</row>
    <row r="351" spans="1:24" ht="15.75" customHeight="1" x14ac:dyDescent="0.4">
      <c r="A351" s="194"/>
      <c r="B351" s="65"/>
      <c r="C351" s="65"/>
      <c r="D351" s="65"/>
      <c r="E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</row>
    <row r="352" spans="1:24" ht="15.75" customHeight="1" x14ac:dyDescent="0.4">
      <c r="A352" s="194"/>
      <c r="B352" s="65"/>
      <c r="C352" s="65"/>
      <c r="D352" s="65"/>
      <c r="E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</row>
    <row r="353" spans="1:24" ht="15.75" customHeight="1" x14ac:dyDescent="0.4">
      <c r="A353" s="194"/>
      <c r="B353" s="65"/>
      <c r="C353" s="65"/>
      <c r="D353" s="65"/>
      <c r="E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</row>
    <row r="354" spans="1:24" ht="15.75" customHeight="1" x14ac:dyDescent="0.4">
      <c r="A354" s="194"/>
      <c r="B354" s="65"/>
      <c r="C354" s="65"/>
      <c r="D354" s="65"/>
      <c r="E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</row>
    <row r="355" spans="1:24" ht="15.75" customHeight="1" x14ac:dyDescent="0.4">
      <c r="A355" s="194"/>
      <c r="B355" s="65"/>
      <c r="C355" s="65"/>
      <c r="D355" s="65"/>
      <c r="E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</row>
    <row r="356" spans="1:24" ht="15.75" customHeight="1" x14ac:dyDescent="0.4">
      <c r="A356" s="194"/>
      <c r="B356" s="65"/>
      <c r="C356" s="65"/>
      <c r="D356" s="65"/>
      <c r="E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</row>
    <row r="357" spans="1:24" ht="15.75" customHeight="1" x14ac:dyDescent="0.4">
      <c r="A357" s="194"/>
      <c r="B357" s="65"/>
      <c r="C357" s="65"/>
      <c r="D357" s="65"/>
      <c r="E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</row>
    <row r="358" spans="1:24" ht="15.75" customHeight="1" x14ac:dyDescent="0.4">
      <c r="A358" s="194"/>
      <c r="B358" s="65"/>
      <c r="C358" s="65"/>
      <c r="D358" s="65"/>
      <c r="E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</row>
    <row r="359" spans="1:24" ht="15.75" customHeight="1" x14ac:dyDescent="0.4">
      <c r="A359" s="194"/>
      <c r="B359" s="65"/>
      <c r="C359" s="65"/>
      <c r="D359" s="65"/>
      <c r="E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</row>
    <row r="360" spans="1:24" ht="15.75" customHeight="1" x14ac:dyDescent="0.4">
      <c r="A360" s="194"/>
      <c r="B360" s="65"/>
      <c r="C360" s="65"/>
      <c r="D360" s="65"/>
      <c r="E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</row>
    <row r="361" spans="1:24" ht="15.75" customHeight="1" x14ac:dyDescent="0.4">
      <c r="A361" s="194"/>
      <c r="B361" s="65"/>
      <c r="C361" s="65"/>
      <c r="D361" s="65"/>
      <c r="E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</row>
    <row r="362" spans="1:24" ht="15.75" customHeight="1" x14ac:dyDescent="0.4">
      <c r="A362" s="194"/>
      <c r="B362" s="65"/>
      <c r="C362" s="65"/>
      <c r="D362" s="65"/>
      <c r="E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</row>
    <row r="363" spans="1:24" ht="15.75" customHeight="1" x14ac:dyDescent="0.4">
      <c r="A363" s="194"/>
      <c r="B363" s="65"/>
      <c r="C363" s="65"/>
      <c r="D363" s="65"/>
      <c r="E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</row>
    <row r="364" spans="1:24" ht="15.75" customHeight="1" x14ac:dyDescent="0.4">
      <c r="A364" s="194"/>
      <c r="B364" s="65"/>
      <c r="C364" s="65"/>
      <c r="D364" s="65"/>
      <c r="E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</row>
    <row r="365" spans="1:24" ht="15.75" customHeight="1" x14ac:dyDescent="0.4">
      <c r="A365" s="194"/>
      <c r="B365" s="65"/>
      <c r="C365" s="65"/>
      <c r="D365" s="65"/>
      <c r="E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</row>
    <row r="366" spans="1:24" ht="15.75" customHeight="1" x14ac:dyDescent="0.4">
      <c r="A366" s="194"/>
      <c r="B366" s="65"/>
      <c r="C366" s="65"/>
      <c r="D366" s="65"/>
      <c r="E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</row>
    <row r="367" spans="1:24" ht="15.75" customHeight="1" x14ac:dyDescent="0.4">
      <c r="A367" s="194"/>
      <c r="B367" s="65"/>
      <c r="C367" s="65"/>
      <c r="D367" s="65"/>
      <c r="E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</row>
    <row r="368" spans="1:24" ht="15.75" customHeight="1" x14ac:dyDescent="0.4">
      <c r="A368" s="194"/>
      <c r="B368" s="65"/>
      <c r="C368" s="65"/>
      <c r="D368" s="65"/>
      <c r="E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</row>
    <row r="369" spans="1:24" ht="15.75" customHeight="1" x14ac:dyDescent="0.4">
      <c r="A369" s="194"/>
      <c r="B369" s="65"/>
      <c r="C369" s="65"/>
      <c r="D369" s="65"/>
      <c r="E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</row>
    <row r="370" spans="1:24" ht="15.75" customHeight="1" x14ac:dyDescent="0.4">
      <c r="A370" s="194"/>
      <c r="B370" s="65"/>
      <c r="C370" s="65"/>
      <c r="D370" s="65"/>
      <c r="E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</row>
    <row r="371" spans="1:24" ht="15.75" customHeight="1" x14ac:dyDescent="0.4">
      <c r="A371" s="194"/>
      <c r="B371" s="65"/>
      <c r="C371" s="65"/>
      <c r="D371" s="65"/>
      <c r="E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</row>
    <row r="372" spans="1:24" ht="15.75" customHeight="1" x14ac:dyDescent="0.4">
      <c r="A372" s="194"/>
      <c r="B372" s="65"/>
      <c r="C372" s="65"/>
      <c r="D372" s="65"/>
      <c r="E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</row>
    <row r="373" spans="1:24" ht="15.75" customHeight="1" x14ac:dyDescent="0.4">
      <c r="A373" s="194"/>
      <c r="B373" s="65"/>
      <c r="C373" s="65"/>
      <c r="D373" s="65"/>
      <c r="E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</row>
    <row r="374" spans="1:24" ht="15.75" customHeight="1" x14ac:dyDescent="0.4">
      <c r="A374" s="194"/>
      <c r="B374" s="65"/>
      <c r="C374" s="65"/>
      <c r="D374" s="65"/>
      <c r="E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</row>
    <row r="375" spans="1:24" ht="15.75" customHeight="1" x14ac:dyDescent="0.4">
      <c r="A375" s="194"/>
      <c r="B375" s="65"/>
      <c r="C375" s="65"/>
      <c r="D375" s="65"/>
      <c r="E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</row>
    <row r="376" spans="1:24" ht="15.75" customHeight="1" x14ac:dyDescent="0.4">
      <c r="A376" s="194"/>
      <c r="B376" s="65"/>
      <c r="C376" s="65"/>
      <c r="D376" s="65"/>
      <c r="E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</row>
    <row r="377" spans="1:24" ht="15.75" customHeight="1" x14ac:dyDescent="0.4">
      <c r="A377" s="194"/>
      <c r="B377" s="65"/>
      <c r="C377" s="65"/>
      <c r="D377" s="65"/>
      <c r="E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</row>
    <row r="378" spans="1:24" ht="15.75" customHeight="1" x14ac:dyDescent="0.4">
      <c r="A378" s="194"/>
      <c r="B378" s="65"/>
      <c r="C378" s="65"/>
      <c r="D378" s="65"/>
      <c r="E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</row>
    <row r="379" spans="1:24" ht="15.75" customHeight="1" x14ac:dyDescent="0.4">
      <c r="A379" s="194"/>
      <c r="B379" s="65"/>
      <c r="C379" s="65"/>
      <c r="D379" s="65"/>
      <c r="E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</row>
    <row r="380" spans="1:24" ht="15.75" customHeight="1" x14ac:dyDescent="0.4">
      <c r="A380" s="194"/>
      <c r="B380" s="65"/>
      <c r="C380" s="65"/>
      <c r="D380" s="65"/>
      <c r="E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</row>
    <row r="381" spans="1:24" ht="15.75" customHeight="1" x14ac:dyDescent="0.4">
      <c r="A381" s="194"/>
      <c r="B381" s="65"/>
      <c r="C381" s="65"/>
      <c r="D381" s="65"/>
      <c r="E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</row>
    <row r="382" spans="1:24" ht="15.75" customHeight="1" x14ac:dyDescent="0.4">
      <c r="A382" s="194"/>
      <c r="B382" s="65"/>
      <c r="C382" s="65"/>
      <c r="D382" s="65"/>
      <c r="E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</row>
    <row r="383" spans="1:24" ht="15.75" customHeight="1" x14ac:dyDescent="0.4">
      <c r="A383" s="194"/>
      <c r="B383" s="65"/>
      <c r="C383" s="65"/>
      <c r="D383" s="65"/>
      <c r="E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</row>
    <row r="384" spans="1:24" ht="15.75" customHeight="1" x14ac:dyDescent="0.4">
      <c r="A384" s="194"/>
      <c r="B384" s="65"/>
      <c r="C384" s="65"/>
      <c r="D384" s="65"/>
      <c r="E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</row>
    <row r="385" spans="1:24" ht="15.75" customHeight="1" x14ac:dyDescent="0.4">
      <c r="A385" s="194"/>
      <c r="B385" s="65"/>
      <c r="C385" s="65"/>
      <c r="D385" s="65"/>
      <c r="E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</row>
    <row r="386" spans="1:24" ht="15.75" customHeight="1" x14ac:dyDescent="0.4">
      <c r="A386" s="194"/>
      <c r="B386" s="65"/>
      <c r="C386" s="65"/>
      <c r="D386" s="65"/>
      <c r="E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</row>
    <row r="387" spans="1:24" ht="15.75" customHeight="1" x14ac:dyDescent="0.4">
      <c r="A387" s="194"/>
      <c r="B387" s="65"/>
      <c r="C387" s="65"/>
      <c r="D387" s="65"/>
      <c r="E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</row>
    <row r="388" spans="1:24" ht="15.75" customHeight="1" x14ac:dyDescent="0.4">
      <c r="A388" s="194"/>
      <c r="B388" s="65"/>
      <c r="C388" s="65"/>
      <c r="D388" s="65"/>
      <c r="E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</row>
    <row r="389" spans="1:24" ht="15.75" customHeight="1" x14ac:dyDescent="0.4">
      <c r="A389" s="194"/>
      <c r="B389" s="65"/>
      <c r="C389" s="65"/>
      <c r="D389" s="65"/>
      <c r="E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</row>
    <row r="390" spans="1:24" ht="15.75" customHeight="1" x14ac:dyDescent="0.4">
      <c r="A390" s="194"/>
      <c r="B390" s="65"/>
      <c r="C390" s="65"/>
      <c r="D390" s="65"/>
      <c r="E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</row>
    <row r="391" spans="1:24" ht="15.75" customHeight="1" x14ac:dyDescent="0.4">
      <c r="A391" s="194"/>
      <c r="B391" s="65"/>
      <c r="C391" s="65"/>
      <c r="D391" s="65"/>
      <c r="E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</row>
    <row r="392" spans="1:24" ht="15.75" customHeight="1" x14ac:dyDescent="0.4">
      <c r="A392" s="194"/>
      <c r="B392" s="65"/>
      <c r="C392" s="65"/>
      <c r="D392" s="65"/>
      <c r="E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</row>
    <row r="393" spans="1:24" ht="15.75" customHeight="1" x14ac:dyDescent="0.4">
      <c r="A393" s="194"/>
      <c r="B393" s="65"/>
      <c r="C393" s="65"/>
      <c r="D393" s="65"/>
      <c r="E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</row>
    <row r="394" spans="1:24" ht="15.75" customHeight="1" x14ac:dyDescent="0.4">
      <c r="A394" s="194"/>
      <c r="B394" s="65"/>
      <c r="C394" s="65"/>
      <c r="D394" s="65"/>
      <c r="E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</row>
    <row r="395" spans="1:24" ht="15.75" customHeight="1" x14ac:dyDescent="0.4">
      <c r="A395" s="194"/>
      <c r="B395" s="65"/>
      <c r="C395" s="65"/>
      <c r="D395" s="65"/>
      <c r="E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</row>
    <row r="396" spans="1:24" ht="15.75" customHeight="1" x14ac:dyDescent="0.4">
      <c r="A396" s="194"/>
      <c r="B396" s="65"/>
      <c r="C396" s="65"/>
      <c r="D396" s="65"/>
      <c r="E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</row>
    <row r="397" spans="1:24" ht="15.75" customHeight="1" x14ac:dyDescent="0.4">
      <c r="A397" s="194"/>
      <c r="B397" s="65"/>
      <c r="C397" s="65"/>
      <c r="D397" s="65"/>
      <c r="E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</row>
    <row r="398" spans="1:24" ht="15.75" customHeight="1" x14ac:dyDescent="0.4">
      <c r="A398" s="194"/>
      <c r="B398" s="65"/>
      <c r="C398" s="65"/>
      <c r="D398" s="65"/>
      <c r="E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</row>
    <row r="399" spans="1:24" ht="15.75" customHeight="1" x14ac:dyDescent="0.4">
      <c r="A399" s="194"/>
      <c r="B399" s="65"/>
      <c r="C399" s="65"/>
      <c r="D399" s="65"/>
      <c r="E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</row>
    <row r="400" spans="1:24" ht="15.75" customHeight="1" x14ac:dyDescent="0.4">
      <c r="A400" s="194"/>
      <c r="B400" s="65"/>
      <c r="C400" s="65"/>
      <c r="D400" s="65"/>
      <c r="E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</row>
    <row r="401" spans="1:24" ht="15.75" customHeight="1" x14ac:dyDescent="0.4">
      <c r="A401" s="194"/>
      <c r="B401" s="65"/>
      <c r="C401" s="65"/>
      <c r="D401" s="65"/>
      <c r="E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</row>
    <row r="402" spans="1:24" ht="15.75" customHeight="1" x14ac:dyDescent="0.4">
      <c r="A402" s="194"/>
      <c r="B402" s="65"/>
      <c r="C402" s="65"/>
      <c r="D402" s="65"/>
      <c r="E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</row>
    <row r="403" spans="1:24" ht="15.75" customHeight="1" x14ac:dyDescent="0.4">
      <c r="A403" s="194"/>
      <c r="B403" s="65"/>
      <c r="C403" s="65"/>
      <c r="D403" s="65"/>
      <c r="E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</row>
    <row r="404" spans="1:24" ht="15.75" customHeight="1" x14ac:dyDescent="0.4">
      <c r="A404" s="194"/>
      <c r="B404" s="65"/>
      <c r="C404" s="65"/>
      <c r="D404" s="65"/>
      <c r="E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</row>
    <row r="405" spans="1:24" ht="15.75" customHeight="1" x14ac:dyDescent="0.4">
      <c r="A405" s="194"/>
      <c r="B405" s="65"/>
      <c r="C405" s="65"/>
      <c r="D405" s="65"/>
      <c r="E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</row>
    <row r="406" spans="1:24" ht="15.75" customHeight="1" x14ac:dyDescent="0.4">
      <c r="A406" s="194"/>
      <c r="B406" s="65"/>
      <c r="C406" s="65"/>
      <c r="D406" s="65"/>
      <c r="E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</row>
    <row r="407" spans="1:24" ht="15.75" customHeight="1" x14ac:dyDescent="0.4">
      <c r="A407" s="194"/>
      <c r="B407" s="65"/>
      <c r="C407" s="65"/>
      <c r="D407" s="65"/>
      <c r="E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</row>
    <row r="408" spans="1:24" ht="15.75" customHeight="1" x14ac:dyDescent="0.4">
      <c r="A408" s="194"/>
      <c r="B408" s="65"/>
      <c r="C408" s="65"/>
      <c r="D408" s="65"/>
      <c r="E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</row>
    <row r="409" spans="1:24" ht="15.75" customHeight="1" x14ac:dyDescent="0.4">
      <c r="A409" s="194"/>
      <c r="B409" s="65"/>
      <c r="C409" s="65"/>
      <c r="D409" s="65"/>
      <c r="E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</row>
    <row r="410" spans="1:24" ht="15.75" customHeight="1" x14ac:dyDescent="0.4">
      <c r="A410" s="194"/>
      <c r="B410" s="65"/>
      <c r="C410" s="65"/>
      <c r="D410" s="65"/>
      <c r="E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</row>
    <row r="411" spans="1:24" ht="15.75" customHeight="1" x14ac:dyDescent="0.4">
      <c r="A411" s="194"/>
      <c r="B411" s="65"/>
      <c r="C411" s="65"/>
      <c r="D411" s="65"/>
      <c r="E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</row>
    <row r="412" spans="1:24" ht="15.75" customHeight="1" x14ac:dyDescent="0.4">
      <c r="A412" s="194"/>
      <c r="B412" s="65"/>
      <c r="C412" s="65"/>
      <c r="D412" s="65"/>
      <c r="E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</row>
    <row r="413" spans="1:24" ht="15.75" customHeight="1" x14ac:dyDescent="0.4">
      <c r="A413" s="194"/>
      <c r="B413" s="65"/>
      <c r="C413" s="65"/>
      <c r="D413" s="65"/>
      <c r="E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</row>
    <row r="414" spans="1:24" ht="15.75" customHeight="1" x14ac:dyDescent="0.4">
      <c r="A414" s="194"/>
      <c r="B414" s="65"/>
      <c r="C414" s="65"/>
      <c r="D414" s="65"/>
      <c r="E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</row>
    <row r="415" spans="1:24" ht="15.75" customHeight="1" x14ac:dyDescent="0.4">
      <c r="A415" s="194"/>
      <c r="B415" s="65"/>
      <c r="C415" s="65"/>
      <c r="D415" s="65"/>
      <c r="E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</row>
    <row r="416" spans="1:24" ht="15.75" customHeight="1" x14ac:dyDescent="0.4">
      <c r="A416" s="194"/>
      <c r="B416" s="65"/>
      <c r="C416" s="65"/>
      <c r="D416" s="65"/>
      <c r="E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</row>
    <row r="417" spans="1:24" ht="15.75" customHeight="1" x14ac:dyDescent="0.4">
      <c r="A417" s="194"/>
      <c r="B417" s="65"/>
      <c r="C417" s="65"/>
      <c r="D417" s="65"/>
      <c r="E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</row>
    <row r="418" spans="1:24" ht="15.75" customHeight="1" x14ac:dyDescent="0.4">
      <c r="A418" s="194"/>
      <c r="B418" s="65"/>
      <c r="C418" s="65"/>
      <c r="D418" s="65"/>
      <c r="E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</row>
    <row r="419" spans="1:24" ht="15.75" customHeight="1" x14ac:dyDescent="0.4">
      <c r="A419" s="194"/>
      <c r="B419" s="65"/>
      <c r="C419" s="65"/>
      <c r="D419" s="65"/>
      <c r="E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</row>
    <row r="420" spans="1:24" ht="15.75" customHeight="1" x14ac:dyDescent="0.4">
      <c r="A420" s="194"/>
      <c r="B420" s="65"/>
      <c r="C420" s="65"/>
      <c r="D420" s="65"/>
      <c r="E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</row>
    <row r="421" spans="1:24" ht="15.75" customHeight="1" x14ac:dyDescent="0.4">
      <c r="A421" s="194"/>
      <c r="B421" s="65"/>
      <c r="C421" s="65"/>
      <c r="D421" s="65"/>
      <c r="E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</row>
    <row r="422" spans="1:24" ht="15.75" customHeight="1" x14ac:dyDescent="0.4">
      <c r="A422" s="194"/>
      <c r="B422" s="65"/>
      <c r="C422" s="65"/>
      <c r="D422" s="65"/>
      <c r="E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</row>
    <row r="423" spans="1:24" ht="15.75" customHeight="1" x14ac:dyDescent="0.4">
      <c r="A423" s="194"/>
      <c r="B423" s="65"/>
      <c r="C423" s="65"/>
      <c r="D423" s="65"/>
      <c r="E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</row>
    <row r="424" spans="1:24" ht="15.75" customHeight="1" x14ac:dyDescent="0.4">
      <c r="A424" s="194"/>
      <c r="B424" s="65"/>
      <c r="C424" s="65"/>
      <c r="D424" s="65"/>
      <c r="E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</row>
    <row r="425" spans="1:24" ht="15.75" customHeight="1" x14ac:dyDescent="0.4">
      <c r="A425" s="194"/>
      <c r="B425" s="65"/>
      <c r="C425" s="65"/>
      <c r="D425" s="65"/>
      <c r="E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</row>
    <row r="426" spans="1:24" ht="15.75" customHeight="1" x14ac:dyDescent="0.4">
      <c r="A426" s="194"/>
      <c r="B426" s="65"/>
      <c r="C426" s="65"/>
      <c r="D426" s="65"/>
      <c r="E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</row>
    <row r="427" spans="1:24" ht="15.75" customHeight="1" x14ac:dyDescent="0.4">
      <c r="A427" s="194"/>
      <c r="B427" s="65"/>
      <c r="C427" s="65"/>
      <c r="D427" s="65"/>
      <c r="E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</row>
    <row r="428" spans="1:24" ht="15.75" customHeight="1" x14ac:dyDescent="0.4">
      <c r="A428" s="194"/>
      <c r="B428" s="65"/>
      <c r="C428" s="65"/>
      <c r="D428" s="65"/>
      <c r="E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</row>
    <row r="429" spans="1:24" ht="15.75" customHeight="1" x14ac:dyDescent="0.4">
      <c r="A429" s="194"/>
      <c r="B429" s="65"/>
      <c r="C429" s="65"/>
      <c r="D429" s="65"/>
      <c r="E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</row>
    <row r="430" spans="1:24" ht="15.75" customHeight="1" x14ac:dyDescent="0.4">
      <c r="A430" s="194"/>
      <c r="B430" s="65"/>
      <c r="C430" s="65"/>
      <c r="D430" s="65"/>
      <c r="E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</row>
    <row r="431" spans="1:24" ht="15.75" customHeight="1" x14ac:dyDescent="0.4">
      <c r="A431" s="194"/>
      <c r="B431" s="65"/>
      <c r="C431" s="65"/>
      <c r="D431" s="65"/>
      <c r="E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</row>
    <row r="432" spans="1:24" ht="15.75" customHeight="1" x14ac:dyDescent="0.4">
      <c r="A432" s="194"/>
      <c r="B432" s="65"/>
      <c r="C432" s="65"/>
      <c r="D432" s="65"/>
      <c r="E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</row>
    <row r="433" spans="1:24" ht="15.75" customHeight="1" x14ac:dyDescent="0.4">
      <c r="A433" s="194"/>
      <c r="B433" s="65"/>
      <c r="C433" s="65"/>
      <c r="D433" s="65"/>
      <c r="E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</row>
    <row r="434" spans="1:24" ht="15.75" customHeight="1" x14ac:dyDescent="0.4">
      <c r="A434" s="194"/>
      <c r="B434" s="65"/>
      <c r="C434" s="65"/>
      <c r="D434" s="65"/>
      <c r="E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</row>
    <row r="435" spans="1:24" ht="15.75" customHeight="1" x14ac:dyDescent="0.4">
      <c r="A435" s="194"/>
      <c r="B435" s="65"/>
      <c r="C435" s="65"/>
      <c r="D435" s="65"/>
      <c r="E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</row>
    <row r="436" spans="1:24" ht="15.75" customHeight="1" x14ac:dyDescent="0.4">
      <c r="A436" s="194"/>
      <c r="B436" s="65"/>
      <c r="C436" s="65"/>
      <c r="D436" s="65"/>
      <c r="E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</row>
    <row r="437" spans="1:24" ht="15.75" customHeight="1" x14ac:dyDescent="0.4">
      <c r="A437" s="194"/>
      <c r="B437" s="65"/>
      <c r="C437" s="65"/>
      <c r="D437" s="65"/>
      <c r="E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</row>
    <row r="438" spans="1:24" ht="15.75" customHeight="1" x14ac:dyDescent="0.4">
      <c r="A438" s="194"/>
      <c r="B438" s="65"/>
      <c r="C438" s="65"/>
      <c r="D438" s="65"/>
      <c r="E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</row>
    <row r="439" spans="1:24" ht="15.75" customHeight="1" x14ac:dyDescent="0.4">
      <c r="A439" s="194"/>
      <c r="B439" s="65"/>
      <c r="C439" s="65"/>
      <c r="D439" s="65"/>
      <c r="E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</row>
    <row r="440" spans="1:24" ht="15.75" customHeight="1" x14ac:dyDescent="0.4">
      <c r="A440" s="194"/>
      <c r="B440" s="65"/>
      <c r="C440" s="65"/>
      <c r="D440" s="65"/>
      <c r="E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</row>
    <row r="441" spans="1:24" ht="15.75" customHeight="1" x14ac:dyDescent="0.4">
      <c r="A441" s="194"/>
      <c r="B441" s="65"/>
      <c r="C441" s="65"/>
      <c r="D441" s="65"/>
      <c r="E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</row>
    <row r="442" spans="1:24" ht="15.75" customHeight="1" x14ac:dyDescent="0.4">
      <c r="A442" s="194"/>
      <c r="B442" s="65"/>
      <c r="C442" s="65"/>
      <c r="D442" s="65"/>
      <c r="E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</row>
    <row r="443" spans="1:24" ht="15.75" customHeight="1" x14ac:dyDescent="0.4">
      <c r="A443" s="194"/>
      <c r="B443" s="65"/>
      <c r="C443" s="65"/>
      <c r="D443" s="65"/>
      <c r="E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</row>
    <row r="444" spans="1:24" ht="15.75" customHeight="1" x14ac:dyDescent="0.4">
      <c r="A444" s="194"/>
      <c r="B444" s="65"/>
      <c r="C444" s="65"/>
      <c r="D444" s="65"/>
      <c r="E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</row>
    <row r="445" spans="1:24" ht="15.75" customHeight="1" x14ac:dyDescent="0.4">
      <c r="A445" s="194"/>
      <c r="B445" s="65"/>
      <c r="C445" s="65"/>
      <c r="D445" s="65"/>
      <c r="E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</row>
    <row r="446" spans="1:24" ht="15.75" customHeight="1" x14ac:dyDescent="0.4">
      <c r="A446" s="194"/>
      <c r="B446" s="65"/>
      <c r="C446" s="65"/>
      <c r="D446" s="65"/>
      <c r="E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</row>
    <row r="447" spans="1:24" ht="15.75" customHeight="1" x14ac:dyDescent="0.4">
      <c r="A447" s="194"/>
      <c r="B447" s="65"/>
      <c r="C447" s="65"/>
      <c r="D447" s="65"/>
      <c r="E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</row>
    <row r="448" spans="1:24" ht="15.75" customHeight="1" x14ac:dyDescent="0.4">
      <c r="A448" s="194"/>
      <c r="B448" s="65"/>
      <c r="C448" s="65"/>
      <c r="D448" s="65"/>
      <c r="E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</row>
    <row r="449" spans="1:24" ht="15.75" customHeight="1" x14ac:dyDescent="0.4">
      <c r="A449" s="194"/>
      <c r="B449" s="65"/>
      <c r="C449" s="65"/>
      <c r="D449" s="65"/>
      <c r="E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</row>
    <row r="450" spans="1:24" ht="15.75" customHeight="1" x14ac:dyDescent="0.4">
      <c r="A450" s="194"/>
      <c r="B450" s="65"/>
      <c r="C450" s="65"/>
      <c r="D450" s="65"/>
      <c r="E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</row>
    <row r="451" spans="1:24" ht="15.75" customHeight="1" x14ac:dyDescent="0.4">
      <c r="A451" s="194"/>
      <c r="B451" s="65"/>
      <c r="C451" s="65"/>
      <c r="D451" s="65"/>
      <c r="E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</row>
    <row r="452" spans="1:24" ht="15.75" customHeight="1" x14ac:dyDescent="0.4">
      <c r="A452" s="194"/>
      <c r="B452" s="65"/>
      <c r="C452" s="65"/>
      <c r="D452" s="65"/>
      <c r="E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</row>
    <row r="453" spans="1:24" ht="15.75" customHeight="1" x14ac:dyDescent="0.4">
      <c r="A453" s="194"/>
      <c r="B453" s="65"/>
      <c r="C453" s="65"/>
      <c r="D453" s="65"/>
      <c r="E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</row>
    <row r="454" spans="1:24" ht="15.75" customHeight="1" x14ac:dyDescent="0.4">
      <c r="A454" s="194"/>
      <c r="B454" s="65"/>
      <c r="C454" s="65"/>
      <c r="D454" s="65"/>
      <c r="E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</row>
    <row r="455" spans="1:24" ht="15.75" customHeight="1" x14ac:dyDescent="0.4">
      <c r="A455" s="194"/>
      <c r="B455" s="65"/>
      <c r="C455" s="65"/>
      <c r="D455" s="65"/>
      <c r="E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</row>
    <row r="456" spans="1:24" ht="15.75" customHeight="1" x14ac:dyDescent="0.4">
      <c r="A456" s="194"/>
      <c r="B456" s="65"/>
      <c r="C456" s="65"/>
      <c r="D456" s="65"/>
      <c r="E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</row>
    <row r="457" spans="1:24" ht="15.75" customHeight="1" x14ac:dyDescent="0.4">
      <c r="A457" s="194"/>
      <c r="B457" s="65"/>
      <c r="C457" s="65"/>
      <c r="D457" s="65"/>
      <c r="E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</row>
    <row r="458" spans="1:24" ht="15.75" customHeight="1" x14ac:dyDescent="0.4">
      <c r="A458" s="194"/>
      <c r="B458" s="65"/>
      <c r="C458" s="65"/>
      <c r="D458" s="65"/>
      <c r="E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</row>
    <row r="459" spans="1:24" ht="15.75" customHeight="1" x14ac:dyDescent="0.4">
      <c r="A459" s="194"/>
      <c r="B459" s="65"/>
      <c r="C459" s="65"/>
      <c r="D459" s="65"/>
      <c r="E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</row>
    <row r="460" spans="1:24" ht="15.75" customHeight="1" x14ac:dyDescent="0.4">
      <c r="A460" s="194"/>
      <c r="B460" s="65"/>
      <c r="C460" s="65"/>
      <c r="D460" s="65"/>
      <c r="E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</row>
    <row r="461" spans="1:24" ht="15.75" customHeight="1" x14ac:dyDescent="0.4">
      <c r="A461" s="194"/>
      <c r="B461" s="65"/>
      <c r="C461" s="65"/>
      <c r="D461" s="65"/>
      <c r="E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</row>
    <row r="462" spans="1:24" ht="15.75" customHeight="1" x14ac:dyDescent="0.4">
      <c r="A462" s="194"/>
      <c r="B462" s="65"/>
      <c r="C462" s="65"/>
      <c r="D462" s="65"/>
      <c r="E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</row>
    <row r="463" spans="1:24" ht="15.75" customHeight="1" x14ac:dyDescent="0.4">
      <c r="A463" s="194"/>
      <c r="B463" s="65"/>
      <c r="C463" s="65"/>
      <c r="D463" s="65"/>
      <c r="E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</row>
    <row r="464" spans="1:24" ht="15.75" customHeight="1" x14ac:dyDescent="0.4">
      <c r="A464" s="194"/>
      <c r="B464" s="65"/>
      <c r="C464" s="65"/>
      <c r="D464" s="65"/>
      <c r="E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</row>
    <row r="465" spans="1:24" ht="15.75" customHeight="1" x14ac:dyDescent="0.4">
      <c r="A465" s="194"/>
      <c r="B465" s="65"/>
      <c r="C465" s="65"/>
      <c r="D465" s="65"/>
      <c r="E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</row>
    <row r="466" spans="1:24" ht="15.75" customHeight="1" x14ac:dyDescent="0.4">
      <c r="A466" s="194"/>
      <c r="B466" s="65"/>
      <c r="C466" s="65"/>
      <c r="D466" s="65"/>
      <c r="E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</row>
    <row r="467" spans="1:24" ht="15.75" customHeight="1" x14ac:dyDescent="0.4">
      <c r="A467" s="194"/>
      <c r="B467" s="65"/>
      <c r="C467" s="65"/>
      <c r="D467" s="65"/>
      <c r="E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</row>
    <row r="468" spans="1:24" ht="15.75" customHeight="1" x14ac:dyDescent="0.4">
      <c r="A468" s="194"/>
      <c r="B468" s="65"/>
      <c r="C468" s="65"/>
      <c r="D468" s="65"/>
      <c r="E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</row>
    <row r="469" spans="1:24" ht="15.75" customHeight="1" x14ac:dyDescent="0.4">
      <c r="A469" s="194"/>
      <c r="B469" s="65"/>
      <c r="C469" s="65"/>
      <c r="D469" s="65"/>
      <c r="E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</row>
    <row r="470" spans="1:24" ht="15.75" customHeight="1" x14ac:dyDescent="0.4">
      <c r="A470" s="194"/>
      <c r="B470" s="65"/>
      <c r="C470" s="65"/>
      <c r="D470" s="65"/>
      <c r="E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</row>
    <row r="471" spans="1:24" ht="15.75" customHeight="1" x14ac:dyDescent="0.4">
      <c r="A471" s="194"/>
      <c r="B471" s="65"/>
      <c r="C471" s="65"/>
      <c r="D471" s="65"/>
      <c r="E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</row>
    <row r="472" spans="1:24" ht="15.75" customHeight="1" x14ac:dyDescent="0.4">
      <c r="A472" s="194"/>
      <c r="B472" s="65"/>
      <c r="C472" s="65"/>
      <c r="D472" s="65"/>
      <c r="E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</row>
    <row r="473" spans="1:24" ht="15.75" customHeight="1" x14ac:dyDescent="0.4">
      <c r="A473" s="194"/>
      <c r="B473" s="65"/>
      <c r="C473" s="65"/>
      <c r="D473" s="65"/>
      <c r="E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</row>
    <row r="474" spans="1:24" ht="15.75" customHeight="1" x14ac:dyDescent="0.4">
      <c r="A474" s="194"/>
      <c r="B474" s="65"/>
      <c r="C474" s="65"/>
      <c r="D474" s="65"/>
      <c r="E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</row>
    <row r="475" spans="1:24" ht="15.75" customHeight="1" x14ac:dyDescent="0.4">
      <c r="A475" s="194"/>
      <c r="B475" s="65"/>
      <c r="C475" s="65"/>
      <c r="D475" s="65"/>
      <c r="E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</row>
    <row r="476" spans="1:24" ht="15.75" customHeight="1" x14ac:dyDescent="0.4">
      <c r="A476" s="194"/>
      <c r="B476" s="65"/>
      <c r="C476" s="65"/>
      <c r="D476" s="65"/>
      <c r="E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</row>
    <row r="477" spans="1:24" ht="15.75" customHeight="1" x14ac:dyDescent="0.4">
      <c r="A477" s="194"/>
      <c r="B477" s="65"/>
      <c r="C477" s="65"/>
      <c r="D477" s="65"/>
      <c r="E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</row>
    <row r="478" spans="1:24" ht="15.75" customHeight="1" x14ac:dyDescent="0.4">
      <c r="A478" s="194"/>
      <c r="B478" s="65"/>
      <c r="C478" s="65"/>
      <c r="D478" s="65"/>
      <c r="E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</row>
    <row r="479" spans="1:24" ht="15.75" customHeight="1" x14ac:dyDescent="0.4">
      <c r="A479" s="194"/>
      <c r="B479" s="65"/>
      <c r="C479" s="65"/>
      <c r="D479" s="65"/>
      <c r="E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</row>
    <row r="480" spans="1:24" ht="15.75" customHeight="1" x14ac:dyDescent="0.4">
      <c r="A480" s="194"/>
      <c r="B480" s="65"/>
      <c r="C480" s="65"/>
      <c r="D480" s="65"/>
      <c r="E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</row>
    <row r="481" spans="1:24" ht="15.75" customHeight="1" x14ac:dyDescent="0.4">
      <c r="A481" s="194"/>
      <c r="B481" s="65"/>
      <c r="C481" s="65"/>
      <c r="D481" s="65"/>
      <c r="E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</row>
    <row r="482" spans="1:24" ht="15.75" customHeight="1" x14ac:dyDescent="0.4">
      <c r="A482" s="194"/>
      <c r="B482" s="65"/>
      <c r="C482" s="65"/>
      <c r="D482" s="65"/>
      <c r="E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</row>
    <row r="483" spans="1:24" ht="15.75" customHeight="1" x14ac:dyDescent="0.4">
      <c r="A483" s="194"/>
      <c r="B483" s="65"/>
      <c r="C483" s="65"/>
      <c r="D483" s="65"/>
      <c r="E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</row>
    <row r="484" spans="1:24" ht="15.75" customHeight="1" x14ac:dyDescent="0.4">
      <c r="A484" s="194"/>
      <c r="B484" s="65"/>
      <c r="C484" s="65"/>
      <c r="D484" s="65"/>
      <c r="E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</row>
    <row r="485" spans="1:24" ht="15.75" customHeight="1" x14ac:dyDescent="0.4">
      <c r="A485" s="194"/>
      <c r="B485" s="65"/>
      <c r="C485" s="65"/>
      <c r="D485" s="65"/>
      <c r="E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</row>
    <row r="486" spans="1:24" ht="15.75" customHeight="1" x14ac:dyDescent="0.4">
      <c r="A486" s="194"/>
      <c r="B486" s="65"/>
      <c r="C486" s="65"/>
      <c r="D486" s="65"/>
      <c r="E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</row>
    <row r="487" spans="1:24" ht="15.75" customHeight="1" x14ac:dyDescent="0.4">
      <c r="A487" s="194"/>
      <c r="B487" s="65"/>
      <c r="C487" s="65"/>
      <c r="D487" s="65"/>
      <c r="E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</row>
    <row r="488" spans="1:24" ht="15.75" customHeight="1" x14ac:dyDescent="0.4">
      <c r="A488" s="194"/>
      <c r="B488" s="65"/>
      <c r="C488" s="65"/>
      <c r="D488" s="65"/>
      <c r="E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</row>
    <row r="489" spans="1:24" ht="15.75" customHeight="1" x14ac:dyDescent="0.4">
      <c r="A489" s="194"/>
      <c r="B489" s="65"/>
      <c r="C489" s="65"/>
      <c r="D489" s="65"/>
      <c r="E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</row>
    <row r="490" spans="1:24" ht="15.75" customHeight="1" x14ac:dyDescent="0.4">
      <c r="A490" s="194"/>
      <c r="B490" s="65"/>
      <c r="C490" s="65"/>
      <c r="D490" s="65"/>
      <c r="E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</row>
    <row r="491" spans="1:24" ht="15.75" customHeight="1" x14ac:dyDescent="0.4">
      <c r="A491" s="194"/>
      <c r="B491" s="65"/>
      <c r="C491" s="65"/>
      <c r="D491" s="65"/>
      <c r="E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</row>
    <row r="492" spans="1:24" ht="15.75" customHeight="1" x14ac:dyDescent="0.4">
      <c r="A492" s="194"/>
      <c r="B492" s="65"/>
      <c r="C492" s="65"/>
      <c r="D492" s="65"/>
      <c r="E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</row>
    <row r="493" spans="1:24" ht="15.75" customHeight="1" x14ac:dyDescent="0.4">
      <c r="A493" s="194"/>
      <c r="B493" s="65"/>
      <c r="C493" s="65"/>
      <c r="D493" s="65"/>
      <c r="E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</row>
    <row r="494" spans="1:24" ht="15.75" customHeight="1" x14ac:dyDescent="0.4">
      <c r="A494" s="194"/>
      <c r="B494" s="65"/>
      <c r="C494" s="65"/>
      <c r="D494" s="65"/>
      <c r="E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</row>
    <row r="495" spans="1:24" ht="15.75" customHeight="1" x14ac:dyDescent="0.4">
      <c r="A495" s="194"/>
      <c r="B495" s="65"/>
      <c r="C495" s="65"/>
      <c r="D495" s="65"/>
      <c r="E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</row>
    <row r="496" spans="1:24" ht="15.75" customHeight="1" x14ac:dyDescent="0.4">
      <c r="A496" s="194"/>
      <c r="B496" s="65"/>
      <c r="C496" s="65"/>
      <c r="D496" s="65"/>
      <c r="E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</row>
    <row r="497" spans="1:24" ht="15.75" customHeight="1" x14ac:dyDescent="0.4">
      <c r="A497" s="194"/>
      <c r="B497" s="65"/>
      <c r="C497" s="65"/>
      <c r="D497" s="65"/>
      <c r="E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</row>
    <row r="498" spans="1:24" ht="15.75" customHeight="1" x14ac:dyDescent="0.4">
      <c r="A498" s="194"/>
      <c r="B498" s="65"/>
      <c r="C498" s="65"/>
      <c r="D498" s="65"/>
      <c r="E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</row>
    <row r="499" spans="1:24" ht="15.75" customHeight="1" x14ac:dyDescent="0.4">
      <c r="A499" s="194"/>
      <c r="B499" s="65"/>
      <c r="C499" s="65"/>
      <c r="D499" s="65"/>
      <c r="E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</row>
    <row r="500" spans="1:24" ht="15.75" customHeight="1" x14ac:dyDescent="0.4">
      <c r="A500" s="194"/>
      <c r="B500" s="65"/>
      <c r="C500" s="65"/>
      <c r="D500" s="65"/>
      <c r="E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</row>
    <row r="501" spans="1:24" ht="15.75" customHeight="1" x14ac:dyDescent="0.4">
      <c r="A501" s="194"/>
      <c r="B501" s="65"/>
      <c r="C501" s="65"/>
      <c r="D501" s="65"/>
      <c r="E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  <c r="X501" s="65"/>
    </row>
    <row r="502" spans="1:24" ht="15.75" customHeight="1" x14ac:dyDescent="0.4">
      <c r="A502" s="194"/>
      <c r="B502" s="65"/>
      <c r="C502" s="65"/>
      <c r="D502" s="65"/>
      <c r="E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  <c r="X502" s="65"/>
    </row>
    <row r="503" spans="1:24" ht="15.75" customHeight="1" x14ac:dyDescent="0.4">
      <c r="A503" s="194"/>
      <c r="B503" s="65"/>
      <c r="C503" s="65"/>
      <c r="D503" s="65"/>
      <c r="E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  <c r="X503" s="65"/>
    </row>
    <row r="504" spans="1:24" ht="15.75" customHeight="1" x14ac:dyDescent="0.4">
      <c r="A504" s="194"/>
      <c r="B504" s="65"/>
      <c r="C504" s="65"/>
      <c r="D504" s="65"/>
      <c r="E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  <c r="X504" s="65"/>
    </row>
    <row r="505" spans="1:24" ht="15.75" customHeight="1" x14ac:dyDescent="0.4">
      <c r="A505" s="194"/>
      <c r="B505" s="65"/>
      <c r="C505" s="65"/>
      <c r="D505" s="65"/>
      <c r="E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  <c r="X505" s="65"/>
    </row>
    <row r="506" spans="1:24" ht="15.75" customHeight="1" x14ac:dyDescent="0.4">
      <c r="A506" s="194"/>
      <c r="B506" s="65"/>
      <c r="C506" s="65"/>
      <c r="D506" s="65"/>
      <c r="E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  <c r="X506" s="65"/>
    </row>
    <row r="507" spans="1:24" ht="15.75" customHeight="1" x14ac:dyDescent="0.4">
      <c r="A507" s="194"/>
      <c r="B507" s="65"/>
      <c r="C507" s="65"/>
      <c r="D507" s="65"/>
      <c r="E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  <c r="X507" s="65"/>
    </row>
    <row r="508" spans="1:24" ht="15.75" customHeight="1" x14ac:dyDescent="0.4">
      <c r="A508" s="194"/>
      <c r="B508" s="65"/>
      <c r="C508" s="65"/>
      <c r="D508" s="65"/>
      <c r="E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  <c r="X508" s="65"/>
    </row>
    <row r="509" spans="1:24" ht="15.75" customHeight="1" x14ac:dyDescent="0.4">
      <c r="A509" s="194"/>
      <c r="B509" s="65"/>
      <c r="C509" s="65"/>
      <c r="D509" s="65"/>
      <c r="E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  <c r="X509" s="65"/>
    </row>
    <row r="510" spans="1:24" ht="15.75" customHeight="1" x14ac:dyDescent="0.4">
      <c r="A510" s="194"/>
      <c r="B510" s="65"/>
      <c r="C510" s="65"/>
      <c r="D510" s="65"/>
      <c r="E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  <c r="X510" s="65"/>
    </row>
    <row r="511" spans="1:24" ht="15.75" customHeight="1" x14ac:dyDescent="0.4">
      <c r="A511" s="194"/>
      <c r="B511" s="65"/>
      <c r="C511" s="65"/>
      <c r="D511" s="65"/>
      <c r="E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  <c r="X511" s="65"/>
    </row>
    <row r="512" spans="1:24" ht="15.75" customHeight="1" x14ac:dyDescent="0.4">
      <c r="A512" s="194"/>
      <c r="B512" s="65"/>
      <c r="C512" s="65"/>
      <c r="D512" s="65"/>
      <c r="E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  <c r="X512" s="65"/>
    </row>
    <row r="513" spans="1:24" ht="15.75" customHeight="1" x14ac:dyDescent="0.4">
      <c r="A513" s="194"/>
      <c r="B513" s="65"/>
      <c r="C513" s="65"/>
      <c r="D513" s="65"/>
      <c r="E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  <c r="X513" s="65"/>
    </row>
    <row r="514" spans="1:24" ht="15.75" customHeight="1" x14ac:dyDescent="0.4">
      <c r="A514" s="194"/>
      <c r="B514" s="65"/>
      <c r="C514" s="65"/>
      <c r="D514" s="65"/>
      <c r="E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  <c r="X514" s="65"/>
    </row>
    <row r="515" spans="1:24" ht="15.75" customHeight="1" x14ac:dyDescent="0.4">
      <c r="A515" s="194"/>
      <c r="B515" s="65"/>
      <c r="C515" s="65"/>
      <c r="D515" s="65"/>
      <c r="E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  <c r="X515" s="65"/>
    </row>
    <row r="516" spans="1:24" ht="15.75" customHeight="1" x14ac:dyDescent="0.4">
      <c r="A516" s="194"/>
      <c r="B516" s="65"/>
      <c r="C516" s="65"/>
      <c r="D516" s="65"/>
      <c r="E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  <c r="X516" s="65"/>
    </row>
    <row r="517" spans="1:24" ht="15.75" customHeight="1" x14ac:dyDescent="0.4">
      <c r="A517" s="194"/>
      <c r="B517" s="65"/>
      <c r="C517" s="65"/>
      <c r="D517" s="65"/>
      <c r="E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  <c r="X517" s="65"/>
    </row>
    <row r="518" spans="1:24" ht="15.75" customHeight="1" x14ac:dyDescent="0.4">
      <c r="A518" s="194"/>
      <c r="B518" s="65"/>
      <c r="C518" s="65"/>
      <c r="D518" s="65"/>
      <c r="E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  <c r="X518" s="65"/>
    </row>
    <row r="519" spans="1:24" ht="15.75" customHeight="1" x14ac:dyDescent="0.4">
      <c r="A519" s="194"/>
      <c r="B519" s="65"/>
      <c r="C519" s="65"/>
      <c r="D519" s="65"/>
      <c r="E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  <c r="X519" s="65"/>
    </row>
    <row r="520" spans="1:24" ht="15.75" customHeight="1" x14ac:dyDescent="0.4">
      <c r="A520" s="194"/>
      <c r="B520" s="65"/>
      <c r="C520" s="65"/>
      <c r="D520" s="65"/>
      <c r="E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  <c r="X520" s="65"/>
    </row>
    <row r="521" spans="1:24" ht="15.75" customHeight="1" x14ac:dyDescent="0.4">
      <c r="A521" s="194"/>
      <c r="B521" s="65"/>
      <c r="C521" s="65"/>
      <c r="D521" s="65"/>
      <c r="E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  <c r="X521" s="65"/>
    </row>
    <row r="522" spans="1:24" ht="15.75" customHeight="1" x14ac:dyDescent="0.4">
      <c r="A522" s="194"/>
      <c r="B522" s="65"/>
      <c r="C522" s="65"/>
      <c r="D522" s="65"/>
      <c r="E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  <c r="X522" s="65"/>
    </row>
    <row r="523" spans="1:24" ht="15.75" customHeight="1" x14ac:dyDescent="0.4">
      <c r="A523" s="194"/>
      <c r="B523" s="65"/>
      <c r="C523" s="65"/>
      <c r="D523" s="65"/>
      <c r="E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  <c r="X523" s="65"/>
    </row>
    <row r="524" spans="1:24" ht="15.75" customHeight="1" x14ac:dyDescent="0.4">
      <c r="A524" s="194"/>
      <c r="B524" s="65"/>
      <c r="C524" s="65"/>
      <c r="D524" s="65"/>
      <c r="E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  <c r="X524" s="65"/>
    </row>
    <row r="525" spans="1:24" ht="15.75" customHeight="1" x14ac:dyDescent="0.4">
      <c r="A525" s="194"/>
      <c r="B525" s="65"/>
      <c r="C525" s="65"/>
      <c r="D525" s="65"/>
      <c r="E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  <c r="X525" s="65"/>
    </row>
    <row r="526" spans="1:24" ht="15.75" customHeight="1" x14ac:dyDescent="0.4">
      <c r="A526" s="194"/>
      <c r="B526" s="65"/>
      <c r="C526" s="65"/>
      <c r="D526" s="65"/>
      <c r="E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  <c r="X526" s="65"/>
    </row>
    <row r="527" spans="1:24" ht="15.75" customHeight="1" x14ac:dyDescent="0.4">
      <c r="A527" s="194"/>
      <c r="B527" s="65"/>
      <c r="C527" s="65"/>
      <c r="D527" s="65"/>
      <c r="E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  <c r="X527" s="65"/>
    </row>
    <row r="528" spans="1:24" ht="15.75" customHeight="1" x14ac:dyDescent="0.4">
      <c r="A528" s="194"/>
      <c r="B528" s="65"/>
      <c r="C528" s="65"/>
      <c r="D528" s="65"/>
      <c r="E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  <c r="X528" s="65"/>
    </row>
    <row r="529" spans="1:24" ht="15.75" customHeight="1" x14ac:dyDescent="0.4">
      <c r="A529" s="194"/>
      <c r="B529" s="65"/>
      <c r="C529" s="65"/>
      <c r="D529" s="65"/>
      <c r="E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  <c r="X529" s="65"/>
    </row>
    <row r="530" spans="1:24" ht="15.75" customHeight="1" x14ac:dyDescent="0.4">
      <c r="A530" s="194"/>
      <c r="B530" s="65"/>
      <c r="C530" s="65"/>
      <c r="D530" s="65"/>
      <c r="E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  <c r="X530" s="65"/>
    </row>
    <row r="531" spans="1:24" ht="15.75" customHeight="1" x14ac:dyDescent="0.4">
      <c r="A531" s="194"/>
      <c r="B531" s="65"/>
      <c r="C531" s="65"/>
      <c r="D531" s="65"/>
      <c r="E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  <c r="X531" s="65"/>
    </row>
    <row r="532" spans="1:24" ht="15.75" customHeight="1" x14ac:dyDescent="0.4">
      <c r="A532" s="194"/>
      <c r="B532" s="65"/>
      <c r="C532" s="65"/>
      <c r="D532" s="65"/>
      <c r="E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  <c r="X532" s="65"/>
    </row>
    <row r="533" spans="1:24" ht="15.75" customHeight="1" x14ac:dyDescent="0.4">
      <c r="A533" s="194"/>
      <c r="B533" s="65"/>
      <c r="C533" s="65"/>
      <c r="D533" s="65"/>
      <c r="E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  <c r="X533" s="65"/>
    </row>
    <row r="534" spans="1:24" ht="15.75" customHeight="1" x14ac:dyDescent="0.4">
      <c r="A534" s="194"/>
      <c r="B534" s="65"/>
      <c r="C534" s="65"/>
      <c r="D534" s="65"/>
      <c r="E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  <c r="X534" s="65"/>
    </row>
    <row r="535" spans="1:24" ht="15.75" customHeight="1" x14ac:dyDescent="0.4">
      <c r="A535" s="194"/>
      <c r="B535" s="65"/>
      <c r="C535" s="65"/>
      <c r="D535" s="65"/>
      <c r="E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  <c r="X535" s="65"/>
    </row>
    <row r="536" spans="1:24" ht="15.75" customHeight="1" x14ac:dyDescent="0.4">
      <c r="A536" s="194"/>
      <c r="B536" s="65"/>
      <c r="C536" s="65"/>
      <c r="D536" s="65"/>
      <c r="E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  <c r="X536" s="65"/>
    </row>
    <row r="537" spans="1:24" ht="15.75" customHeight="1" x14ac:dyDescent="0.4">
      <c r="A537" s="194"/>
      <c r="B537" s="65"/>
      <c r="C537" s="65"/>
      <c r="D537" s="65"/>
      <c r="E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  <c r="X537" s="65"/>
    </row>
    <row r="538" spans="1:24" ht="15.75" customHeight="1" x14ac:dyDescent="0.4">
      <c r="A538" s="194"/>
      <c r="B538" s="65"/>
      <c r="C538" s="65"/>
      <c r="D538" s="65"/>
      <c r="E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  <c r="X538" s="65"/>
    </row>
    <row r="539" spans="1:24" ht="15.75" customHeight="1" x14ac:dyDescent="0.4">
      <c r="A539" s="194"/>
      <c r="B539" s="65"/>
      <c r="C539" s="65"/>
      <c r="D539" s="65"/>
      <c r="E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  <c r="X539" s="65"/>
    </row>
    <row r="540" spans="1:24" ht="15.75" customHeight="1" x14ac:dyDescent="0.4">
      <c r="A540" s="194"/>
      <c r="B540" s="65"/>
      <c r="C540" s="65"/>
      <c r="D540" s="65"/>
      <c r="E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  <c r="X540" s="65"/>
    </row>
    <row r="541" spans="1:24" ht="15.75" customHeight="1" x14ac:dyDescent="0.4">
      <c r="A541" s="194"/>
      <c r="B541" s="65"/>
      <c r="C541" s="65"/>
      <c r="D541" s="65"/>
      <c r="E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  <c r="X541" s="65"/>
    </row>
    <row r="542" spans="1:24" ht="15.75" customHeight="1" x14ac:dyDescent="0.4">
      <c r="A542" s="194"/>
      <c r="B542" s="65"/>
      <c r="C542" s="65"/>
      <c r="D542" s="65"/>
      <c r="E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  <c r="X542" s="65"/>
    </row>
    <row r="543" spans="1:24" ht="15.75" customHeight="1" x14ac:dyDescent="0.4">
      <c r="A543" s="194"/>
      <c r="B543" s="65"/>
      <c r="C543" s="65"/>
      <c r="D543" s="65"/>
      <c r="E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  <c r="X543" s="65"/>
    </row>
    <row r="544" spans="1:24" ht="15.75" customHeight="1" x14ac:dyDescent="0.4">
      <c r="A544" s="194"/>
      <c r="B544" s="65"/>
      <c r="C544" s="65"/>
      <c r="D544" s="65"/>
      <c r="E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  <c r="X544" s="65"/>
    </row>
    <row r="545" spans="1:24" ht="15.75" customHeight="1" x14ac:dyDescent="0.4">
      <c r="A545" s="194"/>
      <c r="B545" s="65"/>
      <c r="C545" s="65"/>
      <c r="D545" s="65"/>
      <c r="E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  <c r="X545" s="65"/>
    </row>
    <row r="546" spans="1:24" ht="15.75" customHeight="1" x14ac:dyDescent="0.4">
      <c r="A546" s="194"/>
      <c r="B546" s="65"/>
      <c r="C546" s="65"/>
      <c r="D546" s="65"/>
      <c r="E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  <c r="X546" s="65"/>
    </row>
    <row r="547" spans="1:24" ht="15.75" customHeight="1" x14ac:dyDescent="0.4">
      <c r="A547" s="194"/>
      <c r="B547" s="65"/>
      <c r="C547" s="65"/>
      <c r="D547" s="65"/>
      <c r="E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  <c r="X547" s="65"/>
    </row>
    <row r="548" spans="1:24" ht="15.75" customHeight="1" x14ac:dyDescent="0.4">
      <c r="A548" s="194"/>
      <c r="B548" s="65"/>
      <c r="C548" s="65"/>
      <c r="D548" s="65"/>
      <c r="E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  <c r="X548" s="65"/>
    </row>
    <row r="549" spans="1:24" ht="15.75" customHeight="1" x14ac:dyDescent="0.4">
      <c r="A549" s="194"/>
      <c r="B549" s="65"/>
      <c r="C549" s="65"/>
      <c r="D549" s="65"/>
      <c r="E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  <c r="X549" s="65"/>
    </row>
    <row r="550" spans="1:24" ht="15.75" customHeight="1" x14ac:dyDescent="0.4">
      <c r="A550" s="194"/>
      <c r="B550" s="65"/>
      <c r="C550" s="65"/>
      <c r="D550" s="65"/>
      <c r="E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  <c r="X550" s="65"/>
    </row>
    <row r="551" spans="1:24" ht="15.75" customHeight="1" x14ac:dyDescent="0.4">
      <c r="A551" s="194"/>
      <c r="B551" s="65"/>
      <c r="C551" s="65"/>
      <c r="D551" s="65"/>
      <c r="E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  <c r="X551" s="65"/>
    </row>
    <row r="552" spans="1:24" ht="15.75" customHeight="1" x14ac:dyDescent="0.4">
      <c r="A552" s="194"/>
      <c r="B552" s="65"/>
      <c r="C552" s="65"/>
      <c r="D552" s="65"/>
      <c r="E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  <c r="X552" s="65"/>
    </row>
    <row r="553" spans="1:24" ht="15.75" customHeight="1" x14ac:dyDescent="0.4">
      <c r="A553" s="194"/>
      <c r="B553" s="65"/>
      <c r="C553" s="65"/>
      <c r="D553" s="65"/>
      <c r="E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  <c r="X553" s="65"/>
    </row>
    <row r="554" spans="1:24" ht="15.75" customHeight="1" x14ac:dyDescent="0.4">
      <c r="A554" s="194"/>
      <c r="B554" s="65"/>
      <c r="C554" s="65"/>
      <c r="D554" s="65"/>
      <c r="E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  <c r="X554" s="65"/>
    </row>
    <row r="555" spans="1:24" ht="15.75" customHeight="1" x14ac:dyDescent="0.4">
      <c r="A555" s="194"/>
      <c r="B555" s="65"/>
      <c r="C555" s="65"/>
      <c r="D555" s="65"/>
      <c r="E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  <c r="X555" s="65"/>
    </row>
    <row r="556" spans="1:24" ht="15.75" customHeight="1" x14ac:dyDescent="0.4">
      <c r="A556" s="194"/>
      <c r="B556" s="65"/>
      <c r="C556" s="65"/>
      <c r="D556" s="65"/>
      <c r="E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  <c r="X556" s="65"/>
    </row>
    <row r="557" spans="1:24" ht="15.75" customHeight="1" x14ac:dyDescent="0.4">
      <c r="A557" s="194"/>
      <c r="B557" s="65"/>
      <c r="C557" s="65"/>
      <c r="D557" s="65"/>
      <c r="E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  <c r="X557" s="65"/>
    </row>
    <row r="558" spans="1:24" ht="15.75" customHeight="1" x14ac:dyDescent="0.4">
      <c r="A558" s="194"/>
      <c r="B558" s="65"/>
      <c r="C558" s="65"/>
      <c r="D558" s="65"/>
      <c r="E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  <c r="X558" s="65"/>
    </row>
    <row r="559" spans="1:24" ht="15.75" customHeight="1" x14ac:dyDescent="0.4">
      <c r="A559" s="194"/>
      <c r="B559" s="65"/>
      <c r="C559" s="65"/>
      <c r="D559" s="65"/>
      <c r="E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  <c r="X559" s="65"/>
    </row>
    <row r="560" spans="1:24" ht="15.75" customHeight="1" x14ac:dyDescent="0.4">
      <c r="A560" s="194"/>
      <c r="B560" s="65"/>
      <c r="C560" s="65"/>
      <c r="D560" s="65"/>
      <c r="E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  <c r="X560" s="65"/>
    </row>
    <row r="561" spans="1:24" ht="15.75" customHeight="1" x14ac:dyDescent="0.4">
      <c r="A561" s="194"/>
      <c r="B561" s="65"/>
      <c r="C561" s="65"/>
      <c r="D561" s="65"/>
      <c r="E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  <c r="X561" s="65"/>
    </row>
    <row r="562" spans="1:24" ht="15.75" customHeight="1" x14ac:dyDescent="0.4">
      <c r="A562" s="194"/>
      <c r="B562" s="65"/>
      <c r="C562" s="65"/>
      <c r="D562" s="65"/>
      <c r="E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  <c r="X562" s="65"/>
    </row>
    <row r="563" spans="1:24" ht="15.75" customHeight="1" x14ac:dyDescent="0.4">
      <c r="A563" s="194"/>
      <c r="B563" s="65"/>
      <c r="C563" s="65"/>
      <c r="D563" s="65"/>
      <c r="E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  <c r="X563" s="65"/>
    </row>
    <row r="564" spans="1:24" ht="15.75" customHeight="1" x14ac:dyDescent="0.4">
      <c r="A564" s="194"/>
      <c r="B564" s="65"/>
      <c r="C564" s="65"/>
      <c r="D564" s="65"/>
      <c r="E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  <c r="X564" s="65"/>
    </row>
    <row r="565" spans="1:24" ht="15.75" customHeight="1" x14ac:dyDescent="0.4">
      <c r="A565" s="194"/>
      <c r="B565" s="65"/>
      <c r="C565" s="65"/>
      <c r="D565" s="65"/>
      <c r="E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  <c r="X565" s="65"/>
    </row>
    <row r="566" spans="1:24" ht="15.75" customHeight="1" x14ac:dyDescent="0.4">
      <c r="A566" s="194"/>
      <c r="B566" s="65"/>
      <c r="C566" s="65"/>
      <c r="D566" s="65"/>
      <c r="E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  <c r="X566" s="65"/>
    </row>
    <row r="567" spans="1:24" ht="15.75" customHeight="1" x14ac:dyDescent="0.4">
      <c r="A567" s="194"/>
      <c r="B567" s="65"/>
      <c r="C567" s="65"/>
      <c r="D567" s="65"/>
      <c r="E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  <c r="X567" s="65"/>
    </row>
    <row r="568" spans="1:24" ht="15.75" customHeight="1" x14ac:dyDescent="0.4">
      <c r="A568" s="194"/>
      <c r="B568" s="65"/>
      <c r="C568" s="65"/>
      <c r="D568" s="65"/>
      <c r="E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  <c r="X568" s="65"/>
    </row>
    <row r="569" spans="1:24" ht="15.75" customHeight="1" x14ac:dyDescent="0.4">
      <c r="A569" s="194"/>
      <c r="B569" s="65"/>
      <c r="C569" s="65"/>
      <c r="D569" s="65"/>
      <c r="E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  <c r="X569" s="65"/>
    </row>
    <row r="570" spans="1:24" ht="15.75" customHeight="1" x14ac:dyDescent="0.4">
      <c r="A570" s="194"/>
      <c r="B570" s="65"/>
      <c r="C570" s="65"/>
      <c r="D570" s="65"/>
      <c r="E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  <c r="X570" s="65"/>
    </row>
    <row r="571" spans="1:24" ht="15.75" customHeight="1" x14ac:dyDescent="0.4">
      <c r="A571" s="194"/>
      <c r="B571" s="65"/>
      <c r="C571" s="65"/>
      <c r="D571" s="65"/>
      <c r="E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  <c r="X571" s="65"/>
    </row>
    <row r="572" spans="1:24" ht="15.75" customHeight="1" x14ac:dyDescent="0.4">
      <c r="A572" s="194"/>
      <c r="B572" s="65"/>
      <c r="C572" s="65"/>
      <c r="D572" s="65"/>
      <c r="E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  <c r="X572" s="65"/>
    </row>
    <row r="573" spans="1:24" ht="15.75" customHeight="1" x14ac:dyDescent="0.4">
      <c r="A573" s="194"/>
      <c r="B573" s="65"/>
      <c r="C573" s="65"/>
      <c r="D573" s="65"/>
      <c r="E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  <c r="X573" s="65"/>
    </row>
    <row r="574" spans="1:24" ht="15.75" customHeight="1" x14ac:dyDescent="0.4">
      <c r="A574" s="194"/>
      <c r="B574" s="65"/>
      <c r="C574" s="65"/>
      <c r="D574" s="65"/>
      <c r="E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  <c r="X574" s="65"/>
    </row>
    <row r="575" spans="1:24" ht="15.75" customHeight="1" x14ac:dyDescent="0.4">
      <c r="A575" s="194"/>
      <c r="B575" s="65"/>
      <c r="C575" s="65"/>
      <c r="D575" s="65"/>
      <c r="E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  <c r="X575" s="65"/>
    </row>
    <row r="576" spans="1:24" ht="15.75" customHeight="1" x14ac:dyDescent="0.4">
      <c r="A576" s="194"/>
      <c r="B576" s="65"/>
      <c r="C576" s="65"/>
      <c r="D576" s="65"/>
      <c r="E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  <c r="X576" s="65"/>
    </row>
    <row r="577" spans="1:24" ht="15.75" customHeight="1" x14ac:dyDescent="0.4">
      <c r="A577" s="194"/>
      <c r="B577" s="65"/>
      <c r="C577" s="65"/>
      <c r="D577" s="65"/>
      <c r="E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  <c r="X577" s="65"/>
    </row>
    <row r="578" spans="1:24" ht="15.75" customHeight="1" x14ac:dyDescent="0.4">
      <c r="A578" s="194"/>
      <c r="B578" s="65"/>
      <c r="C578" s="65"/>
      <c r="D578" s="65"/>
      <c r="E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  <c r="X578" s="65"/>
    </row>
    <row r="579" spans="1:24" ht="15.75" customHeight="1" x14ac:dyDescent="0.4">
      <c r="A579" s="194"/>
      <c r="B579" s="65"/>
      <c r="C579" s="65"/>
      <c r="D579" s="65"/>
      <c r="E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  <c r="X579" s="65"/>
    </row>
    <row r="580" spans="1:24" ht="15.75" customHeight="1" x14ac:dyDescent="0.4">
      <c r="A580" s="194"/>
      <c r="B580" s="65"/>
      <c r="C580" s="65"/>
      <c r="D580" s="65"/>
      <c r="E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  <c r="X580" s="65"/>
    </row>
    <row r="581" spans="1:24" ht="15.75" customHeight="1" x14ac:dyDescent="0.4">
      <c r="A581" s="194"/>
      <c r="B581" s="65"/>
      <c r="C581" s="65"/>
      <c r="D581" s="65"/>
      <c r="E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  <c r="X581" s="65"/>
    </row>
    <row r="582" spans="1:24" ht="15.75" customHeight="1" x14ac:dyDescent="0.4">
      <c r="A582" s="194"/>
      <c r="B582" s="65"/>
      <c r="C582" s="65"/>
      <c r="D582" s="65"/>
      <c r="E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  <c r="X582" s="65"/>
    </row>
    <row r="583" spans="1:24" ht="15.75" customHeight="1" x14ac:dyDescent="0.4">
      <c r="A583" s="194"/>
      <c r="B583" s="65"/>
      <c r="C583" s="65"/>
      <c r="D583" s="65"/>
      <c r="E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  <c r="X583" s="65"/>
    </row>
    <row r="584" spans="1:24" ht="15.75" customHeight="1" x14ac:dyDescent="0.4">
      <c r="A584" s="194"/>
      <c r="B584" s="65"/>
      <c r="C584" s="65"/>
      <c r="D584" s="65"/>
      <c r="E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  <c r="X584" s="65"/>
    </row>
    <row r="585" spans="1:24" ht="15.75" customHeight="1" x14ac:dyDescent="0.4">
      <c r="A585" s="194"/>
      <c r="B585" s="65"/>
      <c r="C585" s="65"/>
      <c r="D585" s="65"/>
      <c r="E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  <c r="X585" s="65"/>
    </row>
    <row r="586" spans="1:24" ht="15.75" customHeight="1" x14ac:dyDescent="0.4">
      <c r="A586" s="194"/>
      <c r="B586" s="65"/>
      <c r="C586" s="65"/>
      <c r="D586" s="65"/>
      <c r="E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  <c r="X586" s="65"/>
    </row>
    <row r="587" spans="1:24" ht="15.75" customHeight="1" x14ac:dyDescent="0.4">
      <c r="A587" s="194"/>
      <c r="B587" s="65"/>
      <c r="C587" s="65"/>
      <c r="D587" s="65"/>
      <c r="E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  <c r="X587" s="65"/>
    </row>
    <row r="588" spans="1:24" ht="15.75" customHeight="1" x14ac:dyDescent="0.4">
      <c r="A588" s="194"/>
      <c r="B588" s="65"/>
      <c r="C588" s="65"/>
      <c r="D588" s="65"/>
      <c r="E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  <c r="X588" s="65"/>
    </row>
    <row r="589" spans="1:24" ht="15.75" customHeight="1" x14ac:dyDescent="0.4">
      <c r="A589" s="194"/>
      <c r="B589" s="65"/>
      <c r="C589" s="65"/>
      <c r="D589" s="65"/>
      <c r="E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  <c r="X589" s="65"/>
    </row>
    <row r="590" spans="1:24" ht="15.75" customHeight="1" x14ac:dyDescent="0.4">
      <c r="A590" s="194"/>
      <c r="B590" s="65"/>
      <c r="C590" s="65"/>
      <c r="D590" s="65"/>
      <c r="E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  <c r="X590" s="65"/>
    </row>
    <row r="591" spans="1:24" ht="15.75" customHeight="1" x14ac:dyDescent="0.4">
      <c r="A591" s="194"/>
      <c r="B591" s="65"/>
      <c r="C591" s="65"/>
      <c r="D591" s="65"/>
      <c r="E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  <c r="X591" s="65"/>
    </row>
    <row r="592" spans="1:24" ht="15.75" customHeight="1" x14ac:dyDescent="0.4">
      <c r="A592" s="194"/>
      <c r="B592" s="65"/>
      <c r="C592" s="65"/>
      <c r="D592" s="65"/>
      <c r="E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  <c r="X592" s="65"/>
    </row>
    <row r="593" spans="1:24" ht="15.75" customHeight="1" x14ac:dyDescent="0.4">
      <c r="A593" s="194"/>
      <c r="B593" s="65"/>
      <c r="C593" s="65"/>
      <c r="D593" s="65"/>
      <c r="E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  <c r="X593" s="65"/>
    </row>
    <row r="594" spans="1:24" ht="15.75" customHeight="1" x14ac:dyDescent="0.4">
      <c r="A594" s="194"/>
      <c r="B594" s="65"/>
      <c r="C594" s="65"/>
      <c r="D594" s="65"/>
      <c r="E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  <c r="X594" s="65"/>
    </row>
    <row r="595" spans="1:24" ht="15.75" customHeight="1" x14ac:dyDescent="0.4">
      <c r="A595" s="194"/>
      <c r="B595" s="65"/>
      <c r="C595" s="65"/>
      <c r="D595" s="65"/>
      <c r="E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  <c r="X595" s="65"/>
    </row>
    <row r="596" spans="1:24" ht="15.75" customHeight="1" x14ac:dyDescent="0.4">
      <c r="A596" s="194"/>
      <c r="B596" s="65"/>
      <c r="C596" s="65"/>
      <c r="D596" s="65"/>
      <c r="E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  <c r="X596" s="65"/>
    </row>
    <row r="597" spans="1:24" ht="15.75" customHeight="1" x14ac:dyDescent="0.4">
      <c r="A597" s="194"/>
      <c r="B597" s="65"/>
      <c r="C597" s="65"/>
      <c r="D597" s="65"/>
      <c r="E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  <c r="X597" s="65"/>
    </row>
    <row r="598" spans="1:24" ht="15.75" customHeight="1" x14ac:dyDescent="0.4">
      <c r="A598" s="194"/>
      <c r="B598" s="65"/>
      <c r="C598" s="65"/>
      <c r="D598" s="65"/>
      <c r="E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  <c r="X598" s="65"/>
    </row>
    <row r="599" spans="1:24" ht="15.75" customHeight="1" x14ac:dyDescent="0.4">
      <c r="A599" s="194"/>
      <c r="B599" s="65"/>
      <c r="C599" s="65"/>
      <c r="D599" s="65"/>
      <c r="E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  <c r="X599" s="65"/>
    </row>
    <row r="600" spans="1:24" ht="15.75" customHeight="1" x14ac:dyDescent="0.4">
      <c r="A600" s="194"/>
      <c r="B600" s="65"/>
      <c r="C600" s="65"/>
      <c r="D600" s="65"/>
      <c r="E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  <c r="X600" s="65"/>
    </row>
    <row r="601" spans="1:24" ht="15.75" customHeight="1" x14ac:dyDescent="0.4">
      <c r="A601" s="194"/>
      <c r="B601" s="65"/>
      <c r="C601" s="65"/>
      <c r="D601" s="65"/>
      <c r="E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  <c r="X601" s="65"/>
    </row>
    <row r="602" spans="1:24" ht="15.75" customHeight="1" x14ac:dyDescent="0.4">
      <c r="A602" s="194"/>
      <c r="B602" s="65"/>
      <c r="C602" s="65"/>
      <c r="D602" s="65"/>
      <c r="E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  <c r="X602" s="65"/>
    </row>
    <row r="603" spans="1:24" ht="15.75" customHeight="1" x14ac:dyDescent="0.4">
      <c r="A603" s="194"/>
      <c r="B603" s="65"/>
      <c r="C603" s="65"/>
      <c r="D603" s="65"/>
      <c r="E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  <c r="X603" s="65"/>
    </row>
    <row r="604" spans="1:24" ht="15.75" customHeight="1" x14ac:dyDescent="0.4">
      <c r="A604" s="194"/>
      <c r="B604" s="65"/>
      <c r="C604" s="65"/>
      <c r="D604" s="65"/>
      <c r="E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  <c r="X604" s="65"/>
    </row>
    <row r="605" spans="1:24" ht="15.75" customHeight="1" x14ac:dyDescent="0.4">
      <c r="A605" s="194"/>
      <c r="B605" s="65"/>
      <c r="C605" s="65"/>
      <c r="D605" s="65"/>
      <c r="E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  <c r="X605" s="65"/>
    </row>
    <row r="606" spans="1:24" ht="15.75" customHeight="1" x14ac:dyDescent="0.4">
      <c r="A606" s="194"/>
      <c r="B606" s="65"/>
      <c r="C606" s="65"/>
      <c r="D606" s="65"/>
      <c r="E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  <c r="X606" s="65"/>
    </row>
    <row r="607" spans="1:24" ht="15.75" customHeight="1" x14ac:dyDescent="0.4">
      <c r="A607" s="194"/>
      <c r="B607" s="65"/>
      <c r="C607" s="65"/>
      <c r="D607" s="65"/>
      <c r="E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  <c r="X607" s="65"/>
    </row>
    <row r="608" spans="1:24" ht="15.75" customHeight="1" x14ac:dyDescent="0.4">
      <c r="A608" s="194"/>
      <c r="B608" s="65"/>
      <c r="C608" s="65"/>
      <c r="D608" s="65"/>
      <c r="E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  <c r="X608" s="65"/>
    </row>
    <row r="609" spans="1:24" ht="15.75" customHeight="1" x14ac:dyDescent="0.4">
      <c r="A609" s="194"/>
      <c r="B609" s="65"/>
      <c r="C609" s="65"/>
      <c r="D609" s="65"/>
      <c r="E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  <c r="X609" s="65"/>
    </row>
    <row r="610" spans="1:24" ht="15.75" customHeight="1" x14ac:dyDescent="0.4">
      <c r="A610" s="194"/>
      <c r="B610" s="65"/>
      <c r="C610" s="65"/>
      <c r="D610" s="65"/>
      <c r="E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  <c r="X610" s="65"/>
    </row>
    <row r="611" spans="1:24" ht="15.75" customHeight="1" x14ac:dyDescent="0.4">
      <c r="A611" s="194"/>
      <c r="B611" s="65"/>
      <c r="C611" s="65"/>
      <c r="D611" s="65"/>
      <c r="E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  <c r="X611" s="65"/>
    </row>
    <row r="612" spans="1:24" ht="15.75" customHeight="1" x14ac:dyDescent="0.4">
      <c r="A612" s="194"/>
      <c r="B612" s="65"/>
      <c r="C612" s="65"/>
      <c r="D612" s="65"/>
      <c r="E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  <c r="X612" s="65"/>
    </row>
    <row r="613" spans="1:24" ht="15.75" customHeight="1" x14ac:dyDescent="0.4">
      <c r="A613" s="194"/>
      <c r="B613" s="65"/>
      <c r="C613" s="65"/>
      <c r="D613" s="65"/>
      <c r="E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  <c r="X613" s="65"/>
    </row>
    <row r="614" spans="1:24" ht="15.75" customHeight="1" x14ac:dyDescent="0.4">
      <c r="A614" s="194"/>
      <c r="B614" s="65"/>
      <c r="C614" s="65"/>
      <c r="D614" s="65"/>
      <c r="E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  <c r="X614" s="65"/>
    </row>
    <row r="615" spans="1:24" ht="15.75" customHeight="1" x14ac:dyDescent="0.4">
      <c r="A615" s="194"/>
      <c r="B615" s="65"/>
      <c r="C615" s="65"/>
      <c r="D615" s="65"/>
      <c r="E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  <c r="X615" s="65"/>
    </row>
    <row r="616" spans="1:24" ht="15.75" customHeight="1" x14ac:dyDescent="0.4">
      <c r="A616" s="194"/>
      <c r="B616" s="65"/>
      <c r="C616" s="65"/>
      <c r="D616" s="65"/>
      <c r="E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  <c r="X616" s="65"/>
    </row>
    <row r="617" spans="1:24" ht="15.75" customHeight="1" x14ac:dyDescent="0.4">
      <c r="A617" s="194"/>
      <c r="B617" s="65"/>
      <c r="C617" s="65"/>
      <c r="D617" s="65"/>
      <c r="E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  <c r="X617" s="65"/>
    </row>
    <row r="618" spans="1:24" ht="15.75" customHeight="1" x14ac:dyDescent="0.4">
      <c r="A618" s="194"/>
      <c r="B618" s="65"/>
      <c r="C618" s="65"/>
      <c r="D618" s="65"/>
      <c r="E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  <c r="X618" s="65"/>
    </row>
    <row r="619" spans="1:24" ht="15.75" customHeight="1" x14ac:dyDescent="0.4">
      <c r="A619" s="194"/>
      <c r="B619" s="65"/>
      <c r="C619" s="65"/>
      <c r="D619" s="65"/>
      <c r="E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  <c r="X619" s="65"/>
    </row>
    <row r="620" spans="1:24" ht="15.75" customHeight="1" x14ac:dyDescent="0.4">
      <c r="A620" s="194"/>
      <c r="B620" s="65"/>
      <c r="C620" s="65"/>
      <c r="D620" s="65"/>
      <c r="E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  <c r="X620" s="65"/>
    </row>
    <row r="621" spans="1:24" ht="15.75" customHeight="1" x14ac:dyDescent="0.4">
      <c r="A621" s="194"/>
      <c r="B621" s="65"/>
      <c r="C621" s="65"/>
      <c r="D621" s="65"/>
      <c r="E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  <c r="X621" s="65"/>
    </row>
    <row r="622" spans="1:24" ht="15.75" customHeight="1" x14ac:dyDescent="0.4">
      <c r="A622" s="194"/>
      <c r="B622" s="65"/>
      <c r="C622" s="65"/>
      <c r="D622" s="65"/>
      <c r="E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  <c r="X622" s="65"/>
    </row>
    <row r="623" spans="1:24" ht="15.75" customHeight="1" x14ac:dyDescent="0.4">
      <c r="A623" s="194"/>
      <c r="B623" s="65"/>
      <c r="C623" s="65"/>
      <c r="D623" s="65"/>
      <c r="E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  <c r="X623" s="65"/>
    </row>
    <row r="624" spans="1:24" ht="15.75" customHeight="1" x14ac:dyDescent="0.4">
      <c r="A624" s="194"/>
      <c r="B624" s="65"/>
      <c r="C624" s="65"/>
      <c r="D624" s="65"/>
      <c r="E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  <c r="X624" s="65"/>
    </row>
    <row r="625" spans="1:24" ht="15.75" customHeight="1" x14ac:dyDescent="0.4">
      <c r="A625" s="194"/>
      <c r="B625" s="65"/>
      <c r="C625" s="65"/>
      <c r="D625" s="65"/>
      <c r="E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  <c r="X625" s="65"/>
    </row>
    <row r="626" spans="1:24" ht="15.75" customHeight="1" x14ac:dyDescent="0.4">
      <c r="A626" s="194"/>
      <c r="B626" s="65"/>
      <c r="C626" s="65"/>
      <c r="D626" s="65"/>
      <c r="E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  <c r="X626" s="65"/>
    </row>
    <row r="627" spans="1:24" ht="15.75" customHeight="1" x14ac:dyDescent="0.4">
      <c r="A627" s="194"/>
      <c r="B627" s="65"/>
      <c r="C627" s="65"/>
      <c r="D627" s="65"/>
      <c r="E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  <c r="X627" s="65"/>
    </row>
    <row r="628" spans="1:24" ht="15.75" customHeight="1" x14ac:dyDescent="0.4">
      <c r="A628" s="194"/>
      <c r="B628" s="65"/>
      <c r="C628" s="65"/>
      <c r="D628" s="65"/>
      <c r="E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  <c r="X628" s="65"/>
    </row>
    <row r="629" spans="1:24" ht="15.75" customHeight="1" x14ac:dyDescent="0.4">
      <c r="A629" s="194"/>
      <c r="B629" s="65"/>
      <c r="C629" s="65"/>
      <c r="D629" s="65"/>
      <c r="E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  <c r="X629" s="65"/>
    </row>
    <row r="630" spans="1:24" ht="15.75" customHeight="1" x14ac:dyDescent="0.4">
      <c r="A630" s="194"/>
      <c r="B630" s="65"/>
      <c r="C630" s="65"/>
      <c r="D630" s="65"/>
      <c r="E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  <c r="X630" s="65"/>
    </row>
    <row r="631" spans="1:24" ht="15.75" customHeight="1" x14ac:dyDescent="0.4">
      <c r="A631" s="194"/>
      <c r="B631" s="65"/>
      <c r="C631" s="65"/>
      <c r="D631" s="65"/>
      <c r="E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  <c r="X631" s="65"/>
    </row>
    <row r="632" spans="1:24" ht="15.75" customHeight="1" x14ac:dyDescent="0.4">
      <c r="A632" s="194"/>
      <c r="B632" s="65"/>
      <c r="C632" s="65"/>
      <c r="D632" s="65"/>
      <c r="E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  <c r="X632" s="65"/>
    </row>
    <row r="633" spans="1:24" ht="15.75" customHeight="1" x14ac:dyDescent="0.4">
      <c r="A633" s="194"/>
      <c r="B633" s="65"/>
      <c r="C633" s="65"/>
      <c r="D633" s="65"/>
      <c r="E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  <c r="X633" s="65"/>
    </row>
    <row r="634" spans="1:24" ht="15.75" customHeight="1" x14ac:dyDescent="0.4">
      <c r="A634" s="194"/>
      <c r="B634" s="65"/>
      <c r="C634" s="65"/>
      <c r="D634" s="65"/>
      <c r="E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  <c r="X634" s="65"/>
    </row>
    <row r="635" spans="1:24" ht="15.75" customHeight="1" x14ac:dyDescent="0.4">
      <c r="A635" s="194"/>
      <c r="B635" s="65"/>
      <c r="C635" s="65"/>
      <c r="D635" s="65"/>
      <c r="E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  <c r="X635" s="65"/>
    </row>
    <row r="636" spans="1:24" ht="15.75" customHeight="1" x14ac:dyDescent="0.4">
      <c r="A636" s="194"/>
      <c r="B636" s="65"/>
      <c r="C636" s="65"/>
      <c r="D636" s="65"/>
      <c r="E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  <c r="X636" s="65"/>
    </row>
    <row r="637" spans="1:24" ht="15.75" customHeight="1" x14ac:dyDescent="0.4">
      <c r="A637" s="194"/>
      <c r="B637" s="65"/>
      <c r="C637" s="65"/>
      <c r="D637" s="65"/>
      <c r="E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  <c r="X637" s="65"/>
    </row>
    <row r="638" spans="1:24" ht="15.75" customHeight="1" x14ac:dyDescent="0.4">
      <c r="A638" s="194"/>
      <c r="B638" s="65"/>
      <c r="C638" s="65"/>
      <c r="D638" s="65"/>
      <c r="E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  <c r="X638" s="65"/>
    </row>
    <row r="639" spans="1:24" ht="15.75" customHeight="1" x14ac:dyDescent="0.4">
      <c r="A639" s="194"/>
      <c r="B639" s="65"/>
      <c r="C639" s="65"/>
      <c r="D639" s="65"/>
      <c r="E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  <c r="X639" s="65"/>
    </row>
    <row r="640" spans="1:24" ht="15.75" customHeight="1" x14ac:dyDescent="0.4">
      <c r="A640" s="194"/>
      <c r="B640" s="65"/>
      <c r="C640" s="65"/>
      <c r="D640" s="65"/>
      <c r="E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  <c r="X640" s="65"/>
    </row>
    <row r="641" spans="1:24" ht="15.75" customHeight="1" x14ac:dyDescent="0.4">
      <c r="A641" s="194"/>
      <c r="B641" s="65"/>
      <c r="C641" s="65"/>
      <c r="D641" s="65"/>
      <c r="E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  <c r="X641" s="65"/>
    </row>
    <row r="642" spans="1:24" ht="15.75" customHeight="1" x14ac:dyDescent="0.4">
      <c r="A642" s="194"/>
      <c r="B642" s="65"/>
      <c r="C642" s="65"/>
      <c r="D642" s="65"/>
      <c r="E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  <c r="X642" s="65"/>
    </row>
    <row r="643" spans="1:24" ht="15.75" customHeight="1" x14ac:dyDescent="0.4">
      <c r="A643" s="194"/>
      <c r="B643" s="65"/>
      <c r="C643" s="65"/>
      <c r="D643" s="65"/>
      <c r="E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  <c r="X643" s="65"/>
    </row>
    <row r="644" spans="1:24" ht="15.75" customHeight="1" x14ac:dyDescent="0.4">
      <c r="A644" s="194"/>
      <c r="B644" s="65"/>
      <c r="C644" s="65"/>
      <c r="D644" s="65"/>
      <c r="E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  <c r="X644" s="65"/>
    </row>
    <row r="645" spans="1:24" ht="15.75" customHeight="1" x14ac:dyDescent="0.4">
      <c r="A645" s="194"/>
      <c r="B645" s="65"/>
      <c r="C645" s="65"/>
      <c r="D645" s="65"/>
      <c r="E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  <c r="X645" s="65"/>
    </row>
    <row r="646" spans="1:24" ht="15.75" customHeight="1" x14ac:dyDescent="0.4">
      <c r="A646" s="194"/>
      <c r="B646" s="65"/>
      <c r="C646" s="65"/>
      <c r="D646" s="65"/>
      <c r="E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  <c r="X646" s="65"/>
    </row>
    <row r="647" spans="1:24" ht="15.75" customHeight="1" x14ac:dyDescent="0.4">
      <c r="A647" s="194"/>
      <c r="B647" s="65"/>
      <c r="C647" s="65"/>
      <c r="D647" s="65"/>
      <c r="E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  <c r="X647" s="65"/>
    </row>
    <row r="648" spans="1:24" ht="15.75" customHeight="1" x14ac:dyDescent="0.4">
      <c r="A648" s="194"/>
      <c r="B648" s="65"/>
      <c r="C648" s="65"/>
      <c r="D648" s="65"/>
      <c r="E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  <c r="X648" s="65"/>
    </row>
    <row r="649" spans="1:24" ht="15.75" customHeight="1" x14ac:dyDescent="0.4">
      <c r="A649" s="194"/>
      <c r="B649" s="65"/>
      <c r="C649" s="65"/>
      <c r="D649" s="65"/>
      <c r="E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  <c r="X649" s="65"/>
    </row>
    <row r="650" spans="1:24" ht="15.75" customHeight="1" x14ac:dyDescent="0.4">
      <c r="A650" s="194"/>
      <c r="B650" s="65"/>
      <c r="C650" s="65"/>
      <c r="D650" s="65"/>
      <c r="E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  <c r="X650" s="65"/>
    </row>
    <row r="651" spans="1:24" ht="15.75" customHeight="1" x14ac:dyDescent="0.4">
      <c r="A651" s="194"/>
      <c r="B651" s="65"/>
      <c r="C651" s="65"/>
      <c r="D651" s="65"/>
      <c r="E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  <c r="X651" s="65"/>
    </row>
    <row r="652" spans="1:24" ht="15.75" customHeight="1" x14ac:dyDescent="0.4">
      <c r="A652" s="194"/>
      <c r="B652" s="65"/>
      <c r="C652" s="65"/>
      <c r="D652" s="65"/>
      <c r="E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  <c r="X652" s="65"/>
    </row>
    <row r="653" spans="1:24" ht="15.75" customHeight="1" x14ac:dyDescent="0.4">
      <c r="A653" s="194"/>
      <c r="B653" s="65"/>
      <c r="C653" s="65"/>
      <c r="D653" s="65"/>
      <c r="E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  <c r="X653" s="65"/>
    </row>
    <row r="654" spans="1:24" ht="15.75" customHeight="1" x14ac:dyDescent="0.4">
      <c r="A654" s="194"/>
      <c r="B654" s="65"/>
      <c r="C654" s="65"/>
      <c r="D654" s="65"/>
      <c r="E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  <c r="X654" s="65"/>
    </row>
    <row r="655" spans="1:24" ht="15.75" customHeight="1" x14ac:dyDescent="0.4">
      <c r="A655" s="194"/>
      <c r="B655" s="65"/>
      <c r="C655" s="65"/>
      <c r="D655" s="65"/>
      <c r="E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  <c r="X655" s="65"/>
    </row>
    <row r="656" spans="1:24" ht="15.75" customHeight="1" x14ac:dyDescent="0.4">
      <c r="A656" s="194"/>
      <c r="B656" s="65"/>
      <c r="C656" s="65"/>
      <c r="D656" s="65"/>
      <c r="E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  <c r="X656" s="65"/>
    </row>
    <row r="657" spans="1:24" ht="15.75" customHeight="1" x14ac:dyDescent="0.4">
      <c r="A657" s="194"/>
      <c r="B657" s="65"/>
      <c r="C657" s="65"/>
      <c r="D657" s="65"/>
      <c r="E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  <c r="X657" s="65"/>
    </row>
    <row r="658" spans="1:24" ht="15.75" customHeight="1" x14ac:dyDescent="0.4">
      <c r="A658" s="194"/>
      <c r="B658" s="65"/>
      <c r="C658" s="65"/>
      <c r="D658" s="65"/>
      <c r="E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  <c r="X658" s="65"/>
    </row>
    <row r="659" spans="1:24" ht="15.75" customHeight="1" x14ac:dyDescent="0.4">
      <c r="A659" s="194"/>
      <c r="B659" s="65"/>
      <c r="C659" s="65"/>
      <c r="D659" s="65"/>
      <c r="E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  <c r="X659" s="65"/>
    </row>
    <row r="660" spans="1:24" ht="15.75" customHeight="1" x14ac:dyDescent="0.4">
      <c r="A660" s="194"/>
      <c r="B660" s="65"/>
      <c r="C660" s="65"/>
      <c r="D660" s="65"/>
      <c r="E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  <c r="X660" s="65"/>
    </row>
    <row r="661" spans="1:24" ht="15.75" customHeight="1" x14ac:dyDescent="0.4">
      <c r="A661" s="194"/>
      <c r="B661" s="65"/>
      <c r="C661" s="65"/>
      <c r="D661" s="65"/>
      <c r="E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  <c r="X661" s="65"/>
    </row>
    <row r="662" spans="1:24" ht="15.75" customHeight="1" x14ac:dyDescent="0.4">
      <c r="A662" s="194"/>
      <c r="B662" s="65"/>
      <c r="C662" s="65"/>
      <c r="D662" s="65"/>
      <c r="E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  <c r="X662" s="65"/>
    </row>
    <row r="663" spans="1:24" ht="15.75" customHeight="1" x14ac:dyDescent="0.4">
      <c r="A663" s="194"/>
      <c r="B663" s="65"/>
      <c r="C663" s="65"/>
      <c r="D663" s="65"/>
      <c r="E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  <c r="X663" s="65"/>
    </row>
    <row r="664" spans="1:24" ht="15.75" customHeight="1" x14ac:dyDescent="0.4">
      <c r="A664" s="194"/>
      <c r="B664" s="65"/>
      <c r="C664" s="65"/>
      <c r="D664" s="65"/>
      <c r="E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  <c r="X664" s="65"/>
    </row>
    <row r="665" spans="1:24" ht="15.75" customHeight="1" x14ac:dyDescent="0.4">
      <c r="A665" s="194"/>
      <c r="B665" s="65"/>
      <c r="C665" s="65"/>
      <c r="D665" s="65"/>
      <c r="E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  <c r="X665" s="65"/>
    </row>
    <row r="666" spans="1:24" ht="15.75" customHeight="1" x14ac:dyDescent="0.4">
      <c r="A666" s="194"/>
      <c r="B666" s="65"/>
      <c r="C666" s="65"/>
      <c r="D666" s="65"/>
      <c r="E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  <c r="X666" s="65"/>
    </row>
    <row r="667" spans="1:24" ht="15.75" customHeight="1" x14ac:dyDescent="0.4">
      <c r="A667" s="194"/>
      <c r="B667" s="65"/>
      <c r="C667" s="65"/>
      <c r="D667" s="65"/>
      <c r="E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  <c r="X667" s="65"/>
    </row>
    <row r="668" spans="1:24" ht="15.75" customHeight="1" x14ac:dyDescent="0.4">
      <c r="A668" s="194"/>
      <c r="B668" s="65"/>
      <c r="C668" s="65"/>
      <c r="D668" s="65"/>
      <c r="E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  <c r="X668" s="65"/>
    </row>
    <row r="669" spans="1:24" ht="15.75" customHeight="1" x14ac:dyDescent="0.4">
      <c r="A669" s="194"/>
      <c r="B669" s="65"/>
      <c r="C669" s="65"/>
      <c r="D669" s="65"/>
      <c r="E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  <c r="X669" s="65"/>
    </row>
    <row r="670" spans="1:24" ht="15.75" customHeight="1" x14ac:dyDescent="0.4">
      <c r="A670" s="194"/>
      <c r="B670" s="65"/>
      <c r="C670" s="65"/>
      <c r="D670" s="65"/>
      <c r="E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  <c r="X670" s="65"/>
    </row>
    <row r="671" spans="1:24" ht="15.75" customHeight="1" x14ac:dyDescent="0.4">
      <c r="A671" s="194"/>
      <c r="B671" s="65"/>
      <c r="C671" s="65"/>
      <c r="D671" s="65"/>
      <c r="E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  <c r="X671" s="65"/>
    </row>
    <row r="672" spans="1:24" ht="15.75" customHeight="1" x14ac:dyDescent="0.4">
      <c r="A672" s="194"/>
      <c r="B672" s="65"/>
      <c r="C672" s="65"/>
      <c r="D672" s="65"/>
      <c r="E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  <c r="X672" s="65"/>
    </row>
    <row r="673" spans="1:24" ht="15.75" customHeight="1" x14ac:dyDescent="0.4">
      <c r="A673" s="194"/>
      <c r="B673" s="65"/>
      <c r="C673" s="65"/>
      <c r="D673" s="65"/>
      <c r="E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  <c r="X673" s="65"/>
    </row>
    <row r="674" spans="1:24" ht="15.75" customHeight="1" x14ac:dyDescent="0.4">
      <c r="A674" s="194"/>
      <c r="B674" s="65"/>
      <c r="C674" s="65"/>
      <c r="D674" s="65"/>
      <c r="E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  <c r="X674" s="65"/>
    </row>
    <row r="675" spans="1:24" ht="15.75" customHeight="1" x14ac:dyDescent="0.4">
      <c r="A675" s="194"/>
      <c r="B675" s="65"/>
      <c r="C675" s="65"/>
      <c r="D675" s="65"/>
      <c r="E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  <c r="X675" s="65"/>
    </row>
    <row r="676" spans="1:24" ht="15.75" customHeight="1" x14ac:dyDescent="0.4">
      <c r="A676" s="194"/>
      <c r="B676" s="65"/>
      <c r="C676" s="65"/>
      <c r="D676" s="65"/>
      <c r="E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  <c r="X676" s="65"/>
    </row>
    <row r="677" spans="1:24" ht="15.75" customHeight="1" x14ac:dyDescent="0.4">
      <c r="A677" s="194"/>
      <c r="B677" s="65"/>
      <c r="C677" s="65"/>
      <c r="D677" s="65"/>
      <c r="E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  <c r="X677" s="65"/>
    </row>
    <row r="678" spans="1:24" ht="15.75" customHeight="1" x14ac:dyDescent="0.4">
      <c r="A678" s="194"/>
      <c r="B678" s="65"/>
      <c r="C678" s="65"/>
      <c r="D678" s="65"/>
      <c r="E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  <c r="X678" s="65"/>
    </row>
    <row r="679" spans="1:24" ht="15.75" customHeight="1" x14ac:dyDescent="0.4">
      <c r="A679" s="194"/>
      <c r="B679" s="65"/>
      <c r="C679" s="65"/>
      <c r="D679" s="65"/>
      <c r="E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  <c r="X679" s="65"/>
    </row>
    <row r="680" spans="1:24" ht="15.75" customHeight="1" x14ac:dyDescent="0.4">
      <c r="A680" s="194"/>
      <c r="B680" s="65"/>
      <c r="C680" s="65"/>
      <c r="D680" s="65"/>
      <c r="E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  <c r="X680" s="65"/>
    </row>
    <row r="681" spans="1:24" ht="15.75" customHeight="1" x14ac:dyDescent="0.4">
      <c r="A681" s="194"/>
      <c r="B681" s="65"/>
      <c r="C681" s="65"/>
      <c r="D681" s="65"/>
      <c r="E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  <c r="X681" s="65"/>
    </row>
    <row r="682" spans="1:24" ht="15.75" customHeight="1" x14ac:dyDescent="0.4">
      <c r="A682" s="194"/>
      <c r="B682" s="65"/>
      <c r="C682" s="65"/>
      <c r="D682" s="65"/>
      <c r="E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  <c r="X682" s="65"/>
    </row>
    <row r="683" spans="1:24" ht="15.75" customHeight="1" x14ac:dyDescent="0.4">
      <c r="A683" s="194"/>
      <c r="B683" s="65"/>
      <c r="C683" s="65"/>
      <c r="D683" s="65"/>
      <c r="E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  <c r="X683" s="65"/>
    </row>
    <row r="684" spans="1:24" ht="15.75" customHeight="1" x14ac:dyDescent="0.4">
      <c r="A684" s="194"/>
      <c r="B684" s="65"/>
      <c r="C684" s="65"/>
      <c r="D684" s="65"/>
      <c r="E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  <c r="X684" s="65"/>
    </row>
    <row r="685" spans="1:24" ht="15.75" customHeight="1" x14ac:dyDescent="0.4">
      <c r="A685" s="194"/>
      <c r="B685" s="65"/>
      <c r="C685" s="65"/>
      <c r="D685" s="65"/>
      <c r="E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  <c r="X685" s="65"/>
    </row>
    <row r="686" spans="1:24" ht="15.75" customHeight="1" x14ac:dyDescent="0.4">
      <c r="A686" s="194"/>
      <c r="B686" s="65"/>
      <c r="C686" s="65"/>
      <c r="D686" s="65"/>
      <c r="E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  <c r="X686" s="65"/>
    </row>
    <row r="687" spans="1:24" ht="15.75" customHeight="1" x14ac:dyDescent="0.4">
      <c r="A687" s="194"/>
      <c r="B687" s="65"/>
      <c r="C687" s="65"/>
      <c r="D687" s="65"/>
      <c r="E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  <c r="X687" s="65"/>
    </row>
    <row r="688" spans="1:24" ht="15.75" customHeight="1" x14ac:dyDescent="0.4">
      <c r="A688" s="194"/>
      <c r="B688" s="65"/>
      <c r="C688" s="65"/>
      <c r="D688" s="65"/>
      <c r="E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  <c r="X688" s="65"/>
    </row>
    <row r="689" spans="1:24" ht="15.75" customHeight="1" x14ac:dyDescent="0.4">
      <c r="A689" s="194"/>
      <c r="B689" s="65"/>
      <c r="C689" s="65"/>
      <c r="D689" s="65"/>
      <c r="E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  <c r="X689" s="65"/>
    </row>
    <row r="690" spans="1:24" ht="15.75" customHeight="1" x14ac:dyDescent="0.4">
      <c r="A690" s="194"/>
      <c r="B690" s="65"/>
      <c r="C690" s="65"/>
      <c r="D690" s="65"/>
      <c r="E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  <c r="X690" s="65"/>
    </row>
    <row r="691" spans="1:24" ht="15.75" customHeight="1" x14ac:dyDescent="0.4">
      <c r="A691" s="194"/>
      <c r="B691" s="65"/>
      <c r="C691" s="65"/>
      <c r="D691" s="65"/>
      <c r="E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  <c r="X691" s="65"/>
    </row>
    <row r="692" spans="1:24" ht="15.75" customHeight="1" x14ac:dyDescent="0.4">
      <c r="A692" s="194"/>
      <c r="B692" s="65"/>
      <c r="C692" s="65"/>
      <c r="D692" s="65"/>
      <c r="E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  <c r="X692" s="65"/>
    </row>
    <row r="693" spans="1:24" ht="15.75" customHeight="1" x14ac:dyDescent="0.4">
      <c r="A693" s="194"/>
      <c r="B693" s="65"/>
      <c r="C693" s="65"/>
      <c r="D693" s="65"/>
      <c r="E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  <c r="X693" s="65"/>
    </row>
    <row r="694" spans="1:24" ht="15.75" customHeight="1" x14ac:dyDescent="0.4">
      <c r="A694" s="194"/>
      <c r="B694" s="65"/>
      <c r="C694" s="65"/>
      <c r="D694" s="65"/>
      <c r="E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  <c r="X694" s="65"/>
    </row>
    <row r="695" spans="1:24" ht="15.75" customHeight="1" x14ac:dyDescent="0.4">
      <c r="A695" s="194"/>
      <c r="B695" s="65"/>
      <c r="C695" s="65"/>
      <c r="D695" s="65"/>
      <c r="E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  <c r="X695" s="65"/>
    </row>
    <row r="696" spans="1:24" ht="15.75" customHeight="1" x14ac:dyDescent="0.4">
      <c r="A696" s="194"/>
      <c r="B696" s="65"/>
      <c r="C696" s="65"/>
      <c r="D696" s="65"/>
      <c r="E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  <c r="X696" s="65"/>
    </row>
    <row r="697" spans="1:24" ht="15.75" customHeight="1" x14ac:dyDescent="0.4">
      <c r="A697" s="194"/>
      <c r="B697" s="65"/>
      <c r="C697" s="65"/>
      <c r="D697" s="65"/>
      <c r="E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  <c r="X697" s="65"/>
    </row>
    <row r="698" spans="1:24" ht="15.75" customHeight="1" x14ac:dyDescent="0.4">
      <c r="A698" s="194"/>
      <c r="B698" s="65"/>
      <c r="C698" s="65"/>
      <c r="D698" s="65"/>
      <c r="E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  <c r="X698" s="65"/>
    </row>
    <row r="699" spans="1:24" ht="15.75" customHeight="1" x14ac:dyDescent="0.4">
      <c r="A699" s="194"/>
      <c r="B699" s="65"/>
      <c r="C699" s="65"/>
      <c r="D699" s="65"/>
      <c r="E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  <c r="X699" s="65"/>
    </row>
    <row r="700" spans="1:24" ht="15.75" customHeight="1" x14ac:dyDescent="0.4">
      <c r="A700" s="194"/>
      <c r="B700" s="65"/>
      <c r="C700" s="65"/>
      <c r="D700" s="65"/>
      <c r="E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  <c r="X700" s="65"/>
    </row>
    <row r="701" spans="1:24" ht="15.75" customHeight="1" x14ac:dyDescent="0.4">
      <c r="A701" s="194"/>
      <c r="B701" s="65"/>
      <c r="C701" s="65"/>
      <c r="D701" s="65"/>
      <c r="E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  <c r="X701" s="65"/>
    </row>
    <row r="702" spans="1:24" ht="15.75" customHeight="1" x14ac:dyDescent="0.4">
      <c r="A702" s="194"/>
      <c r="B702" s="65"/>
      <c r="C702" s="65"/>
      <c r="D702" s="65"/>
      <c r="E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  <c r="X702" s="65"/>
    </row>
    <row r="703" spans="1:24" ht="15.75" customHeight="1" x14ac:dyDescent="0.4">
      <c r="A703" s="194"/>
      <c r="B703" s="65"/>
      <c r="C703" s="65"/>
      <c r="D703" s="65"/>
      <c r="E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  <c r="X703" s="65"/>
    </row>
    <row r="704" spans="1:24" ht="15.75" customHeight="1" x14ac:dyDescent="0.4">
      <c r="A704" s="194"/>
      <c r="B704" s="65"/>
      <c r="C704" s="65"/>
      <c r="D704" s="65"/>
      <c r="E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  <c r="X704" s="65"/>
    </row>
    <row r="705" spans="1:24" ht="15.75" customHeight="1" x14ac:dyDescent="0.4">
      <c r="A705" s="194"/>
      <c r="B705" s="65"/>
      <c r="C705" s="65"/>
      <c r="D705" s="65"/>
      <c r="E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  <c r="X705" s="65"/>
    </row>
    <row r="706" spans="1:24" ht="15.75" customHeight="1" x14ac:dyDescent="0.4">
      <c r="A706" s="194"/>
      <c r="B706" s="65"/>
      <c r="C706" s="65"/>
      <c r="D706" s="65"/>
      <c r="E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  <c r="X706" s="65"/>
    </row>
    <row r="707" spans="1:24" ht="15.75" customHeight="1" x14ac:dyDescent="0.4">
      <c r="A707" s="194"/>
      <c r="B707" s="65"/>
      <c r="C707" s="65"/>
      <c r="D707" s="65"/>
      <c r="E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  <c r="X707" s="65"/>
    </row>
    <row r="708" spans="1:24" ht="15.75" customHeight="1" x14ac:dyDescent="0.4">
      <c r="A708" s="194"/>
      <c r="B708" s="65"/>
      <c r="C708" s="65"/>
      <c r="D708" s="65"/>
      <c r="E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  <c r="X708" s="65"/>
    </row>
    <row r="709" spans="1:24" ht="15.75" customHeight="1" x14ac:dyDescent="0.4">
      <c r="A709" s="194"/>
      <c r="B709" s="65"/>
      <c r="C709" s="65"/>
      <c r="D709" s="65"/>
      <c r="E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  <c r="X709" s="65"/>
    </row>
    <row r="710" spans="1:24" ht="15.75" customHeight="1" x14ac:dyDescent="0.4">
      <c r="A710" s="194"/>
      <c r="B710" s="65"/>
      <c r="C710" s="65"/>
      <c r="D710" s="65"/>
      <c r="E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  <c r="X710" s="65"/>
    </row>
    <row r="711" spans="1:24" ht="15.75" customHeight="1" x14ac:dyDescent="0.4">
      <c r="A711" s="194"/>
      <c r="B711" s="65"/>
      <c r="C711" s="65"/>
      <c r="D711" s="65"/>
      <c r="E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  <c r="X711" s="65"/>
    </row>
    <row r="712" spans="1:24" ht="15.75" customHeight="1" x14ac:dyDescent="0.4">
      <c r="A712" s="194"/>
      <c r="B712" s="65"/>
      <c r="C712" s="65"/>
      <c r="D712" s="65"/>
      <c r="E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  <c r="X712" s="65"/>
    </row>
    <row r="713" spans="1:24" ht="15.75" customHeight="1" x14ac:dyDescent="0.4">
      <c r="A713" s="194"/>
      <c r="B713" s="65"/>
      <c r="C713" s="65"/>
      <c r="D713" s="65"/>
      <c r="E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  <c r="X713" s="65"/>
    </row>
    <row r="714" spans="1:24" ht="15.75" customHeight="1" x14ac:dyDescent="0.4">
      <c r="A714" s="194"/>
      <c r="B714" s="65"/>
      <c r="C714" s="65"/>
      <c r="D714" s="65"/>
      <c r="E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  <c r="X714" s="65"/>
    </row>
    <row r="715" spans="1:24" ht="15.75" customHeight="1" x14ac:dyDescent="0.4">
      <c r="A715" s="194"/>
      <c r="B715" s="65"/>
      <c r="C715" s="65"/>
      <c r="D715" s="65"/>
      <c r="E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  <c r="X715" s="65"/>
    </row>
    <row r="716" spans="1:24" ht="15.75" customHeight="1" x14ac:dyDescent="0.4">
      <c r="A716" s="194"/>
      <c r="B716" s="65"/>
      <c r="C716" s="65"/>
      <c r="D716" s="65"/>
      <c r="E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  <c r="X716" s="65"/>
    </row>
    <row r="717" spans="1:24" ht="15.75" customHeight="1" x14ac:dyDescent="0.4">
      <c r="A717" s="194"/>
      <c r="B717" s="65"/>
      <c r="C717" s="65"/>
      <c r="D717" s="65"/>
      <c r="E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  <c r="X717" s="65"/>
    </row>
    <row r="718" spans="1:24" ht="15.75" customHeight="1" x14ac:dyDescent="0.4">
      <c r="A718" s="194"/>
      <c r="B718" s="65"/>
      <c r="C718" s="65"/>
      <c r="D718" s="65"/>
      <c r="E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  <c r="X718" s="65"/>
    </row>
    <row r="719" spans="1:24" ht="15.75" customHeight="1" x14ac:dyDescent="0.4">
      <c r="A719" s="194"/>
      <c r="B719" s="65"/>
      <c r="C719" s="65"/>
      <c r="D719" s="65"/>
      <c r="E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  <c r="X719" s="65"/>
    </row>
    <row r="720" spans="1:24" ht="15.75" customHeight="1" x14ac:dyDescent="0.4">
      <c r="A720" s="194"/>
      <c r="B720" s="65"/>
      <c r="C720" s="65"/>
      <c r="D720" s="65"/>
      <c r="E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  <c r="X720" s="65"/>
    </row>
    <row r="721" spans="1:24" ht="15.75" customHeight="1" x14ac:dyDescent="0.4">
      <c r="A721" s="194"/>
      <c r="B721" s="65"/>
      <c r="C721" s="65"/>
      <c r="D721" s="65"/>
      <c r="E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  <c r="X721" s="65"/>
    </row>
    <row r="722" spans="1:24" ht="15.75" customHeight="1" x14ac:dyDescent="0.4">
      <c r="A722" s="194"/>
      <c r="B722" s="65"/>
      <c r="C722" s="65"/>
      <c r="D722" s="65"/>
      <c r="E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  <c r="X722" s="65"/>
    </row>
    <row r="723" spans="1:24" ht="15.75" customHeight="1" x14ac:dyDescent="0.4">
      <c r="A723" s="194"/>
      <c r="B723" s="65"/>
      <c r="C723" s="65"/>
      <c r="D723" s="65"/>
      <c r="E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  <c r="X723" s="65"/>
    </row>
    <row r="724" spans="1:24" ht="15.75" customHeight="1" x14ac:dyDescent="0.4">
      <c r="A724" s="194"/>
      <c r="B724" s="65"/>
      <c r="C724" s="65"/>
      <c r="D724" s="65"/>
      <c r="E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  <c r="X724" s="65"/>
    </row>
    <row r="725" spans="1:24" ht="15.75" customHeight="1" x14ac:dyDescent="0.4">
      <c r="A725" s="194"/>
      <c r="B725" s="65"/>
      <c r="C725" s="65"/>
      <c r="D725" s="65"/>
      <c r="E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  <c r="X725" s="65"/>
    </row>
    <row r="726" spans="1:24" ht="15.75" customHeight="1" x14ac:dyDescent="0.4">
      <c r="A726" s="194"/>
      <c r="B726" s="65"/>
      <c r="C726" s="65"/>
      <c r="D726" s="65"/>
      <c r="E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  <c r="X726" s="65"/>
    </row>
    <row r="727" spans="1:24" ht="15.75" customHeight="1" x14ac:dyDescent="0.4">
      <c r="A727" s="194"/>
      <c r="B727" s="65"/>
      <c r="C727" s="65"/>
      <c r="D727" s="65"/>
      <c r="E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  <c r="X727" s="65"/>
    </row>
    <row r="728" spans="1:24" ht="15.75" customHeight="1" x14ac:dyDescent="0.4">
      <c r="A728" s="194"/>
      <c r="B728" s="65"/>
      <c r="C728" s="65"/>
      <c r="D728" s="65"/>
      <c r="E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  <c r="X728" s="65"/>
    </row>
    <row r="729" spans="1:24" ht="15.75" customHeight="1" x14ac:dyDescent="0.4">
      <c r="A729" s="194"/>
      <c r="B729" s="65"/>
      <c r="C729" s="65"/>
      <c r="D729" s="65"/>
      <c r="E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  <c r="X729" s="65"/>
    </row>
    <row r="730" spans="1:24" ht="15.75" customHeight="1" x14ac:dyDescent="0.4">
      <c r="A730" s="194"/>
      <c r="B730" s="65"/>
      <c r="C730" s="65"/>
      <c r="D730" s="65"/>
      <c r="E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  <c r="X730" s="65"/>
    </row>
    <row r="731" spans="1:24" ht="15.75" customHeight="1" x14ac:dyDescent="0.4">
      <c r="A731" s="194"/>
      <c r="B731" s="65"/>
      <c r="C731" s="65"/>
      <c r="D731" s="65"/>
      <c r="E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  <c r="X731" s="65"/>
    </row>
    <row r="732" spans="1:24" ht="15.75" customHeight="1" x14ac:dyDescent="0.4">
      <c r="A732" s="194"/>
      <c r="B732" s="65"/>
      <c r="C732" s="65"/>
      <c r="D732" s="65"/>
      <c r="E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  <c r="X732" s="65"/>
    </row>
    <row r="733" spans="1:24" ht="15.75" customHeight="1" x14ac:dyDescent="0.4">
      <c r="A733" s="194"/>
      <c r="B733" s="65"/>
      <c r="C733" s="65"/>
      <c r="D733" s="65"/>
      <c r="E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  <c r="X733" s="65"/>
    </row>
    <row r="734" spans="1:24" ht="15.75" customHeight="1" x14ac:dyDescent="0.4">
      <c r="A734" s="194"/>
      <c r="B734" s="65"/>
      <c r="C734" s="65"/>
      <c r="D734" s="65"/>
      <c r="E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  <c r="X734" s="65"/>
    </row>
    <row r="735" spans="1:24" ht="15.75" customHeight="1" x14ac:dyDescent="0.4">
      <c r="A735" s="194"/>
      <c r="B735" s="65"/>
      <c r="C735" s="65"/>
      <c r="D735" s="65"/>
      <c r="E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  <c r="X735" s="65"/>
    </row>
    <row r="736" spans="1:24" ht="15.75" customHeight="1" x14ac:dyDescent="0.4">
      <c r="A736" s="194"/>
      <c r="B736" s="65"/>
      <c r="C736" s="65"/>
      <c r="D736" s="65"/>
      <c r="E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  <c r="X736" s="65"/>
    </row>
    <row r="737" spans="1:24" ht="15.75" customHeight="1" x14ac:dyDescent="0.4">
      <c r="A737" s="194"/>
      <c r="B737" s="65"/>
      <c r="C737" s="65"/>
      <c r="D737" s="65"/>
      <c r="E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  <c r="X737" s="65"/>
    </row>
    <row r="738" spans="1:24" ht="15.75" customHeight="1" x14ac:dyDescent="0.4">
      <c r="A738" s="194"/>
      <c r="B738" s="65"/>
      <c r="C738" s="65"/>
      <c r="D738" s="65"/>
      <c r="E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  <c r="X738" s="65"/>
    </row>
    <row r="739" spans="1:24" ht="15.75" customHeight="1" x14ac:dyDescent="0.4">
      <c r="A739" s="194"/>
      <c r="B739" s="65"/>
      <c r="C739" s="65"/>
      <c r="D739" s="65"/>
      <c r="E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  <c r="X739" s="65"/>
    </row>
    <row r="740" spans="1:24" ht="15.75" customHeight="1" x14ac:dyDescent="0.4">
      <c r="A740" s="194"/>
      <c r="B740" s="65"/>
      <c r="C740" s="65"/>
      <c r="D740" s="65"/>
      <c r="E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  <c r="X740" s="65"/>
    </row>
    <row r="741" spans="1:24" ht="15.75" customHeight="1" x14ac:dyDescent="0.4">
      <c r="A741" s="194"/>
      <c r="B741" s="65"/>
      <c r="C741" s="65"/>
      <c r="D741" s="65"/>
      <c r="E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  <c r="X741" s="65"/>
    </row>
    <row r="742" spans="1:24" ht="15.75" customHeight="1" x14ac:dyDescent="0.4">
      <c r="A742" s="194"/>
      <c r="B742" s="65"/>
      <c r="C742" s="65"/>
      <c r="D742" s="65"/>
      <c r="E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  <c r="X742" s="65"/>
    </row>
    <row r="743" spans="1:24" ht="15.75" customHeight="1" x14ac:dyDescent="0.4">
      <c r="A743" s="194"/>
      <c r="B743" s="65"/>
      <c r="C743" s="65"/>
      <c r="D743" s="65"/>
      <c r="E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  <c r="X743" s="65"/>
    </row>
    <row r="744" spans="1:24" ht="15.75" customHeight="1" x14ac:dyDescent="0.4">
      <c r="A744" s="194"/>
      <c r="B744" s="65"/>
      <c r="C744" s="65"/>
      <c r="D744" s="65"/>
      <c r="E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  <c r="X744" s="65"/>
    </row>
    <row r="745" spans="1:24" ht="15.75" customHeight="1" x14ac:dyDescent="0.4">
      <c r="A745" s="194"/>
      <c r="B745" s="65"/>
      <c r="C745" s="65"/>
      <c r="D745" s="65"/>
      <c r="E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  <c r="X745" s="65"/>
    </row>
    <row r="746" spans="1:24" ht="15.75" customHeight="1" x14ac:dyDescent="0.4">
      <c r="A746" s="194"/>
      <c r="B746" s="65"/>
      <c r="C746" s="65"/>
      <c r="D746" s="65"/>
      <c r="E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  <c r="X746" s="65"/>
    </row>
    <row r="747" spans="1:24" ht="15.75" customHeight="1" x14ac:dyDescent="0.4">
      <c r="A747" s="194"/>
      <c r="B747" s="65"/>
      <c r="C747" s="65"/>
      <c r="D747" s="65"/>
      <c r="E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  <c r="X747" s="65"/>
    </row>
    <row r="748" spans="1:24" ht="15.75" customHeight="1" x14ac:dyDescent="0.4">
      <c r="A748" s="194"/>
      <c r="B748" s="65"/>
      <c r="C748" s="65"/>
      <c r="D748" s="65"/>
      <c r="E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  <c r="X748" s="65"/>
    </row>
    <row r="749" spans="1:24" ht="15.75" customHeight="1" x14ac:dyDescent="0.4">
      <c r="A749" s="194"/>
      <c r="B749" s="65"/>
      <c r="C749" s="65"/>
      <c r="D749" s="65"/>
      <c r="E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  <c r="X749" s="65"/>
    </row>
    <row r="750" spans="1:24" ht="15.75" customHeight="1" x14ac:dyDescent="0.4">
      <c r="A750" s="194"/>
      <c r="B750" s="65"/>
      <c r="C750" s="65"/>
      <c r="D750" s="65"/>
      <c r="E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  <c r="X750" s="65"/>
    </row>
    <row r="751" spans="1:24" ht="15.75" customHeight="1" x14ac:dyDescent="0.4">
      <c r="A751" s="194"/>
      <c r="B751" s="65"/>
      <c r="C751" s="65"/>
      <c r="D751" s="65"/>
      <c r="E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  <c r="X751" s="65"/>
    </row>
    <row r="752" spans="1:24" ht="15.75" customHeight="1" x14ac:dyDescent="0.4">
      <c r="A752" s="194"/>
      <c r="B752" s="65"/>
      <c r="C752" s="65"/>
      <c r="D752" s="65"/>
      <c r="E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  <c r="X752" s="65"/>
    </row>
    <row r="753" spans="1:24" ht="15.75" customHeight="1" x14ac:dyDescent="0.4">
      <c r="A753" s="194"/>
      <c r="B753" s="65"/>
      <c r="C753" s="65"/>
      <c r="D753" s="65"/>
      <c r="E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  <c r="X753" s="65"/>
    </row>
    <row r="754" spans="1:24" ht="15.75" customHeight="1" x14ac:dyDescent="0.4">
      <c r="A754" s="194"/>
      <c r="B754" s="65"/>
      <c r="C754" s="65"/>
      <c r="D754" s="65"/>
      <c r="E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  <c r="X754" s="65"/>
    </row>
    <row r="755" spans="1:24" ht="15.75" customHeight="1" x14ac:dyDescent="0.4">
      <c r="A755" s="194"/>
      <c r="B755" s="65"/>
      <c r="C755" s="65"/>
      <c r="D755" s="65"/>
      <c r="E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  <c r="X755" s="65"/>
    </row>
    <row r="756" spans="1:24" ht="15.75" customHeight="1" x14ac:dyDescent="0.4">
      <c r="A756" s="194"/>
      <c r="B756" s="65"/>
      <c r="C756" s="65"/>
      <c r="D756" s="65"/>
      <c r="E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  <c r="X756" s="65"/>
    </row>
    <row r="757" spans="1:24" ht="15.75" customHeight="1" x14ac:dyDescent="0.4">
      <c r="A757" s="194"/>
      <c r="B757" s="65"/>
      <c r="C757" s="65"/>
      <c r="D757" s="65"/>
      <c r="E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  <c r="X757" s="65"/>
    </row>
    <row r="758" spans="1:24" ht="15.75" customHeight="1" x14ac:dyDescent="0.4">
      <c r="A758" s="194"/>
      <c r="B758" s="65"/>
      <c r="C758" s="65"/>
      <c r="D758" s="65"/>
      <c r="E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  <c r="X758" s="65"/>
    </row>
    <row r="759" spans="1:24" ht="15.75" customHeight="1" x14ac:dyDescent="0.4">
      <c r="A759" s="194"/>
      <c r="B759" s="65"/>
      <c r="C759" s="65"/>
      <c r="D759" s="65"/>
      <c r="E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  <c r="X759" s="65"/>
    </row>
    <row r="760" spans="1:24" ht="15.75" customHeight="1" x14ac:dyDescent="0.4">
      <c r="A760" s="194"/>
      <c r="B760" s="65"/>
      <c r="C760" s="65"/>
      <c r="D760" s="65"/>
      <c r="E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  <c r="X760" s="65"/>
    </row>
    <row r="761" spans="1:24" ht="15.75" customHeight="1" x14ac:dyDescent="0.4">
      <c r="A761" s="194"/>
      <c r="B761" s="65"/>
      <c r="C761" s="65"/>
      <c r="D761" s="65"/>
      <c r="E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  <c r="X761" s="65"/>
    </row>
    <row r="762" spans="1:24" ht="15.75" customHeight="1" x14ac:dyDescent="0.4">
      <c r="A762" s="194"/>
      <c r="B762" s="65"/>
      <c r="C762" s="65"/>
      <c r="D762" s="65"/>
      <c r="E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  <c r="X762" s="65"/>
    </row>
    <row r="763" spans="1:24" ht="15.75" customHeight="1" x14ac:dyDescent="0.4">
      <c r="A763" s="194"/>
      <c r="B763" s="65"/>
      <c r="C763" s="65"/>
      <c r="D763" s="65"/>
      <c r="E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  <c r="X763" s="65"/>
    </row>
    <row r="764" spans="1:24" ht="15.75" customHeight="1" x14ac:dyDescent="0.4">
      <c r="A764" s="194"/>
      <c r="B764" s="65"/>
      <c r="C764" s="65"/>
      <c r="D764" s="65"/>
      <c r="E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  <c r="X764" s="65"/>
    </row>
    <row r="765" spans="1:24" ht="15.75" customHeight="1" x14ac:dyDescent="0.4">
      <c r="A765" s="194"/>
      <c r="B765" s="65"/>
      <c r="C765" s="65"/>
      <c r="D765" s="65"/>
      <c r="E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  <c r="X765" s="65"/>
    </row>
    <row r="766" spans="1:24" ht="15.75" customHeight="1" x14ac:dyDescent="0.4">
      <c r="A766" s="194"/>
      <c r="B766" s="65"/>
      <c r="C766" s="65"/>
      <c r="D766" s="65"/>
      <c r="E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  <c r="X766" s="65"/>
    </row>
    <row r="767" spans="1:24" ht="15.75" customHeight="1" x14ac:dyDescent="0.4">
      <c r="A767" s="194"/>
      <c r="B767" s="65"/>
      <c r="C767" s="65"/>
      <c r="D767" s="65"/>
      <c r="E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  <c r="X767" s="65"/>
    </row>
    <row r="768" spans="1:24" ht="15.75" customHeight="1" x14ac:dyDescent="0.4">
      <c r="A768" s="194"/>
      <c r="B768" s="65"/>
      <c r="C768" s="65"/>
      <c r="D768" s="65"/>
      <c r="E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  <c r="X768" s="65"/>
    </row>
    <row r="769" spans="1:24" ht="15.75" customHeight="1" x14ac:dyDescent="0.4">
      <c r="A769" s="194"/>
      <c r="B769" s="65"/>
      <c r="C769" s="65"/>
      <c r="D769" s="65"/>
      <c r="E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  <c r="X769" s="65"/>
    </row>
    <row r="770" spans="1:24" ht="15.75" customHeight="1" x14ac:dyDescent="0.4">
      <c r="A770" s="194"/>
      <c r="B770" s="65"/>
      <c r="C770" s="65"/>
      <c r="D770" s="65"/>
      <c r="E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  <c r="X770" s="65"/>
    </row>
    <row r="771" spans="1:24" ht="15.75" customHeight="1" x14ac:dyDescent="0.4">
      <c r="A771" s="194"/>
      <c r="B771" s="65"/>
      <c r="C771" s="65"/>
      <c r="D771" s="65"/>
      <c r="E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  <c r="X771" s="65"/>
    </row>
    <row r="772" spans="1:24" ht="15.75" customHeight="1" x14ac:dyDescent="0.4">
      <c r="A772" s="194"/>
      <c r="B772" s="65"/>
      <c r="C772" s="65"/>
      <c r="D772" s="65"/>
      <c r="E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  <c r="X772" s="65"/>
    </row>
    <row r="773" spans="1:24" ht="15.75" customHeight="1" x14ac:dyDescent="0.4">
      <c r="A773" s="194"/>
      <c r="B773" s="65"/>
      <c r="C773" s="65"/>
      <c r="D773" s="65"/>
      <c r="E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  <c r="X773" s="65"/>
    </row>
    <row r="774" spans="1:24" ht="15.75" customHeight="1" x14ac:dyDescent="0.4">
      <c r="A774" s="194"/>
      <c r="B774" s="65"/>
      <c r="C774" s="65"/>
      <c r="D774" s="65"/>
      <c r="E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  <c r="X774" s="65"/>
    </row>
    <row r="775" spans="1:24" ht="15.75" customHeight="1" x14ac:dyDescent="0.4">
      <c r="A775" s="194"/>
      <c r="B775" s="65"/>
      <c r="C775" s="65"/>
      <c r="D775" s="65"/>
      <c r="E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  <c r="X775" s="65"/>
    </row>
    <row r="776" spans="1:24" ht="15.75" customHeight="1" x14ac:dyDescent="0.4">
      <c r="A776" s="194"/>
      <c r="B776" s="65"/>
      <c r="C776" s="65"/>
      <c r="D776" s="65"/>
      <c r="E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  <c r="X776" s="65"/>
    </row>
    <row r="777" spans="1:24" ht="15.75" customHeight="1" x14ac:dyDescent="0.4">
      <c r="A777" s="194"/>
      <c r="B777" s="65"/>
      <c r="C777" s="65"/>
      <c r="D777" s="65"/>
      <c r="E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  <c r="X777" s="65"/>
    </row>
    <row r="778" spans="1:24" ht="15.75" customHeight="1" x14ac:dyDescent="0.4">
      <c r="A778" s="194"/>
      <c r="B778" s="65"/>
      <c r="C778" s="65"/>
      <c r="D778" s="65"/>
      <c r="E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  <c r="X778" s="65"/>
    </row>
    <row r="779" spans="1:24" ht="15.75" customHeight="1" x14ac:dyDescent="0.4">
      <c r="A779" s="194"/>
      <c r="B779" s="65"/>
      <c r="C779" s="65"/>
      <c r="D779" s="65"/>
      <c r="E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  <c r="X779" s="65"/>
    </row>
    <row r="780" spans="1:24" ht="15.75" customHeight="1" x14ac:dyDescent="0.4">
      <c r="A780" s="194"/>
      <c r="B780" s="65"/>
      <c r="C780" s="65"/>
      <c r="D780" s="65"/>
      <c r="E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  <c r="X780" s="65"/>
    </row>
    <row r="781" spans="1:24" ht="15.75" customHeight="1" x14ac:dyDescent="0.4">
      <c r="A781" s="194"/>
      <c r="B781" s="65"/>
      <c r="C781" s="65"/>
      <c r="D781" s="65"/>
      <c r="E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  <c r="X781" s="65"/>
    </row>
    <row r="782" spans="1:24" ht="15.75" customHeight="1" x14ac:dyDescent="0.4">
      <c r="A782" s="194"/>
      <c r="B782" s="65"/>
      <c r="C782" s="65"/>
      <c r="D782" s="65"/>
      <c r="E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  <c r="X782" s="65"/>
    </row>
    <row r="783" spans="1:24" ht="15.75" customHeight="1" x14ac:dyDescent="0.4">
      <c r="A783" s="194"/>
      <c r="B783" s="65"/>
      <c r="C783" s="65"/>
      <c r="D783" s="65"/>
      <c r="E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  <c r="X783" s="65"/>
    </row>
    <row r="784" spans="1:24" ht="15.75" customHeight="1" x14ac:dyDescent="0.4">
      <c r="A784" s="194"/>
      <c r="B784" s="65"/>
      <c r="C784" s="65"/>
      <c r="D784" s="65"/>
      <c r="E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  <c r="X784" s="65"/>
    </row>
    <row r="785" spans="1:24" ht="15.75" customHeight="1" x14ac:dyDescent="0.4">
      <c r="A785" s="194"/>
      <c r="B785" s="65"/>
      <c r="C785" s="65"/>
      <c r="D785" s="65"/>
      <c r="E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  <c r="X785" s="65"/>
    </row>
    <row r="786" spans="1:24" ht="15.75" customHeight="1" x14ac:dyDescent="0.4">
      <c r="A786" s="194"/>
      <c r="B786" s="65"/>
      <c r="C786" s="65"/>
      <c r="D786" s="65"/>
      <c r="E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  <c r="X786" s="65"/>
    </row>
    <row r="787" spans="1:24" ht="15.75" customHeight="1" x14ac:dyDescent="0.4">
      <c r="A787" s="194"/>
      <c r="B787" s="65"/>
      <c r="C787" s="65"/>
      <c r="D787" s="65"/>
      <c r="E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  <c r="X787" s="65"/>
    </row>
    <row r="788" spans="1:24" ht="15.75" customHeight="1" x14ac:dyDescent="0.4">
      <c r="A788" s="194"/>
      <c r="B788" s="65"/>
      <c r="C788" s="65"/>
      <c r="D788" s="65"/>
      <c r="E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  <c r="X788" s="65"/>
    </row>
    <row r="789" spans="1:24" ht="15.75" customHeight="1" x14ac:dyDescent="0.4">
      <c r="A789" s="194"/>
      <c r="B789" s="65"/>
      <c r="C789" s="65"/>
      <c r="D789" s="65"/>
      <c r="E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  <c r="X789" s="65"/>
    </row>
    <row r="790" spans="1:24" ht="15.75" customHeight="1" x14ac:dyDescent="0.4">
      <c r="A790" s="194"/>
      <c r="B790" s="65"/>
      <c r="C790" s="65"/>
      <c r="D790" s="65"/>
      <c r="E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  <c r="X790" s="65"/>
    </row>
    <row r="791" spans="1:24" ht="15.75" customHeight="1" x14ac:dyDescent="0.4">
      <c r="A791" s="194"/>
      <c r="B791" s="65"/>
      <c r="C791" s="65"/>
      <c r="D791" s="65"/>
      <c r="E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  <c r="X791" s="65"/>
    </row>
    <row r="792" spans="1:24" ht="15.75" customHeight="1" x14ac:dyDescent="0.4">
      <c r="A792" s="194"/>
      <c r="B792" s="65"/>
      <c r="C792" s="65"/>
      <c r="D792" s="65"/>
      <c r="E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  <c r="X792" s="65"/>
    </row>
    <row r="793" spans="1:24" ht="15.75" customHeight="1" x14ac:dyDescent="0.4">
      <c r="A793" s="194"/>
      <c r="B793" s="65"/>
      <c r="C793" s="65"/>
      <c r="D793" s="65"/>
      <c r="E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  <c r="X793" s="65"/>
    </row>
    <row r="794" spans="1:24" ht="15.75" customHeight="1" x14ac:dyDescent="0.4">
      <c r="A794" s="194"/>
      <c r="B794" s="65"/>
      <c r="C794" s="65"/>
      <c r="D794" s="65"/>
      <c r="E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  <c r="X794" s="65"/>
    </row>
    <row r="795" spans="1:24" ht="15.75" customHeight="1" x14ac:dyDescent="0.4">
      <c r="A795" s="194"/>
      <c r="B795" s="65"/>
      <c r="C795" s="65"/>
      <c r="D795" s="65"/>
      <c r="E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  <c r="X795" s="65"/>
    </row>
    <row r="796" spans="1:24" ht="15.75" customHeight="1" x14ac:dyDescent="0.4">
      <c r="A796" s="194"/>
      <c r="B796" s="65"/>
      <c r="C796" s="65"/>
      <c r="D796" s="65"/>
      <c r="E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  <c r="X796" s="65"/>
    </row>
    <row r="797" spans="1:24" ht="15.75" customHeight="1" x14ac:dyDescent="0.4">
      <c r="A797" s="194"/>
      <c r="B797" s="65"/>
      <c r="C797" s="65"/>
      <c r="D797" s="65"/>
      <c r="E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  <c r="X797" s="65"/>
    </row>
    <row r="798" spans="1:24" ht="15.75" customHeight="1" x14ac:dyDescent="0.4">
      <c r="A798" s="194"/>
      <c r="B798" s="65"/>
      <c r="C798" s="65"/>
      <c r="D798" s="65"/>
      <c r="E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  <c r="X798" s="65"/>
    </row>
    <row r="799" spans="1:24" ht="15.75" customHeight="1" x14ac:dyDescent="0.4">
      <c r="A799" s="194"/>
      <c r="B799" s="65"/>
      <c r="C799" s="65"/>
      <c r="D799" s="65"/>
      <c r="E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  <c r="X799" s="65"/>
    </row>
    <row r="800" spans="1:24" ht="15.75" customHeight="1" x14ac:dyDescent="0.4">
      <c r="A800" s="194"/>
      <c r="B800" s="65"/>
      <c r="C800" s="65"/>
      <c r="D800" s="65"/>
      <c r="E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  <c r="X800" s="65"/>
    </row>
    <row r="801" spans="1:24" ht="15.75" customHeight="1" x14ac:dyDescent="0.4">
      <c r="A801" s="194"/>
      <c r="B801" s="65"/>
      <c r="C801" s="65"/>
      <c r="D801" s="65"/>
      <c r="E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  <c r="X801" s="65"/>
    </row>
    <row r="802" spans="1:24" ht="15.75" customHeight="1" x14ac:dyDescent="0.4">
      <c r="A802" s="194"/>
      <c r="B802" s="65"/>
      <c r="C802" s="65"/>
      <c r="D802" s="65"/>
      <c r="E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  <c r="X802" s="65"/>
    </row>
    <row r="803" spans="1:24" ht="15.75" customHeight="1" x14ac:dyDescent="0.4">
      <c r="A803" s="194"/>
      <c r="B803" s="65"/>
      <c r="C803" s="65"/>
      <c r="D803" s="65"/>
      <c r="E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  <c r="X803" s="65"/>
    </row>
    <row r="804" spans="1:24" ht="15.75" customHeight="1" x14ac:dyDescent="0.4">
      <c r="A804" s="194"/>
      <c r="B804" s="65"/>
      <c r="C804" s="65"/>
      <c r="D804" s="65"/>
      <c r="E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  <c r="X804" s="65"/>
    </row>
    <row r="805" spans="1:24" ht="15.75" customHeight="1" x14ac:dyDescent="0.4">
      <c r="A805" s="194"/>
      <c r="B805" s="65"/>
      <c r="C805" s="65"/>
      <c r="D805" s="65"/>
      <c r="E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  <c r="X805" s="65"/>
    </row>
    <row r="806" spans="1:24" ht="15.75" customHeight="1" x14ac:dyDescent="0.4">
      <c r="A806" s="194"/>
      <c r="B806" s="65"/>
      <c r="C806" s="65"/>
      <c r="D806" s="65"/>
      <c r="E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  <c r="X806" s="65"/>
    </row>
    <row r="807" spans="1:24" ht="15.75" customHeight="1" x14ac:dyDescent="0.4">
      <c r="A807" s="194"/>
      <c r="B807" s="65"/>
      <c r="C807" s="65"/>
      <c r="D807" s="65"/>
      <c r="E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  <c r="X807" s="65"/>
    </row>
    <row r="808" spans="1:24" ht="15.75" customHeight="1" x14ac:dyDescent="0.4">
      <c r="A808" s="194"/>
      <c r="B808" s="65"/>
      <c r="C808" s="65"/>
      <c r="D808" s="65"/>
      <c r="E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  <c r="X808" s="65"/>
    </row>
    <row r="809" spans="1:24" ht="15.75" customHeight="1" x14ac:dyDescent="0.4">
      <c r="A809" s="194"/>
      <c r="B809" s="65"/>
      <c r="C809" s="65"/>
      <c r="D809" s="65"/>
      <c r="E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  <c r="X809" s="65"/>
    </row>
    <row r="810" spans="1:24" ht="15.75" customHeight="1" x14ac:dyDescent="0.4">
      <c r="A810" s="194"/>
      <c r="B810" s="65"/>
      <c r="C810" s="65"/>
      <c r="D810" s="65"/>
      <c r="E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  <c r="X810" s="65"/>
    </row>
    <row r="811" spans="1:24" ht="15.75" customHeight="1" x14ac:dyDescent="0.4">
      <c r="A811" s="194"/>
      <c r="B811" s="65"/>
      <c r="C811" s="65"/>
      <c r="D811" s="65"/>
      <c r="E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  <c r="X811" s="65"/>
    </row>
    <row r="812" spans="1:24" ht="15.75" customHeight="1" x14ac:dyDescent="0.4">
      <c r="A812" s="194"/>
      <c r="B812" s="65"/>
      <c r="C812" s="65"/>
      <c r="D812" s="65"/>
      <c r="E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  <c r="X812" s="65"/>
    </row>
    <row r="813" spans="1:24" ht="15.75" customHeight="1" x14ac:dyDescent="0.4">
      <c r="A813" s="194"/>
      <c r="B813" s="65"/>
      <c r="C813" s="65"/>
      <c r="D813" s="65"/>
      <c r="E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  <c r="X813" s="65"/>
    </row>
    <row r="814" spans="1:24" ht="15.75" customHeight="1" x14ac:dyDescent="0.4">
      <c r="A814" s="194"/>
      <c r="B814" s="65"/>
      <c r="C814" s="65"/>
      <c r="D814" s="65"/>
      <c r="E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  <c r="X814" s="65"/>
    </row>
    <row r="815" spans="1:24" ht="15.75" customHeight="1" x14ac:dyDescent="0.4">
      <c r="A815" s="194"/>
      <c r="B815" s="65"/>
      <c r="C815" s="65"/>
      <c r="D815" s="65"/>
      <c r="E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  <c r="X815" s="65"/>
    </row>
    <row r="816" spans="1:24" ht="15.75" customHeight="1" x14ac:dyDescent="0.4">
      <c r="A816" s="194"/>
      <c r="B816" s="65"/>
      <c r="C816" s="65"/>
      <c r="D816" s="65"/>
      <c r="E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  <c r="X816" s="65"/>
    </row>
    <row r="817" spans="1:24" ht="15.75" customHeight="1" x14ac:dyDescent="0.4">
      <c r="A817" s="194"/>
      <c r="B817" s="65"/>
      <c r="C817" s="65"/>
      <c r="D817" s="65"/>
      <c r="E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  <c r="X817" s="65"/>
    </row>
    <row r="818" spans="1:24" ht="15.75" customHeight="1" x14ac:dyDescent="0.4">
      <c r="A818" s="194"/>
      <c r="B818" s="65"/>
      <c r="C818" s="65"/>
      <c r="D818" s="65"/>
      <c r="E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  <c r="X818" s="65"/>
    </row>
    <row r="819" spans="1:24" ht="15.75" customHeight="1" x14ac:dyDescent="0.4">
      <c r="A819" s="194"/>
      <c r="B819" s="65"/>
      <c r="C819" s="65"/>
      <c r="D819" s="65"/>
      <c r="E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  <c r="X819" s="65"/>
    </row>
    <row r="820" spans="1:24" ht="15.75" customHeight="1" x14ac:dyDescent="0.4">
      <c r="A820" s="194"/>
      <c r="B820" s="65"/>
      <c r="C820" s="65"/>
      <c r="D820" s="65"/>
      <c r="E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  <c r="X820" s="65"/>
    </row>
    <row r="821" spans="1:24" ht="15.75" customHeight="1" x14ac:dyDescent="0.4">
      <c r="A821" s="194"/>
      <c r="B821" s="65"/>
      <c r="C821" s="65"/>
      <c r="D821" s="65"/>
      <c r="E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  <c r="X821" s="65"/>
    </row>
    <row r="822" spans="1:24" ht="15.75" customHeight="1" x14ac:dyDescent="0.4">
      <c r="A822" s="194"/>
      <c r="B822" s="65"/>
      <c r="C822" s="65"/>
      <c r="D822" s="65"/>
      <c r="E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  <c r="X822" s="65"/>
    </row>
    <row r="823" spans="1:24" ht="15.75" customHeight="1" x14ac:dyDescent="0.4">
      <c r="A823" s="194"/>
      <c r="B823" s="65"/>
      <c r="C823" s="65"/>
      <c r="D823" s="65"/>
      <c r="E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  <c r="X823" s="65"/>
    </row>
    <row r="824" spans="1:24" ht="15.75" customHeight="1" x14ac:dyDescent="0.4">
      <c r="A824" s="194"/>
      <c r="B824" s="65"/>
      <c r="C824" s="65"/>
      <c r="D824" s="65"/>
      <c r="E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  <c r="X824" s="65"/>
    </row>
    <row r="825" spans="1:24" ht="15.75" customHeight="1" x14ac:dyDescent="0.4">
      <c r="A825" s="194"/>
      <c r="B825" s="65"/>
      <c r="C825" s="65"/>
      <c r="D825" s="65"/>
      <c r="E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  <c r="X825" s="65"/>
    </row>
    <row r="826" spans="1:24" ht="15.75" customHeight="1" x14ac:dyDescent="0.4">
      <c r="A826" s="194"/>
      <c r="B826" s="65"/>
      <c r="C826" s="65"/>
      <c r="D826" s="65"/>
      <c r="E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  <c r="X826" s="65"/>
    </row>
    <row r="827" spans="1:24" ht="15.75" customHeight="1" x14ac:dyDescent="0.4">
      <c r="A827" s="194"/>
      <c r="B827" s="65"/>
      <c r="C827" s="65"/>
      <c r="D827" s="65"/>
      <c r="E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  <c r="X827" s="65"/>
    </row>
    <row r="828" spans="1:24" ht="15.75" customHeight="1" x14ac:dyDescent="0.4">
      <c r="A828" s="194"/>
      <c r="B828" s="65"/>
      <c r="C828" s="65"/>
      <c r="D828" s="65"/>
      <c r="E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  <c r="X828" s="65"/>
    </row>
    <row r="829" spans="1:24" ht="15.75" customHeight="1" x14ac:dyDescent="0.4">
      <c r="A829" s="194"/>
      <c r="B829" s="65"/>
      <c r="C829" s="65"/>
      <c r="D829" s="65"/>
      <c r="E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  <c r="X829" s="65"/>
    </row>
    <row r="830" spans="1:24" ht="15.75" customHeight="1" x14ac:dyDescent="0.4">
      <c r="A830" s="194"/>
      <c r="B830" s="65"/>
      <c r="C830" s="65"/>
      <c r="D830" s="65"/>
      <c r="E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  <c r="X830" s="65"/>
    </row>
    <row r="831" spans="1:24" ht="15.75" customHeight="1" x14ac:dyDescent="0.4">
      <c r="A831" s="194"/>
      <c r="B831" s="65"/>
      <c r="C831" s="65"/>
      <c r="D831" s="65"/>
      <c r="E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  <c r="X831" s="65"/>
    </row>
    <row r="832" spans="1:24" ht="15.75" customHeight="1" x14ac:dyDescent="0.4">
      <c r="A832" s="194"/>
      <c r="B832" s="65"/>
      <c r="C832" s="65"/>
      <c r="D832" s="65"/>
      <c r="E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  <c r="X832" s="65"/>
    </row>
    <row r="833" spans="1:24" ht="15.75" customHeight="1" x14ac:dyDescent="0.4">
      <c r="A833" s="194"/>
      <c r="B833" s="65"/>
      <c r="C833" s="65"/>
      <c r="D833" s="65"/>
      <c r="E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  <c r="X833" s="65"/>
    </row>
    <row r="834" spans="1:24" ht="15.75" customHeight="1" x14ac:dyDescent="0.4">
      <c r="A834" s="194"/>
      <c r="B834" s="65"/>
      <c r="C834" s="65"/>
      <c r="D834" s="65"/>
      <c r="E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  <c r="X834" s="65"/>
    </row>
    <row r="835" spans="1:24" ht="15.75" customHeight="1" x14ac:dyDescent="0.4">
      <c r="A835" s="194"/>
      <c r="B835" s="65"/>
      <c r="C835" s="65"/>
      <c r="D835" s="65"/>
      <c r="E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  <c r="X835" s="65"/>
    </row>
    <row r="836" spans="1:24" ht="15.75" customHeight="1" x14ac:dyDescent="0.4">
      <c r="A836" s="194"/>
      <c r="B836" s="65"/>
      <c r="C836" s="65"/>
      <c r="D836" s="65"/>
      <c r="E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  <c r="X836" s="65"/>
    </row>
    <row r="837" spans="1:24" ht="15.75" customHeight="1" x14ac:dyDescent="0.4">
      <c r="A837" s="194"/>
      <c r="B837" s="65"/>
      <c r="C837" s="65"/>
      <c r="D837" s="65"/>
      <c r="E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  <c r="X837" s="65"/>
    </row>
    <row r="838" spans="1:24" ht="15.75" customHeight="1" x14ac:dyDescent="0.4">
      <c r="A838" s="194"/>
      <c r="B838" s="65"/>
      <c r="C838" s="65"/>
      <c r="D838" s="65"/>
      <c r="E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  <c r="X838" s="65"/>
    </row>
    <row r="839" spans="1:24" ht="15.75" customHeight="1" x14ac:dyDescent="0.4">
      <c r="A839" s="194"/>
      <c r="B839" s="65"/>
      <c r="C839" s="65"/>
      <c r="D839" s="65"/>
      <c r="E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  <c r="X839" s="65"/>
    </row>
    <row r="840" spans="1:24" ht="15.75" customHeight="1" x14ac:dyDescent="0.4">
      <c r="A840" s="194"/>
      <c r="B840" s="65"/>
      <c r="C840" s="65"/>
      <c r="D840" s="65"/>
      <c r="E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  <c r="X840" s="65"/>
    </row>
    <row r="841" spans="1:24" ht="15.75" customHeight="1" x14ac:dyDescent="0.4">
      <c r="A841" s="194"/>
      <c r="B841" s="65"/>
      <c r="C841" s="65"/>
      <c r="D841" s="65"/>
      <c r="E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  <c r="X841" s="65"/>
    </row>
    <row r="842" spans="1:24" ht="15.75" customHeight="1" x14ac:dyDescent="0.4">
      <c r="A842" s="194"/>
      <c r="B842" s="65"/>
      <c r="C842" s="65"/>
      <c r="D842" s="65"/>
      <c r="E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  <c r="X842" s="65"/>
    </row>
    <row r="843" spans="1:24" ht="15.75" customHeight="1" x14ac:dyDescent="0.4">
      <c r="A843" s="194"/>
      <c r="B843" s="65"/>
      <c r="C843" s="65"/>
      <c r="D843" s="65"/>
      <c r="E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  <c r="X843" s="65"/>
    </row>
    <row r="844" spans="1:24" ht="15.75" customHeight="1" x14ac:dyDescent="0.4">
      <c r="A844" s="194"/>
      <c r="B844" s="65"/>
      <c r="C844" s="65"/>
      <c r="D844" s="65"/>
      <c r="E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  <c r="X844" s="65"/>
    </row>
    <row r="845" spans="1:24" ht="15.75" customHeight="1" x14ac:dyDescent="0.4">
      <c r="A845" s="194"/>
      <c r="B845" s="65"/>
      <c r="C845" s="65"/>
      <c r="D845" s="65"/>
      <c r="E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  <c r="X845" s="65"/>
    </row>
    <row r="846" spans="1:24" ht="15.75" customHeight="1" x14ac:dyDescent="0.4">
      <c r="A846" s="194"/>
      <c r="B846" s="65"/>
      <c r="C846" s="65"/>
      <c r="D846" s="65"/>
      <c r="E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  <c r="X846" s="65"/>
    </row>
    <row r="847" spans="1:24" ht="15.75" customHeight="1" x14ac:dyDescent="0.4">
      <c r="A847" s="194"/>
      <c r="B847" s="65"/>
      <c r="C847" s="65"/>
      <c r="D847" s="65"/>
      <c r="E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  <c r="X847" s="65"/>
    </row>
    <row r="848" spans="1:24" ht="15.75" customHeight="1" x14ac:dyDescent="0.4">
      <c r="A848" s="194"/>
      <c r="B848" s="65"/>
      <c r="C848" s="65"/>
      <c r="D848" s="65"/>
      <c r="E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  <c r="X848" s="65"/>
    </row>
    <row r="849" spans="1:24" ht="15.75" customHeight="1" x14ac:dyDescent="0.4">
      <c r="A849" s="194"/>
      <c r="B849" s="65"/>
      <c r="C849" s="65"/>
      <c r="D849" s="65"/>
      <c r="E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  <c r="X849" s="65"/>
    </row>
    <row r="850" spans="1:24" ht="15.75" customHeight="1" x14ac:dyDescent="0.4">
      <c r="A850" s="194"/>
      <c r="B850" s="65"/>
      <c r="C850" s="65"/>
      <c r="D850" s="65"/>
      <c r="E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  <c r="X850" s="65"/>
    </row>
    <row r="851" spans="1:24" ht="15.75" customHeight="1" x14ac:dyDescent="0.4">
      <c r="A851" s="194"/>
      <c r="B851" s="65"/>
      <c r="C851" s="65"/>
      <c r="D851" s="65"/>
      <c r="E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  <c r="X851" s="65"/>
    </row>
    <row r="852" spans="1:24" ht="15.75" customHeight="1" x14ac:dyDescent="0.4">
      <c r="A852" s="194"/>
      <c r="B852" s="65"/>
      <c r="C852" s="65"/>
      <c r="D852" s="65"/>
      <c r="E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  <c r="X852" s="65"/>
    </row>
    <row r="853" spans="1:24" ht="15.75" customHeight="1" x14ac:dyDescent="0.4">
      <c r="A853" s="194"/>
      <c r="B853" s="65"/>
      <c r="C853" s="65"/>
      <c r="D853" s="65"/>
      <c r="E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  <c r="X853" s="65"/>
    </row>
    <row r="854" spans="1:24" ht="15.75" customHeight="1" x14ac:dyDescent="0.4">
      <c r="A854" s="194"/>
      <c r="B854" s="65"/>
      <c r="C854" s="65"/>
      <c r="D854" s="65"/>
      <c r="E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  <c r="X854" s="65"/>
    </row>
    <row r="855" spans="1:24" ht="15.75" customHeight="1" x14ac:dyDescent="0.4">
      <c r="A855" s="194"/>
      <c r="B855" s="65"/>
      <c r="C855" s="65"/>
      <c r="D855" s="65"/>
      <c r="E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  <c r="X855" s="65"/>
    </row>
    <row r="856" spans="1:24" ht="15.75" customHeight="1" x14ac:dyDescent="0.4">
      <c r="A856" s="194"/>
      <c r="B856" s="65"/>
      <c r="C856" s="65"/>
      <c r="D856" s="65"/>
      <c r="E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  <c r="X856" s="65"/>
    </row>
    <row r="857" spans="1:24" ht="15.75" customHeight="1" x14ac:dyDescent="0.4">
      <c r="A857" s="194"/>
      <c r="B857" s="65"/>
      <c r="C857" s="65"/>
      <c r="D857" s="65"/>
      <c r="E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  <c r="X857" s="65"/>
    </row>
    <row r="858" spans="1:24" ht="15.75" customHeight="1" x14ac:dyDescent="0.4">
      <c r="A858" s="194"/>
      <c r="B858" s="65"/>
      <c r="C858" s="65"/>
      <c r="D858" s="65"/>
      <c r="E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  <c r="X858" s="65"/>
    </row>
    <row r="859" spans="1:24" ht="15.75" customHeight="1" x14ac:dyDescent="0.4">
      <c r="A859" s="194"/>
      <c r="B859" s="65"/>
      <c r="C859" s="65"/>
      <c r="D859" s="65"/>
      <c r="E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  <c r="X859" s="65"/>
    </row>
    <row r="860" spans="1:24" ht="15.75" customHeight="1" x14ac:dyDescent="0.4">
      <c r="A860" s="194"/>
      <c r="B860" s="65"/>
      <c r="C860" s="65"/>
      <c r="D860" s="65"/>
      <c r="E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  <c r="X860" s="65"/>
    </row>
    <row r="861" spans="1:24" ht="15.75" customHeight="1" x14ac:dyDescent="0.4">
      <c r="A861" s="194"/>
      <c r="B861" s="65"/>
      <c r="C861" s="65"/>
      <c r="D861" s="65"/>
      <c r="E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  <c r="X861" s="65"/>
    </row>
    <row r="862" spans="1:24" ht="15.75" customHeight="1" x14ac:dyDescent="0.4">
      <c r="A862" s="194"/>
      <c r="B862" s="65"/>
      <c r="C862" s="65"/>
      <c r="D862" s="65"/>
      <c r="E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  <c r="X862" s="65"/>
    </row>
    <row r="863" spans="1:24" ht="15.75" customHeight="1" x14ac:dyDescent="0.4">
      <c r="A863" s="194"/>
      <c r="B863" s="65"/>
      <c r="C863" s="65"/>
      <c r="D863" s="65"/>
      <c r="E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  <c r="X863" s="65"/>
    </row>
    <row r="864" spans="1:24" ht="15.75" customHeight="1" x14ac:dyDescent="0.4">
      <c r="A864" s="194"/>
      <c r="B864" s="65"/>
      <c r="C864" s="65"/>
      <c r="D864" s="65"/>
      <c r="E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  <c r="X864" s="65"/>
    </row>
    <row r="865" spans="1:24" ht="15.75" customHeight="1" x14ac:dyDescent="0.4">
      <c r="A865" s="194"/>
      <c r="B865" s="65"/>
      <c r="C865" s="65"/>
      <c r="D865" s="65"/>
      <c r="E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  <c r="X865" s="65"/>
    </row>
    <row r="866" spans="1:24" ht="15.75" customHeight="1" x14ac:dyDescent="0.4">
      <c r="A866" s="194"/>
      <c r="B866" s="65"/>
      <c r="C866" s="65"/>
      <c r="D866" s="65"/>
      <c r="E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  <c r="X866" s="65"/>
    </row>
    <row r="867" spans="1:24" ht="15.75" customHeight="1" x14ac:dyDescent="0.4">
      <c r="A867" s="194"/>
      <c r="B867" s="65"/>
      <c r="C867" s="65"/>
      <c r="D867" s="65"/>
      <c r="E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  <c r="X867" s="65"/>
    </row>
    <row r="868" spans="1:24" ht="15.75" customHeight="1" x14ac:dyDescent="0.4">
      <c r="A868" s="194"/>
      <c r="B868" s="65"/>
      <c r="C868" s="65"/>
      <c r="D868" s="65"/>
      <c r="E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  <c r="X868" s="65"/>
    </row>
    <row r="869" spans="1:24" ht="15.75" customHeight="1" x14ac:dyDescent="0.4">
      <c r="A869" s="194"/>
      <c r="B869" s="65"/>
      <c r="C869" s="65"/>
      <c r="D869" s="65"/>
      <c r="E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  <c r="X869" s="65"/>
    </row>
    <row r="870" spans="1:24" ht="15.75" customHeight="1" x14ac:dyDescent="0.4">
      <c r="A870" s="194"/>
      <c r="B870" s="65"/>
      <c r="C870" s="65"/>
      <c r="D870" s="65"/>
      <c r="E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  <c r="X870" s="65"/>
    </row>
    <row r="871" spans="1:24" ht="15.75" customHeight="1" x14ac:dyDescent="0.4">
      <c r="A871" s="194"/>
      <c r="B871" s="65"/>
      <c r="C871" s="65"/>
      <c r="D871" s="65"/>
      <c r="E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  <c r="X871" s="65"/>
    </row>
    <row r="872" spans="1:24" ht="15.75" customHeight="1" x14ac:dyDescent="0.4">
      <c r="A872" s="194"/>
      <c r="B872" s="65"/>
      <c r="C872" s="65"/>
      <c r="D872" s="65"/>
      <c r="E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  <c r="X872" s="65"/>
    </row>
    <row r="873" spans="1:24" ht="15.75" customHeight="1" x14ac:dyDescent="0.4">
      <c r="A873" s="194"/>
      <c r="B873" s="65"/>
      <c r="C873" s="65"/>
      <c r="D873" s="65"/>
      <c r="E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  <c r="X873" s="65"/>
    </row>
    <row r="874" spans="1:24" ht="15.75" customHeight="1" x14ac:dyDescent="0.4">
      <c r="A874" s="194"/>
      <c r="B874" s="65"/>
      <c r="C874" s="65"/>
      <c r="D874" s="65"/>
      <c r="E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  <c r="X874" s="65"/>
    </row>
    <row r="875" spans="1:24" ht="15.75" customHeight="1" x14ac:dyDescent="0.4">
      <c r="A875" s="194"/>
      <c r="B875" s="65"/>
      <c r="C875" s="65"/>
      <c r="D875" s="65"/>
      <c r="E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  <c r="X875" s="65"/>
    </row>
    <row r="876" spans="1:24" ht="15.75" customHeight="1" x14ac:dyDescent="0.4">
      <c r="A876" s="194"/>
      <c r="B876" s="65"/>
      <c r="C876" s="65"/>
      <c r="D876" s="65"/>
      <c r="E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  <c r="X876" s="65"/>
    </row>
    <row r="877" spans="1:24" ht="15.75" customHeight="1" x14ac:dyDescent="0.4">
      <c r="A877" s="194"/>
      <c r="B877" s="65"/>
      <c r="C877" s="65"/>
      <c r="D877" s="65"/>
      <c r="E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  <c r="X877" s="65"/>
    </row>
    <row r="878" spans="1:24" ht="15.75" customHeight="1" x14ac:dyDescent="0.4">
      <c r="A878" s="194"/>
      <c r="B878" s="65"/>
      <c r="C878" s="65"/>
      <c r="D878" s="65"/>
      <c r="E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  <c r="X878" s="65"/>
    </row>
    <row r="879" spans="1:24" ht="15.75" customHeight="1" x14ac:dyDescent="0.4">
      <c r="A879" s="194"/>
      <c r="B879" s="65"/>
      <c r="C879" s="65"/>
      <c r="D879" s="65"/>
      <c r="E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  <c r="X879" s="65"/>
    </row>
    <row r="880" spans="1:24" ht="15.75" customHeight="1" x14ac:dyDescent="0.4">
      <c r="A880" s="194"/>
      <c r="B880" s="65"/>
      <c r="C880" s="65"/>
      <c r="D880" s="65"/>
      <c r="E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  <c r="X880" s="65"/>
    </row>
    <row r="881" spans="1:24" ht="15.75" customHeight="1" x14ac:dyDescent="0.4">
      <c r="A881" s="194"/>
      <c r="B881" s="65"/>
      <c r="C881" s="65"/>
      <c r="D881" s="65"/>
      <c r="E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  <c r="X881" s="65"/>
    </row>
    <row r="882" spans="1:24" ht="15.75" customHeight="1" x14ac:dyDescent="0.4">
      <c r="A882" s="194"/>
      <c r="B882" s="65"/>
      <c r="C882" s="65"/>
      <c r="D882" s="65"/>
      <c r="E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  <c r="X882" s="65"/>
    </row>
    <row r="883" spans="1:24" ht="15.75" customHeight="1" x14ac:dyDescent="0.4">
      <c r="A883" s="194"/>
      <c r="B883" s="65"/>
      <c r="C883" s="65"/>
      <c r="D883" s="65"/>
      <c r="E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  <c r="X883" s="65"/>
    </row>
    <row r="884" spans="1:24" ht="15.75" customHeight="1" x14ac:dyDescent="0.4">
      <c r="A884" s="194"/>
      <c r="B884" s="65"/>
      <c r="C884" s="65"/>
      <c r="D884" s="65"/>
      <c r="E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  <c r="X884" s="65"/>
    </row>
    <row r="885" spans="1:24" ht="15.75" customHeight="1" x14ac:dyDescent="0.4">
      <c r="A885" s="194"/>
      <c r="B885" s="65"/>
      <c r="C885" s="65"/>
      <c r="D885" s="65"/>
      <c r="E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  <c r="X885" s="65"/>
    </row>
    <row r="886" spans="1:24" ht="15.75" customHeight="1" x14ac:dyDescent="0.4">
      <c r="A886" s="194"/>
      <c r="B886" s="65"/>
      <c r="C886" s="65"/>
      <c r="D886" s="65"/>
      <c r="E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  <c r="X886" s="65"/>
    </row>
    <row r="887" spans="1:24" ht="15.75" customHeight="1" x14ac:dyDescent="0.4">
      <c r="A887" s="194"/>
      <c r="B887" s="65"/>
      <c r="C887" s="65"/>
      <c r="D887" s="65"/>
      <c r="E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  <c r="X887" s="65"/>
    </row>
    <row r="888" spans="1:24" ht="15.75" customHeight="1" x14ac:dyDescent="0.4">
      <c r="A888" s="194"/>
      <c r="B888" s="65"/>
      <c r="C888" s="65"/>
      <c r="D888" s="65"/>
      <c r="E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  <c r="X888" s="65"/>
    </row>
    <row r="889" spans="1:24" ht="15.75" customHeight="1" x14ac:dyDescent="0.4">
      <c r="A889" s="194"/>
      <c r="B889" s="65"/>
      <c r="C889" s="65"/>
      <c r="D889" s="65"/>
      <c r="E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  <c r="X889" s="65"/>
    </row>
    <row r="890" spans="1:24" ht="15.75" customHeight="1" x14ac:dyDescent="0.4">
      <c r="A890" s="194"/>
      <c r="B890" s="65"/>
      <c r="C890" s="65"/>
      <c r="D890" s="65"/>
      <c r="E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  <c r="X890" s="65"/>
    </row>
    <row r="891" spans="1:24" ht="15.75" customHeight="1" x14ac:dyDescent="0.4">
      <c r="A891" s="194"/>
      <c r="B891" s="65"/>
      <c r="C891" s="65"/>
      <c r="D891" s="65"/>
      <c r="E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  <c r="X891" s="65"/>
    </row>
    <row r="892" spans="1:24" ht="15.75" customHeight="1" x14ac:dyDescent="0.4">
      <c r="A892" s="194"/>
      <c r="B892" s="65"/>
      <c r="C892" s="65"/>
      <c r="D892" s="65"/>
      <c r="E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  <c r="X892" s="65"/>
    </row>
    <row r="893" spans="1:24" ht="15.75" customHeight="1" x14ac:dyDescent="0.4">
      <c r="A893" s="194"/>
      <c r="B893" s="65"/>
      <c r="C893" s="65"/>
      <c r="D893" s="65"/>
      <c r="E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  <c r="X893" s="65"/>
    </row>
    <row r="894" spans="1:24" ht="15.75" customHeight="1" x14ac:dyDescent="0.4">
      <c r="A894" s="194"/>
      <c r="B894" s="65"/>
      <c r="C894" s="65"/>
      <c r="D894" s="65"/>
      <c r="E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  <c r="X894" s="65"/>
    </row>
    <row r="895" spans="1:24" ht="15.75" customHeight="1" x14ac:dyDescent="0.4">
      <c r="A895" s="194"/>
      <c r="B895" s="65"/>
      <c r="C895" s="65"/>
      <c r="D895" s="65"/>
      <c r="E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  <c r="X895" s="65"/>
    </row>
    <row r="896" spans="1:24" ht="15.75" customHeight="1" x14ac:dyDescent="0.4">
      <c r="A896" s="194"/>
      <c r="B896" s="65"/>
      <c r="C896" s="65"/>
      <c r="D896" s="65"/>
      <c r="E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  <c r="X896" s="65"/>
    </row>
    <row r="897" spans="1:24" ht="15.75" customHeight="1" x14ac:dyDescent="0.4">
      <c r="A897" s="194"/>
      <c r="B897" s="65"/>
      <c r="C897" s="65"/>
      <c r="D897" s="65"/>
      <c r="E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  <c r="X897" s="65"/>
    </row>
    <row r="898" spans="1:24" ht="15.75" customHeight="1" x14ac:dyDescent="0.4">
      <c r="A898" s="194"/>
      <c r="B898" s="65"/>
      <c r="C898" s="65"/>
      <c r="D898" s="65"/>
      <c r="E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  <c r="X898" s="65"/>
    </row>
    <row r="899" spans="1:24" ht="15.75" customHeight="1" x14ac:dyDescent="0.4">
      <c r="A899" s="194"/>
      <c r="B899" s="65"/>
      <c r="C899" s="65"/>
      <c r="D899" s="65"/>
      <c r="E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  <c r="X899" s="65"/>
    </row>
    <row r="900" spans="1:24" ht="15.75" customHeight="1" x14ac:dyDescent="0.4">
      <c r="A900" s="194"/>
      <c r="B900" s="65"/>
      <c r="C900" s="65"/>
      <c r="D900" s="65"/>
      <c r="E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  <c r="X900" s="65"/>
    </row>
    <row r="901" spans="1:24" ht="15.75" customHeight="1" x14ac:dyDescent="0.4">
      <c r="A901" s="194"/>
      <c r="B901" s="65"/>
      <c r="C901" s="65"/>
      <c r="D901" s="65"/>
      <c r="E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  <c r="X901" s="65"/>
    </row>
    <row r="902" spans="1:24" ht="15.75" customHeight="1" x14ac:dyDescent="0.4">
      <c r="A902" s="194"/>
      <c r="B902" s="65"/>
      <c r="C902" s="65"/>
      <c r="D902" s="65"/>
      <c r="E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  <c r="X902" s="65"/>
    </row>
    <row r="903" spans="1:24" ht="15.75" customHeight="1" x14ac:dyDescent="0.4">
      <c r="A903" s="194"/>
      <c r="B903" s="65"/>
      <c r="C903" s="65"/>
      <c r="D903" s="65"/>
      <c r="E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  <c r="X903" s="65"/>
    </row>
    <row r="904" spans="1:24" ht="15.75" customHeight="1" x14ac:dyDescent="0.4">
      <c r="A904" s="194"/>
      <c r="B904" s="65"/>
      <c r="C904" s="65"/>
      <c r="D904" s="65"/>
      <c r="E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  <c r="X904" s="65"/>
    </row>
    <row r="905" spans="1:24" ht="15.75" customHeight="1" x14ac:dyDescent="0.4">
      <c r="A905" s="194"/>
      <c r="B905" s="65"/>
      <c r="C905" s="65"/>
      <c r="D905" s="65"/>
      <c r="E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  <c r="X905" s="65"/>
    </row>
    <row r="906" spans="1:24" ht="15.75" customHeight="1" x14ac:dyDescent="0.4">
      <c r="A906" s="194"/>
      <c r="B906" s="65"/>
      <c r="C906" s="65"/>
      <c r="D906" s="65"/>
      <c r="E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  <c r="X906" s="65"/>
    </row>
    <row r="907" spans="1:24" ht="15.75" customHeight="1" x14ac:dyDescent="0.4">
      <c r="A907" s="194"/>
      <c r="B907" s="65"/>
      <c r="C907" s="65"/>
      <c r="D907" s="65"/>
      <c r="E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  <c r="X907" s="65"/>
    </row>
    <row r="908" spans="1:24" ht="15.75" customHeight="1" x14ac:dyDescent="0.4">
      <c r="A908" s="194"/>
      <c r="B908" s="65"/>
      <c r="C908" s="65"/>
      <c r="D908" s="65"/>
      <c r="E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  <c r="X908" s="65"/>
    </row>
    <row r="909" spans="1:24" ht="15.75" customHeight="1" x14ac:dyDescent="0.4">
      <c r="A909" s="194"/>
      <c r="B909" s="65"/>
      <c r="C909" s="65"/>
      <c r="D909" s="65"/>
      <c r="E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  <c r="X909" s="65"/>
    </row>
    <row r="910" spans="1:24" ht="15.75" customHeight="1" x14ac:dyDescent="0.4">
      <c r="A910" s="194"/>
      <c r="B910" s="65"/>
      <c r="C910" s="65"/>
      <c r="D910" s="65"/>
      <c r="E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  <c r="X910" s="65"/>
    </row>
    <row r="911" spans="1:24" ht="15.75" customHeight="1" x14ac:dyDescent="0.4">
      <c r="A911" s="194"/>
      <c r="B911" s="65"/>
      <c r="C911" s="65"/>
      <c r="D911" s="65"/>
      <c r="E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  <c r="X911" s="65"/>
    </row>
    <row r="912" spans="1:24" ht="15.75" customHeight="1" x14ac:dyDescent="0.4">
      <c r="A912" s="194"/>
      <c r="B912" s="65"/>
      <c r="C912" s="65"/>
      <c r="D912" s="65"/>
      <c r="E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  <c r="X912" s="65"/>
    </row>
    <row r="913" spans="1:24" ht="15.75" customHeight="1" x14ac:dyDescent="0.4">
      <c r="A913" s="194"/>
      <c r="B913" s="65"/>
      <c r="C913" s="65"/>
      <c r="D913" s="65"/>
      <c r="E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  <c r="X913" s="65"/>
    </row>
    <row r="914" spans="1:24" ht="15.75" customHeight="1" x14ac:dyDescent="0.4">
      <c r="A914" s="194"/>
      <c r="B914" s="65"/>
      <c r="C914" s="65"/>
      <c r="D914" s="65"/>
      <c r="E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  <c r="X914" s="65"/>
    </row>
    <row r="915" spans="1:24" ht="15.75" customHeight="1" x14ac:dyDescent="0.4">
      <c r="A915" s="194"/>
      <c r="B915" s="65"/>
      <c r="C915" s="65"/>
      <c r="D915" s="65"/>
      <c r="E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  <c r="X915" s="65"/>
    </row>
    <row r="916" spans="1:24" ht="15.75" customHeight="1" x14ac:dyDescent="0.4">
      <c r="A916" s="194"/>
      <c r="B916" s="65"/>
      <c r="C916" s="65"/>
      <c r="D916" s="65"/>
      <c r="E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  <c r="X916" s="65"/>
    </row>
    <row r="917" spans="1:24" ht="15.75" customHeight="1" x14ac:dyDescent="0.4">
      <c r="A917" s="194"/>
      <c r="B917" s="65"/>
      <c r="C917" s="65"/>
      <c r="D917" s="65"/>
      <c r="E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  <c r="X917" s="65"/>
    </row>
    <row r="918" spans="1:24" ht="15.75" customHeight="1" x14ac:dyDescent="0.4">
      <c r="A918" s="194"/>
      <c r="B918" s="65"/>
      <c r="C918" s="65"/>
      <c r="D918" s="65"/>
      <c r="E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  <c r="X918" s="65"/>
    </row>
    <row r="919" spans="1:24" ht="15.75" customHeight="1" x14ac:dyDescent="0.4">
      <c r="A919" s="194"/>
      <c r="B919" s="65"/>
      <c r="C919" s="65"/>
      <c r="D919" s="65"/>
      <c r="E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  <c r="X919" s="65"/>
    </row>
    <row r="920" spans="1:24" ht="15.75" customHeight="1" x14ac:dyDescent="0.4">
      <c r="A920" s="194"/>
      <c r="B920" s="65"/>
      <c r="C920" s="65"/>
      <c r="D920" s="65"/>
      <c r="E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  <c r="X920" s="65"/>
    </row>
    <row r="921" spans="1:24" ht="15.75" customHeight="1" x14ac:dyDescent="0.4">
      <c r="A921" s="194"/>
      <c r="B921" s="65"/>
      <c r="C921" s="65"/>
      <c r="D921" s="65"/>
      <c r="E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  <c r="X921" s="65"/>
    </row>
    <row r="922" spans="1:24" ht="15.75" customHeight="1" x14ac:dyDescent="0.4">
      <c r="A922" s="194"/>
      <c r="B922" s="65"/>
      <c r="C922" s="65"/>
      <c r="D922" s="65"/>
      <c r="E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  <c r="X922" s="65"/>
    </row>
    <row r="923" spans="1:24" ht="15.75" customHeight="1" x14ac:dyDescent="0.4">
      <c r="A923" s="194"/>
      <c r="B923" s="65"/>
      <c r="C923" s="65"/>
      <c r="D923" s="65"/>
      <c r="E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  <c r="X923" s="65"/>
    </row>
    <row r="924" spans="1:24" ht="15.75" customHeight="1" x14ac:dyDescent="0.4">
      <c r="A924" s="194"/>
      <c r="B924" s="65"/>
      <c r="C924" s="65"/>
      <c r="D924" s="65"/>
      <c r="E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  <c r="X924" s="65"/>
    </row>
    <row r="925" spans="1:24" ht="15.75" customHeight="1" x14ac:dyDescent="0.4">
      <c r="A925" s="194"/>
      <c r="B925" s="65"/>
      <c r="C925" s="65"/>
      <c r="D925" s="65"/>
      <c r="E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  <c r="X925" s="65"/>
    </row>
    <row r="926" spans="1:24" ht="15.75" customHeight="1" x14ac:dyDescent="0.4">
      <c r="A926" s="194"/>
      <c r="B926" s="65"/>
      <c r="C926" s="65"/>
      <c r="D926" s="65"/>
      <c r="E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  <c r="X926" s="65"/>
    </row>
    <row r="927" spans="1:24" ht="15.75" customHeight="1" x14ac:dyDescent="0.4">
      <c r="A927" s="194"/>
      <c r="B927" s="65"/>
      <c r="C927" s="65"/>
      <c r="D927" s="65"/>
      <c r="E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  <c r="X927" s="65"/>
    </row>
    <row r="928" spans="1:24" ht="15.75" customHeight="1" x14ac:dyDescent="0.4">
      <c r="A928" s="194"/>
      <c r="B928" s="65"/>
      <c r="C928" s="65"/>
      <c r="D928" s="65"/>
      <c r="E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  <c r="X928" s="65"/>
    </row>
    <row r="929" spans="1:24" ht="15.75" customHeight="1" x14ac:dyDescent="0.4">
      <c r="A929" s="194"/>
      <c r="B929" s="65"/>
      <c r="C929" s="65"/>
      <c r="D929" s="65"/>
      <c r="E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  <c r="X929" s="65"/>
    </row>
    <row r="930" spans="1:24" ht="15.75" customHeight="1" x14ac:dyDescent="0.4">
      <c r="A930" s="194"/>
      <c r="B930" s="65"/>
      <c r="C930" s="65"/>
      <c r="D930" s="65"/>
      <c r="E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  <c r="X930" s="65"/>
    </row>
    <row r="931" spans="1:24" ht="15.75" customHeight="1" x14ac:dyDescent="0.4">
      <c r="A931" s="194"/>
      <c r="B931" s="65"/>
      <c r="C931" s="65"/>
      <c r="D931" s="65"/>
      <c r="E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  <c r="X931" s="65"/>
    </row>
    <row r="932" spans="1:24" ht="15.75" customHeight="1" x14ac:dyDescent="0.4">
      <c r="A932" s="194"/>
      <c r="B932" s="65"/>
      <c r="C932" s="65"/>
      <c r="D932" s="65"/>
      <c r="E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  <c r="X932" s="65"/>
    </row>
    <row r="933" spans="1:24" ht="15.75" customHeight="1" x14ac:dyDescent="0.4">
      <c r="A933" s="194"/>
      <c r="B933" s="65"/>
      <c r="C933" s="65"/>
      <c r="D933" s="65"/>
      <c r="E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  <c r="X933" s="65"/>
    </row>
    <row r="934" spans="1:24" ht="15.75" customHeight="1" x14ac:dyDescent="0.4">
      <c r="A934" s="194"/>
      <c r="B934" s="65"/>
      <c r="C934" s="65"/>
      <c r="D934" s="65"/>
      <c r="E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  <c r="X934" s="65"/>
    </row>
    <row r="935" spans="1:24" ht="15.75" customHeight="1" x14ac:dyDescent="0.4">
      <c r="A935" s="194"/>
      <c r="B935" s="65"/>
      <c r="C935" s="65"/>
      <c r="D935" s="65"/>
      <c r="E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  <c r="X935" s="65"/>
    </row>
    <row r="936" spans="1:24" ht="15.75" customHeight="1" x14ac:dyDescent="0.4">
      <c r="A936" s="194"/>
      <c r="B936" s="65"/>
      <c r="C936" s="65"/>
      <c r="D936" s="65"/>
      <c r="E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  <c r="X936" s="65"/>
    </row>
    <row r="937" spans="1:24" ht="15.75" customHeight="1" x14ac:dyDescent="0.4">
      <c r="A937" s="194"/>
      <c r="B937" s="65"/>
      <c r="C937" s="65"/>
      <c r="D937" s="65"/>
      <c r="E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  <c r="X937" s="65"/>
    </row>
    <row r="938" spans="1:24" ht="15.75" customHeight="1" x14ac:dyDescent="0.4">
      <c r="A938" s="194"/>
      <c r="B938" s="65"/>
      <c r="C938" s="65"/>
      <c r="D938" s="65"/>
      <c r="E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  <c r="X938" s="65"/>
    </row>
    <row r="939" spans="1:24" ht="15.75" customHeight="1" x14ac:dyDescent="0.4">
      <c r="A939" s="194"/>
      <c r="B939" s="65"/>
      <c r="C939" s="65"/>
      <c r="D939" s="65"/>
      <c r="E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  <c r="X939" s="65"/>
    </row>
    <row r="940" spans="1:24" ht="15.75" customHeight="1" x14ac:dyDescent="0.4">
      <c r="A940" s="194"/>
      <c r="B940" s="65"/>
      <c r="C940" s="65"/>
      <c r="D940" s="65"/>
      <c r="E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  <c r="X940" s="65"/>
    </row>
    <row r="941" spans="1:24" ht="15.75" customHeight="1" x14ac:dyDescent="0.4">
      <c r="A941" s="194"/>
      <c r="B941" s="65"/>
      <c r="C941" s="65"/>
      <c r="D941" s="65"/>
      <c r="E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  <c r="X941" s="65"/>
    </row>
    <row r="942" spans="1:24" ht="15.75" customHeight="1" x14ac:dyDescent="0.4">
      <c r="A942" s="194"/>
      <c r="B942" s="65"/>
      <c r="C942" s="65"/>
      <c r="D942" s="65"/>
      <c r="E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  <c r="X942" s="65"/>
    </row>
    <row r="943" spans="1:24" ht="15.75" customHeight="1" x14ac:dyDescent="0.4">
      <c r="A943" s="194"/>
      <c r="B943" s="65"/>
      <c r="C943" s="65"/>
      <c r="D943" s="65"/>
      <c r="E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  <c r="X943" s="65"/>
    </row>
    <row r="944" spans="1:24" ht="15.75" customHeight="1" x14ac:dyDescent="0.4">
      <c r="A944" s="194"/>
      <c r="B944" s="65"/>
      <c r="C944" s="65"/>
      <c r="D944" s="65"/>
      <c r="E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  <c r="X944" s="65"/>
    </row>
    <row r="945" spans="1:24" ht="15.75" customHeight="1" x14ac:dyDescent="0.4">
      <c r="A945" s="194"/>
      <c r="B945" s="65"/>
      <c r="C945" s="65"/>
      <c r="D945" s="65"/>
      <c r="E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  <c r="X945" s="65"/>
    </row>
    <row r="946" spans="1:24" ht="15.75" customHeight="1" x14ac:dyDescent="0.4">
      <c r="A946" s="194"/>
      <c r="B946" s="65"/>
      <c r="C946" s="65"/>
      <c r="D946" s="65"/>
      <c r="E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  <c r="X946" s="65"/>
    </row>
    <row r="947" spans="1:24" ht="15.75" customHeight="1" x14ac:dyDescent="0.4">
      <c r="A947" s="194"/>
      <c r="B947" s="65"/>
      <c r="C947" s="65"/>
      <c r="D947" s="65"/>
      <c r="E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  <c r="X947" s="65"/>
    </row>
    <row r="948" spans="1:24" ht="15.75" customHeight="1" x14ac:dyDescent="0.4">
      <c r="A948" s="194"/>
      <c r="B948" s="65"/>
      <c r="C948" s="65"/>
      <c r="D948" s="65"/>
      <c r="E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  <c r="X948" s="65"/>
    </row>
    <row r="949" spans="1:24" ht="15.75" customHeight="1" x14ac:dyDescent="0.4">
      <c r="A949" s="194"/>
      <c r="B949" s="65"/>
      <c r="C949" s="65"/>
      <c r="D949" s="65"/>
      <c r="E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  <c r="X949" s="65"/>
    </row>
    <row r="950" spans="1:24" ht="15.75" customHeight="1" x14ac:dyDescent="0.4">
      <c r="A950" s="194"/>
      <c r="B950" s="65"/>
      <c r="C950" s="65"/>
      <c r="D950" s="65"/>
      <c r="E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  <c r="X950" s="65"/>
    </row>
    <row r="951" spans="1:24" ht="15.75" customHeight="1" x14ac:dyDescent="0.4">
      <c r="A951" s="194"/>
      <c r="B951" s="65"/>
      <c r="C951" s="65"/>
      <c r="D951" s="65"/>
      <c r="E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  <c r="X951" s="65"/>
    </row>
    <row r="952" spans="1:24" ht="15.75" customHeight="1" x14ac:dyDescent="0.4">
      <c r="A952" s="194"/>
      <c r="B952" s="65"/>
      <c r="C952" s="65"/>
      <c r="D952" s="65"/>
      <c r="E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  <c r="X952" s="65"/>
    </row>
    <row r="953" spans="1:24" ht="15.75" customHeight="1" x14ac:dyDescent="0.4">
      <c r="A953" s="194"/>
      <c r="B953" s="65"/>
      <c r="C953" s="65"/>
      <c r="D953" s="65"/>
      <c r="E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  <c r="X953" s="65"/>
    </row>
    <row r="954" spans="1:24" ht="15.75" customHeight="1" x14ac:dyDescent="0.4">
      <c r="A954" s="194"/>
      <c r="B954" s="65"/>
      <c r="C954" s="65"/>
      <c r="D954" s="65"/>
      <c r="E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  <c r="X954" s="65"/>
    </row>
    <row r="955" spans="1:24" ht="15.75" customHeight="1" x14ac:dyDescent="0.4">
      <c r="A955" s="194"/>
      <c r="B955" s="65"/>
      <c r="C955" s="65"/>
      <c r="D955" s="65"/>
      <c r="E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  <c r="X955" s="65"/>
    </row>
    <row r="956" spans="1:24" ht="15.75" customHeight="1" x14ac:dyDescent="0.4">
      <c r="A956" s="194"/>
      <c r="B956" s="65"/>
      <c r="C956" s="65"/>
      <c r="D956" s="65"/>
      <c r="E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  <c r="X956" s="65"/>
    </row>
    <row r="957" spans="1:24" ht="15.75" customHeight="1" x14ac:dyDescent="0.4">
      <c r="A957" s="194"/>
      <c r="B957" s="65"/>
      <c r="C957" s="65"/>
      <c r="D957" s="65"/>
      <c r="E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  <c r="X957" s="65"/>
    </row>
    <row r="958" spans="1:24" ht="15.75" customHeight="1" x14ac:dyDescent="0.4">
      <c r="A958" s="194"/>
      <c r="B958" s="65"/>
      <c r="C958" s="65"/>
      <c r="D958" s="65"/>
      <c r="E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  <c r="X958" s="65"/>
    </row>
    <row r="959" spans="1:24" ht="15.75" customHeight="1" x14ac:dyDescent="0.4">
      <c r="A959" s="194"/>
      <c r="B959" s="65"/>
      <c r="C959" s="65"/>
      <c r="D959" s="65"/>
      <c r="E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  <c r="X959" s="65"/>
    </row>
    <row r="960" spans="1:24" ht="15.75" customHeight="1" x14ac:dyDescent="0.4">
      <c r="A960" s="194"/>
      <c r="B960" s="65"/>
      <c r="C960" s="65"/>
      <c r="D960" s="65"/>
      <c r="E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  <c r="X960" s="65"/>
    </row>
    <row r="961" spans="1:24" ht="15.75" customHeight="1" x14ac:dyDescent="0.4">
      <c r="A961" s="194"/>
      <c r="B961" s="65"/>
      <c r="C961" s="65"/>
      <c r="D961" s="65"/>
      <c r="E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  <c r="X961" s="65"/>
    </row>
    <row r="962" spans="1:24" ht="15.75" customHeight="1" x14ac:dyDescent="0.4">
      <c r="A962" s="194"/>
      <c r="B962" s="65"/>
      <c r="C962" s="65"/>
      <c r="D962" s="65"/>
      <c r="E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  <c r="X962" s="65"/>
    </row>
    <row r="963" spans="1:24" ht="15.75" customHeight="1" x14ac:dyDescent="0.4">
      <c r="A963" s="194"/>
      <c r="B963" s="65"/>
      <c r="C963" s="65"/>
      <c r="D963" s="65"/>
      <c r="E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  <c r="X963" s="65"/>
    </row>
    <row r="964" spans="1:24" ht="15.75" customHeight="1" x14ac:dyDescent="0.4">
      <c r="A964" s="194"/>
      <c r="B964" s="65"/>
      <c r="C964" s="65"/>
      <c r="D964" s="65"/>
      <c r="E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  <c r="X964" s="65"/>
    </row>
    <row r="965" spans="1:24" ht="15.75" customHeight="1" x14ac:dyDescent="0.4">
      <c r="A965" s="194"/>
      <c r="B965" s="65"/>
      <c r="C965" s="65"/>
      <c r="D965" s="65"/>
      <c r="E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  <c r="X965" s="65"/>
    </row>
    <row r="966" spans="1:24" ht="15.75" customHeight="1" x14ac:dyDescent="0.4">
      <c r="A966" s="194"/>
      <c r="B966" s="65"/>
      <c r="C966" s="65"/>
      <c r="D966" s="65"/>
      <c r="E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  <c r="X966" s="65"/>
    </row>
    <row r="967" spans="1:24" ht="15.75" customHeight="1" x14ac:dyDescent="0.4">
      <c r="A967" s="194"/>
      <c r="B967" s="65"/>
      <c r="C967" s="65"/>
      <c r="D967" s="65"/>
      <c r="E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  <c r="X967" s="65"/>
    </row>
    <row r="968" spans="1:24" ht="15.75" customHeight="1" x14ac:dyDescent="0.4">
      <c r="A968" s="194"/>
      <c r="B968" s="65"/>
      <c r="C968" s="65"/>
      <c r="D968" s="65"/>
      <c r="E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  <c r="X968" s="65"/>
    </row>
    <row r="969" spans="1:24" ht="15.75" customHeight="1" x14ac:dyDescent="0.4">
      <c r="A969" s="194"/>
      <c r="B969" s="65"/>
      <c r="C969" s="65"/>
      <c r="D969" s="65"/>
      <c r="E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  <c r="X969" s="65"/>
    </row>
    <row r="970" spans="1:24" ht="15.75" customHeight="1" x14ac:dyDescent="0.4">
      <c r="A970" s="194"/>
      <c r="B970" s="65"/>
      <c r="C970" s="65"/>
      <c r="D970" s="65"/>
      <c r="E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  <c r="X970" s="65"/>
    </row>
    <row r="971" spans="1:24" ht="15.75" customHeight="1" x14ac:dyDescent="0.4">
      <c r="A971" s="194"/>
      <c r="B971" s="65"/>
      <c r="C971" s="65"/>
      <c r="D971" s="65"/>
      <c r="E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  <c r="X971" s="65"/>
    </row>
    <row r="972" spans="1:24" ht="15.75" customHeight="1" x14ac:dyDescent="0.4">
      <c r="A972" s="194"/>
      <c r="B972" s="65"/>
      <c r="C972" s="65"/>
      <c r="D972" s="65"/>
      <c r="E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  <c r="X972" s="65"/>
    </row>
    <row r="973" spans="1:24" ht="15.75" customHeight="1" x14ac:dyDescent="0.4">
      <c r="A973" s="194"/>
      <c r="B973" s="65"/>
      <c r="C973" s="65"/>
      <c r="D973" s="65"/>
      <c r="E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  <c r="X973" s="65"/>
    </row>
    <row r="974" spans="1:24" ht="15.75" customHeight="1" x14ac:dyDescent="0.4">
      <c r="A974" s="194"/>
      <c r="B974" s="65"/>
      <c r="C974" s="65"/>
      <c r="D974" s="65"/>
      <c r="E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  <c r="X974" s="65"/>
    </row>
    <row r="975" spans="1:24" ht="15.75" customHeight="1" x14ac:dyDescent="0.4">
      <c r="A975" s="194"/>
      <c r="B975" s="65"/>
      <c r="C975" s="65"/>
      <c r="D975" s="65"/>
      <c r="E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  <c r="X975" s="65"/>
    </row>
    <row r="976" spans="1:24" ht="15.75" customHeight="1" x14ac:dyDescent="0.4">
      <c r="A976" s="194"/>
      <c r="B976" s="65"/>
      <c r="C976" s="65"/>
      <c r="D976" s="65"/>
      <c r="E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  <c r="X976" s="65"/>
    </row>
    <row r="977" spans="1:24" ht="15.75" customHeight="1" x14ac:dyDescent="0.4">
      <c r="A977" s="194"/>
      <c r="B977" s="65"/>
      <c r="C977" s="65"/>
      <c r="D977" s="65"/>
      <c r="E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  <c r="X977" s="65"/>
    </row>
    <row r="978" spans="1:24" ht="15.75" customHeight="1" x14ac:dyDescent="0.4">
      <c r="A978" s="194"/>
      <c r="B978" s="65"/>
      <c r="C978" s="65"/>
      <c r="D978" s="65"/>
      <c r="E978" s="65"/>
      <c r="L978" s="65"/>
      <c r="M978" s="65"/>
      <c r="N978" s="65"/>
      <c r="O978" s="65"/>
      <c r="P978" s="65"/>
      <c r="Q978" s="65"/>
      <c r="R978" s="65"/>
      <c r="S978" s="65"/>
      <c r="T978" s="65"/>
      <c r="U978" s="65"/>
      <c r="V978" s="65"/>
      <c r="W978" s="65"/>
      <c r="X978" s="65"/>
    </row>
    <row r="979" spans="1:24" ht="15.75" customHeight="1" x14ac:dyDescent="0.4">
      <c r="A979" s="194"/>
      <c r="B979" s="65"/>
      <c r="C979" s="65"/>
      <c r="D979" s="65"/>
      <c r="E979" s="65"/>
      <c r="L979" s="65"/>
      <c r="M979" s="65"/>
      <c r="N979" s="65"/>
      <c r="O979" s="65"/>
      <c r="P979" s="65"/>
      <c r="Q979" s="65"/>
      <c r="R979" s="65"/>
      <c r="S979" s="65"/>
      <c r="T979" s="65"/>
      <c r="U979" s="65"/>
      <c r="V979" s="65"/>
      <c r="W979" s="65"/>
      <c r="X979" s="65"/>
    </row>
    <row r="980" spans="1:24" ht="15.75" customHeight="1" x14ac:dyDescent="0.4">
      <c r="A980" s="194"/>
      <c r="B980" s="65"/>
      <c r="C980" s="65"/>
      <c r="D980" s="65"/>
      <c r="E980" s="65"/>
      <c r="L980" s="65"/>
      <c r="M980" s="65"/>
      <c r="N980" s="65"/>
      <c r="O980" s="65"/>
      <c r="P980" s="65"/>
      <c r="Q980" s="65"/>
      <c r="R980" s="65"/>
      <c r="S980" s="65"/>
      <c r="T980" s="65"/>
      <c r="U980" s="65"/>
      <c r="V980" s="65"/>
      <c r="W980" s="65"/>
      <c r="X980" s="65"/>
    </row>
    <row r="981" spans="1:24" ht="15.75" customHeight="1" x14ac:dyDescent="0.4">
      <c r="A981" s="194"/>
      <c r="B981" s="65"/>
      <c r="C981" s="65"/>
      <c r="D981" s="65"/>
      <c r="E981" s="65"/>
      <c r="L981" s="65"/>
      <c r="M981" s="65"/>
      <c r="N981" s="65"/>
      <c r="O981" s="65"/>
      <c r="P981" s="65"/>
      <c r="Q981" s="65"/>
      <c r="R981" s="65"/>
      <c r="S981" s="65"/>
      <c r="T981" s="65"/>
      <c r="U981" s="65"/>
      <c r="V981" s="65"/>
      <c r="W981" s="65"/>
      <c r="X981" s="65"/>
    </row>
    <row r="982" spans="1:24" ht="15.75" customHeight="1" x14ac:dyDescent="0.4">
      <c r="A982" s="194"/>
      <c r="B982" s="65"/>
      <c r="C982" s="65"/>
      <c r="D982" s="65"/>
      <c r="E982" s="65"/>
      <c r="L982" s="65"/>
      <c r="M982" s="65"/>
      <c r="N982" s="65"/>
      <c r="O982" s="65"/>
      <c r="P982" s="65"/>
      <c r="Q982" s="65"/>
      <c r="R982" s="65"/>
      <c r="S982" s="65"/>
      <c r="T982" s="65"/>
      <c r="U982" s="65"/>
      <c r="V982" s="65"/>
      <c r="W982" s="65"/>
      <c r="X982" s="65"/>
    </row>
    <row r="983" spans="1:24" ht="15.75" customHeight="1" x14ac:dyDescent="0.4">
      <c r="A983" s="194"/>
      <c r="B983" s="65"/>
      <c r="C983" s="65"/>
      <c r="D983" s="65"/>
      <c r="E983" s="65"/>
      <c r="L983" s="65"/>
      <c r="M983" s="65"/>
      <c r="N983" s="65"/>
      <c r="O983" s="65"/>
      <c r="P983" s="65"/>
      <c r="Q983" s="65"/>
      <c r="R983" s="65"/>
      <c r="S983" s="65"/>
      <c r="T983" s="65"/>
      <c r="U983" s="65"/>
      <c r="V983" s="65"/>
      <c r="W983" s="65"/>
      <c r="X983" s="65"/>
    </row>
    <row r="984" spans="1:24" ht="15.75" customHeight="1" x14ac:dyDescent="0.4">
      <c r="A984" s="194"/>
      <c r="B984" s="65"/>
      <c r="C984" s="65"/>
      <c r="D984" s="65"/>
      <c r="E984" s="65"/>
      <c r="L984" s="65"/>
      <c r="M984" s="65"/>
      <c r="N984" s="65"/>
      <c r="O984" s="65"/>
      <c r="P984" s="65"/>
      <c r="Q984" s="65"/>
      <c r="R984" s="65"/>
      <c r="S984" s="65"/>
      <c r="T984" s="65"/>
      <c r="U984" s="65"/>
      <c r="V984" s="65"/>
      <c r="W984" s="65"/>
      <c r="X984" s="65"/>
    </row>
    <row r="985" spans="1:24" ht="15.75" customHeight="1" x14ac:dyDescent="0.4">
      <c r="A985" s="194"/>
      <c r="B985" s="65"/>
      <c r="C985" s="65"/>
      <c r="D985" s="65"/>
      <c r="E985" s="65"/>
      <c r="L985" s="65"/>
      <c r="M985" s="65"/>
      <c r="N985" s="65"/>
      <c r="O985" s="65"/>
      <c r="P985" s="65"/>
      <c r="Q985" s="65"/>
      <c r="R985" s="65"/>
      <c r="S985" s="65"/>
      <c r="T985" s="65"/>
      <c r="U985" s="65"/>
      <c r="V985" s="65"/>
      <c r="W985" s="65"/>
      <c r="X985" s="65"/>
    </row>
    <row r="986" spans="1:24" ht="15.75" customHeight="1" x14ac:dyDescent="0.4">
      <c r="A986" s="194"/>
      <c r="B986" s="65"/>
      <c r="C986" s="65"/>
      <c r="D986" s="65"/>
      <c r="E986" s="65"/>
      <c r="L986" s="65"/>
      <c r="M986" s="65"/>
      <c r="N986" s="65"/>
      <c r="O986" s="65"/>
      <c r="P986" s="65"/>
      <c r="Q986" s="65"/>
      <c r="R986" s="65"/>
      <c r="S986" s="65"/>
      <c r="T986" s="65"/>
      <c r="U986" s="65"/>
      <c r="V986" s="65"/>
      <c r="W986" s="65"/>
      <c r="X986" s="65"/>
    </row>
  </sheetData>
  <dataConsolidate/>
  <mergeCells count="26">
    <mergeCell ref="B77:C77"/>
    <mergeCell ref="B78:C78"/>
    <mergeCell ref="B81:C81"/>
    <mergeCell ref="B82:C82"/>
    <mergeCell ref="B79:C79"/>
    <mergeCell ref="B80:C80"/>
    <mergeCell ref="B72:C72"/>
    <mergeCell ref="B73:C73"/>
    <mergeCell ref="B74:C74"/>
    <mergeCell ref="B75:C75"/>
    <mergeCell ref="B76:C76"/>
    <mergeCell ref="A1:K1"/>
    <mergeCell ref="A85:D85"/>
    <mergeCell ref="A70:D70"/>
    <mergeCell ref="A52:D52"/>
    <mergeCell ref="A53:C53"/>
    <mergeCell ref="A71:C71"/>
    <mergeCell ref="B83:C83"/>
    <mergeCell ref="A2:C2"/>
    <mergeCell ref="B3:C3"/>
    <mergeCell ref="B4:C4"/>
    <mergeCell ref="A84:D84"/>
    <mergeCell ref="B5:C5"/>
    <mergeCell ref="B6:C6"/>
    <mergeCell ref="A7:D7"/>
    <mergeCell ref="A8:C8"/>
  </mergeCells>
  <conditionalFormatting sqref="F3:K6 F9:K69 F72:K83">
    <cfRule type="cellIs" dxfId="0" priority="1" operator="equal">
      <formula>0</formula>
    </cfRule>
  </conditionalFormatting>
  <pageMargins left="0.17" right="0.18" top="0.23" bottom="0.36" header="0.17" footer="0.31496062992125984"/>
  <pageSetup paperSize="9" scale="49" orientation="portrait" horizontalDpi="4294967293" r:id="rId1"/>
  <ignoredErrors>
    <ignoredError sqref="A3:A6 A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CX270"/>
  <sheetViews>
    <sheetView showGridLines="0" topLeftCell="CF1" zoomScaleNormal="100" workbookViewId="0">
      <pane ySplit="6" topLeftCell="A7" activePane="bottomLeft" state="frozen"/>
      <selection activeCell="C37" sqref="C37"/>
      <selection pane="bottomLeft" activeCell="CX1" sqref="CX1:CX1048576"/>
    </sheetView>
  </sheetViews>
  <sheetFormatPr defaultRowHeight="15" x14ac:dyDescent="0.25"/>
  <cols>
    <col min="1" max="1" width="22.7109375" style="50" customWidth="1"/>
    <col min="2" max="2" width="22.7109375" style="19" customWidth="1"/>
    <col min="3" max="3" width="12.7109375" style="22" customWidth="1"/>
    <col min="4" max="7" width="12.7109375" style="174" customWidth="1"/>
    <col min="8" max="10" width="12.7109375" style="45" customWidth="1"/>
    <col min="11" max="12" width="12.7109375" style="107" customWidth="1"/>
    <col min="13" max="20" width="12.7109375" style="45" customWidth="1"/>
    <col min="21" max="21" width="12.7109375" style="35" customWidth="1"/>
    <col min="22" max="22" width="12.7109375" style="72" customWidth="1"/>
    <col min="23" max="23" width="12.7109375" style="35" customWidth="1"/>
    <col min="24" max="24" width="12.7109375" style="72" customWidth="1"/>
    <col min="25" max="25" width="12.7109375" style="35" customWidth="1"/>
    <col min="26" max="26" width="12.7109375" style="72" customWidth="1"/>
    <col min="27" max="27" width="12.7109375" style="35" customWidth="1"/>
    <col min="28" max="28" width="12.7109375" style="72" customWidth="1"/>
    <col min="29" max="29" width="12.7109375" style="35" customWidth="1"/>
    <col min="30" max="30" width="12.7109375" style="72" customWidth="1"/>
    <col min="31" max="31" width="12.7109375" style="35" customWidth="1"/>
    <col min="32" max="32" width="12.7109375" style="72" customWidth="1"/>
    <col min="33" max="33" width="12.7109375" style="35" customWidth="1"/>
    <col min="34" max="34" width="12.7109375" style="72" customWidth="1"/>
    <col min="35" max="35" width="12.7109375" style="35" customWidth="1"/>
    <col min="36" max="36" width="12.7109375" style="72" customWidth="1"/>
    <col min="37" max="37" width="12.7109375" style="35" customWidth="1"/>
    <col min="38" max="38" width="12.7109375" style="72" customWidth="1"/>
    <col min="39" max="39" width="12.7109375" style="35" customWidth="1"/>
    <col min="40" max="40" width="12.7109375" style="72" customWidth="1"/>
    <col min="41" max="41" width="12.7109375" style="35" customWidth="1"/>
    <col min="42" max="42" width="12.7109375" style="72" customWidth="1"/>
    <col min="43" max="43" width="12.7109375" style="35" customWidth="1"/>
    <col min="44" max="44" width="12.7109375" style="204" customWidth="1"/>
    <col min="45" max="45" width="12.7109375" style="107" customWidth="1"/>
    <col min="46" max="46" width="12.7109375" style="204" customWidth="1"/>
    <col min="47" max="47" width="12.7109375" style="170" customWidth="1"/>
    <col min="48" max="48" width="12.7109375" style="107" customWidth="1"/>
    <col min="49" max="49" width="12.7109375" style="72" customWidth="1"/>
    <col min="50" max="50" width="12.7109375" style="35" customWidth="1"/>
    <col min="51" max="51" width="12.7109375" style="72" customWidth="1"/>
    <col min="52" max="52" width="12.7109375" style="35" customWidth="1"/>
    <col min="53" max="53" width="12.7109375" style="63" customWidth="1"/>
    <col min="54" max="54" width="12.7109375" style="214" customWidth="1"/>
    <col min="55" max="55" width="12.7109375" style="35" customWidth="1"/>
    <col min="56" max="56" width="12.7109375" style="63" customWidth="1"/>
    <col min="57" max="57" width="12.7109375" style="107" customWidth="1"/>
    <col min="58" max="58" width="12.7109375" style="56" customWidth="1"/>
    <col min="59" max="59" width="12.7109375" style="35" customWidth="1"/>
    <col min="60" max="60" width="12.7109375" style="69" customWidth="1"/>
    <col min="61" max="61" width="12.7109375" style="107" customWidth="1"/>
    <col min="62" max="62" width="12.7109375" style="69" customWidth="1"/>
    <col min="63" max="63" width="12.7109375" style="35" customWidth="1"/>
    <col min="64" max="64" width="12.7109375" style="45" customWidth="1"/>
    <col min="65" max="65" width="12.7109375" style="56" customWidth="1"/>
    <col min="66" max="66" width="12.7109375" style="35" customWidth="1"/>
    <col min="67" max="67" width="12.7109375" style="56" customWidth="1"/>
    <col min="68" max="68" width="12.7109375" style="26" customWidth="1"/>
    <col min="69" max="69" width="12.7109375" style="63" customWidth="1"/>
    <col min="70" max="70" width="12.7109375" style="222" customWidth="1"/>
    <col min="71" max="71" width="12.7109375" style="40" customWidth="1"/>
    <col min="72" max="72" width="12.7109375" style="45" customWidth="1"/>
    <col min="73" max="73" width="12.7109375" style="40" customWidth="1"/>
    <col min="74" max="74" width="12.7109375" style="35" customWidth="1"/>
    <col min="75" max="75" width="12.7109375" style="72" customWidth="1"/>
    <col min="76" max="76" width="12.7109375" style="186" customWidth="1"/>
    <col min="77" max="77" width="12.7109375" style="107" customWidth="1"/>
    <col min="78" max="78" width="12.7109375" style="277" customWidth="1"/>
    <col min="79" max="79" width="12.7109375" style="40" customWidth="1"/>
    <col min="80" max="80" width="12.7109375" style="35" customWidth="1"/>
    <col min="81" max="81" width="12.7109375" style="72" customWidth="1"/>
    <col min="82" max="82" width="12.7109375" style="40" customWidth="1"/>
    <col min="83" max="84" width="12.7109375" style="45" customWidth="1"/>
    <col min="85" max="85" width="12.7109375" style="40" customWidth="1"/>
    <col min="86" max="86" width="12.7109375" style="26" customWidth="1"/>
    <col min="87" max="87" width="12.7109375" style="45" customWidth="1"/>
    <col min="88" max="88" width="12.7109375" style="26" customWidth="1"/>
    <col min="89" max="89" width="12.7109375" style="107" customWidth="1"/>
    <col min="90" max="90" width="12.7109375" style="103" customWidth="1"/>
    <col min="91" max="92" width="12.7109375" style="98" customWidth="1"/>
    <col min="93" max="93" width="12.7109375" style="26" customWidth="1"/>
    <col min="94" max="94" width="12.7109375" style="280" customWidth="1"/>
    <col min="95" max="95" width="12.7109375" style="277" customWidth="1"/>
    <col min="96" max="102" width="12.7109375" style="98" customWidth="1"/>
    <col min="103" max="16384" width="9.140625" style="21"/>
  </cols>
  <sheetData>
    <row r="1" spans="1:102" s="19" customFormat="1" ht="20.100000000000001" customHeight="1" x14ac:dyDescent="0.25">
      <c r="A1" s="270" t="s">
        <v>15</v>
      </c>
      <c r="B1" s="270"/>
      <c r="C1" s="49" t="s">
        <v>22</v>
      </c>
      <c r="D1" s="171" t="s">
        <v>17</v>
      </c>
      <c r="E1" s="171" t="s">
        <v>17</v>
      </c>
      <c r="F1" s="171" t="s">
        <v>17</v>
      </c>
      <c r="G1" s="171" t="s">
        <v>17</v>
      </c>
      <c r="H1" s="41" t="s">
        <v>16</v>
      </c>
      <c r="I1" s="180" t="s">
        <v>16</v>
      </c>
      <c r="J1" s="41" t="s">
        <v>16</v>
      </c>
      <c r="K1" s="197" t="s">
        <v>16</v>
      </c>
      <c r="L1" s="205" t="s">
        <v>16</v>
      </c>
      <c r="M1" s="41" t="s">
        <v>16</v>
      </c>
      <c r="N1" s="41" t="s">
        <v>16</v>
      </c>
      <c r="O1" s="41" t="s">
        <v>16</v>
      </c>
      <c r="P1" s="41" t="s">
        <v>16</v>
      </c>
      <c r="Q1" s="41" t="s">
        <v>16</v>
      </c>
      <c r="R1" s="207" t="s">
        <v>16</v>
      </c>
      <c r="S1" s="41" t="s">
        <v>16</v>
      </c>
      <c r="T1" s="41" t="s">
        <v>16</v>
      </c>
      <c r="U1" s="31" t="s">
        <v>16</v>
      </c>
      <c r="V1" s="71" t="s">
        <v>17</v>
      </c>
      <c r="W1" s="31" t="s">
        <v>16</v>
      </c>
      <c r="X1" s="71" t="s">
        <v>17</v>
      </c>
      <c r="Y1" s="31" t="s">
        <v>16</v>
      </c>
      <c r="Z1" s="71" t="s">
        <v>17</v>
      </c>
      <c r="AA1" s="31" t="s">
        <v>16</v>
      </c>
      <c r="AB1" s="71" t="s">
        <v>17</v>
      </c>
      <c r="AC1" s="31" t="s">
        <v>16</v>
      </c>
      <c r="AD1" s="71" t="s">
        <v>17</v>
      </c>
      <c r="AE1" s="31" t="s">
        <v>16</v>
      </c>
      <c r="AF1" s="71" t="s">
        <v>17</v>
      </c>
      <c r="AG1" s="31" t="s">
        <v>16</v>
      </c>
      <c r="AH1" s="71" t="s">
        <v>17</v>
      </c>
      <c r="AI1" s="31" t="s">
        <v>16</v>
      </c>
      <c r="AJ1" s="71" t="s">
        <v>17</v>
      </c>
      <c r="AK1" s="31" t="s">
        <v>16</v>
      </c>
      <c r="AL1" s="71" t="s">
        <v>17</v>
      </c>
      <c r="AM1" s="31" t="s">
        <v>16</v>
      </c>
      <c r="AN1" s="71" t="s">
        <v>17</v>
      </c>
      <c r="AO1" s="31" t="s">
        <v>16</v>
      </c>
      <c r="AP1" s="71" t="s">
        <v>17</v>
      </c>
      <c r="AQ1" s="31" t="s">
        <v>16</v>
      </c>
      <c r="AR1" s="209" t="s">
        <v>17</v>
      </c>
      <c r="AS1" s="197" t="s">
        <v>16</v>
      </c>
      <c r="AT1" s="209" t="s">
        <v>17</v>
      </c>
      <c r="AU1" s="165" t="s">
        <v>3</v>
      </c>
      <c r="AV1" s="197" t="s">
        <v>16</v>
      </c>
      <c r="AW1" s="71" t="s">
        <v>17</v>
      </c>
      <c r="AX1" s="31" t="s">
        <v>16</v>
      </c>
      <c r="AY1" s="71" t="s">
        <v>17</v>
      </c>
      <c r="AZ1" s="31" t="s">
        <v>16</v>
      </c>
      <c r="BA1" s="215" t="s">
        <v>6</v>
      </c>
      <c r="BB1" s="216" t="s">
        <v>5</v>
      </c>
      <c r="BC1" s="31" t="s">
        <v>16</v>
      </c>
      <c r="BD1" s="59" t="s">
        <v>6</v>
      </c>
      <c r="BE1" s="197" t="s">
        <v>16</v>
      </c>
      <c r="BF1" s="52" t="s">
        <v>6</v>
      </c>
      <c r="BG1" s="31" t="s">
        <v>16</v>
      </c>
      <c r="BH1" s="70" t="s">
        <v>6</v>
      </c>
      <c r="BI1" s="197" t="s">
        <v>16</v>
      </c>
      <c r="BJ1" s="75" t="s">
        <v>6</v>
      </c>
      <c r="BK1" s="31" t="s">
        <v>16</v>
      </c>
      <c r="BL1" s="41" t="s">
        <v>16</v>
      </c>
      <c r="BM1" s="52" t="s">
        <v>6</v>
      </c>
      <c r="BN1" s="31" t="s">
        <v>16</v>
      </c>
      <c r="BO1" s="52" t="s">
        <v>6</v>
      </c>
      <c r="BP1" s="223" t="s">
        <v>2</v>
      </c>
      <c r="BQ1" s="59" t="s">
        <v>6</v>
      </c>
      <c r="BR1" s="217" t="s">
        <v>6</v>
      </c>
      <c r="BS1" s="36" t="s">
        <v>16</v>
      </c>
      <c r="BT1" s="41" t="s">
        <v>16</v>
      </c>
      <c r="BU1" s="36" t="s">
        <v>16</v>
      </c>
      <c r="BV1" s="31" t="s">
        <v>16</v>
      </c>
      <c r="BW1" s="71" t="s">
        <v>17</v>
      </c>
      <c r="BX1" s="181" t="s">
        <v>2</v>
      </c>
      <c r="BY1" s="197" t="s">
        <v>16</v>
      </c>
      <c r="BZ1" s="273" t="s">
        <v>2</v>
      </c>
      <c r="CA1" s="36" t="s">
        <v>16</v>
      </c>
      <c r="CB1" s="31" t="s">
        <v>16</v>
      </c>
      <c r="CC1" s="71" t="s">
        <v>17</v>
      </c>
      <c r="CD1" s="36" t="s">
        <v>16</v>
      </c>
      <c r="CE1" s="41" t="s">
        <v>16</v>
      </c>
      <c r="CF1" s="41" t="s">
        <v>16</v>
      </c>
      <c r="CG1" s="36" t="s">
        <v>16</v>
      </c>
      <c r="CH1" s="23" t="s">
        <v>2</v>
      </c>
      <c r="CI1" s="46" t="s">
        <v>16</v>
      </c>
      <c r="CJ1" s="23" t="s">
        <v>2</v>
      </c>
      <c r="CK1" s="110" t="s">
        <v>16</v>
      </c>
      <c r="CL1" s="92" t="s">
        <v>28</v>
      </c>
      <c r="CM1" s="93" t="s">
        <v>28</v>
      </c>
      <c r="CN1" s="93" t="s">
        <v>28</v>
      </c>
      <c r="CO1" s="23" t="s">
        <v>2</v>
      </c>
      <c r="CP1" s="278" t="s">
        <v>17</v>
      </c>
      <c r="CQ1" s="273" t="s">
        <v>2</v>
      </c>
      <c r="CR1" s="93" t="s">
        <v>28</v>
      </c>
      <c r="CS1" s="93" t="s">
        <v>28</v>
      </c>
      <c r="CT1" s="93" t="s">
        <v>28</v>
      </c>
      <c r="CU1" s="93" t="s">
        <v>28</v>
      </c>
      <c r="CV1" s="93" t="s">
        <v>28</v>
      </c>
      <c r="CW1" s="93" t="s">
        <v>28</v>
      </c>
      <c r="CX1" s="93" t="s">
        <v>28</v>
      </c>
    </row>
    <row r="2" spans="1:102" s="19" customFormat="1" ht="20.100000000000001" customHeight="1" x14ac:dyDescent="0.25">
      <c r="A2" s="270"/>
      <c r="B2" s="270"/>
      <c r="C2" s="49" t="s">
        <v>23</v>
      </c>
      <c r="D2" s="171" t="s">
        <v>7</v>
      </c>
      <c r="E2" s="171" t="s">
        <v>7</v>
      </c>
      <c r="F2" s="171" t="s">
        <v>7</v>
      </c>
      <c r="G2" s="171" t="s">
        <v>7</v>
      </c>
      <c r="H2" s="41" t="s">
        <v>7</v>
      </c>
      <c r="I2" s="180" t="s">
        <v>7</v>
      </c>
      <c r="J2" s="47" t="s">
        <v>7</v>
      </c>
      <c r="K2" s="197" t="s">
        <v>7</v>
      </c>
      <c r="L2" s="197" t="s">
        <v>7</v>
      </c>
      <c r="M2" s="41" t="s">
        <v>8</v>
      </c>
      <c r="N2" s="41" t="s">
        <v>7</v>
      </c>
      <c r="O2" s="41" t="s">
        <v>7</v>
      </c>
      <c r="P2" s="41" t="s">
        <v>7</v>
      </c>
      <c r="Q2" s="41" t="s">
        <v>7</v>
      </c>
      <c r="R2" s="41" t="s">
        <v>7</v>
      </c>
      <c r="S2" s="41" t="s">
        <v>7</v>
      </c>
      <c r="T2" s="41" t="s">
        <v>7</v>
      </c>
      <c r="U2" s="31" t="s">
        <v>7</v>
      </c>
      <c r="V2" s="71" t="s">
        <v>7</v>
      </c>
      <c r="W2" s="31" t="s">
        <v>7</v>
      </c>
      <c r="X2" s="71" t="s">
        <v>7</v>
      </c>
      <c r="Y2" s="31" t="s">
        <v>7</v>
      </c>
      <c r="Z2" s="71" t="s">
        <v>7</v>
      </c>
      <c r="AA2" s="31" t="s">
        <v>7</v>
      </c>
      <c r="AB2" s="71" t="s">
        <v>7</v>
      </c>
      <c r="AC2" s="31" t="s">
        <v>7</v>
      </c>
      <c r="AD2" s="71" t="s">
        <v>7</v>
      </c>
      <c r="AE2" s="31" t="s">
        <v>7</v>
      </c>
      <c r="AF2" s="71" t="s">
        <v>7</v>
      </c>
      <c r="AG2" s="31" t="s">
        <v>7</v>
      </c>
      <c r="AH2" s="71" t="s">
        <v>7</v>
      </c>
      <c r="AI2" s="31" t="s">
        <v>7</v>
      </c>
      <c r="AJ2" s="71" t="s">
        <v>7</v>
      </c>
      <c r="AK2" s="31" t="s">
        <v>7</v>
      </c>
      <c r="AL2" s="71" t="s">
        <v>7</v>
      </c>
      <c r="AM2" s="31" t="s">
        <v>7</v>
      </c>
      <c r="AN2" s="71" t="s">
        <v>7</v>
      </c>
      <c r="AO2" s="31" t="s">
        <v>7</v>
      </c>
      <c r="AP2" s="71" t="s">
        <v>7</v>
      </c>
      <c r="AQ2" s="31" t="s">
        <v>7</v>
      </c>
      <c r="AR2" s="209" t="s">
        <v>7</v>
      </c>
      <c r="AS2" s="197" t="s">
        <v>7</v>
      </c>
      <c r="AT2" s="199" t="s">
        <v>7</v>
      </c>
      <c r="AU2" s="165" t="s">
        <v>7</v>
      </c>
      <c r="AV2" s="197" t="s">
        <v>7</v>
      </c>
      <c r="AW2" s="71" t="s">
        <v>7</v>
      </c>
      <c r="AX2" s="31" t="s">
        <v>7</v>
      </c>
      <c r="AY2" s="71" t="s">
        <v>7</v>
      </c>
      <c r="AZ2" s="31" t="s">
        <v>7</v>
      </c>
      <c r="BA2" s="59" t="s">
        <v>7</v>
      </c>
      <c r="BB2" s="210" t="s">
        <v>7</v>
      </c>
      <c r="BC2" s="31" t="s">
        <v>7</v>
      </c>
      <c r="BD2" s="59" t="s">
        <v>7</v>
      </c>
      <c r="BE2" s="197" t="s">
        <v>7</v>
      </c>
      <c r="BF2" s="52" t="s">
        <v>7</v>
      </c>
      <c r="BG2" s="31" t="s">
        <v>7</v>
      </c>
      <c r="BH2" s="70" t="s">
        <v>20</v>
      </c>
      <c r="BI2" s="197" t="s">
        <v>7</v>
      </c>
      <c r="BJ2" s="75" t="s">
        <v>20</v>
      </c>
      <c r="BK2" s="31" t="s">
        <v>9</v>
      </c>
      <c r="BL2" s="41" t="s">
        <v>9</v>
      </c>
      <c r="BM2" s="52" t="s">
        <v>9</v>
      </c>
      <c r="BN2" s="31" t="s">
        <v>9</v>
      </c>
      <c r="BO2" s="52" t="s">
        <v>9</v>
      </c>
      <c r="BP2" s="23" t="s">
        <v>9</v>
      </c>
      <c r="BQ2" s="59" t="s">
        <v>9</v>
      </c>
      <c r="BR2" s="217" t="s">
        <v>9</v>
      </c>
      <c r="BS2" s="36" t="s">
        <v>7</v>
      </c>
      <c r="BT2" s="41" t="s">
        <v>7</v>
      </c>
      <c r="BU2" s="36" t="s">
        <v>7</v>
      </c>
      <c r="BV2" s="31" t="s">
        <v>7</v>
      </c>
      <c r="BW2" s="71" t="s">
        <v>7</v>
      </c>
      <c r="BX2" s="181" t="s">
        <v>7</v>
      </c>
      <c r="BY2" s="197" t="s">
        <v>7</v>
      </c>
      <c r="BZ2" s="273" t="s">
        <v>7</v>
      </c>
      <c r="CA2" s="36" t="s">
        <v>7</v>
      </c>
      <c r="CB2" s="31" t="s">
        <v>7</v>
      </c>
      <c r="CC2" s="71" t="s">
        <v>7</v>
      </c>
      <c r="CD2" s="36" t="s">
        <v>7</v>
      </c>
      <c r="CE2" s="41" t="s">
        <v>7</v>
      </c>
      <c r="CF2" s="41" t="s">
        <v>7</v>
      </c>
      <c r="CG2" s="36" t="s">
        <v>7</v>
      </c>
      <c r="CH2" s="23" t="s">
        <v>7</v>
      </c>
      <c r="CI2" s="46" t="s">
        <v>7</v>
      </c>
      <c r="CJ2" s="23" t="s">
        <v>7</v>
      </c>
      <c r="CK2" s="110" t="s">
        <v>7</v>
      </c>
      <c r="CL2" s="92" t="s">
        <v>28</v>
      </c>
      <c r="CM2" s="93" t="s">
        <v>28</v>
      </c>
      <c r="CN2" s="93" t="s">
        <v>28</v>
      </c>
      <c r="CO2" s="23" t="s">
        <v>29</v>
      </c>
      <c r="CP2" s="278" t="s">
        <v>29</v>
      </c>
      <c r="CQ2" s="273" t="s">
        <v>8</v>
      </c>
      <c r="CR2" s="93" t="s">
        <v>28</v>
      </c>
      <c r="CS2" s="93" t="s">
        <v>28</v>
      </c>
      <c r="CT2" s="93" t="s">
        <v>28</v>
      </c>
      <c r="CU2" s="93" t="s">
        <v>28</v>
      </c>
      <c r="CV2" s="93" t="s">
        <v>28</v>
      </c>
      <c r="CW2" s="93" t="s">
        <v>28</v>
      </c>
      <c r="CX2" s="93" t="s">
        <v>28</v>
      </c>
    </row>
    <row r="3" spans="1:102" s="19" customFormat="1" ht="20.100000000000001" customHeight="1" x14ac:dyDescent="0.25">
      <c r="A3" s="270"/>
      <c r="B3" s="270"/>
      <c r="C3" s="49" t="s">
        <v>24</v>
      </c>
      <c r="D3" s="171" t="s">
        <v>18</v>
      </c>
      <c r="E3" s="171" t="s">
        <v>18</v>
      </c>
      <c r="F3" s="171" t="s">
        <v>18</v>
      </c>
      <c r="G3" s="171" t="s">
        <v>18</v>
      </c>
      <c r="H3" s="41" t="s">
        <v>14</v>
      </c>
      <c r="I3" s="180" t="s">
        <v>14</v>
      </c>
      <c r="J3" s="47" t="s">
        <v>14</v>
      </c>
      <c r="K3" s="197" t="s">
        <v>14</v>
      </c>
      <c r="L3" s="197" t="s">
        <v>14</v>
      </c>
      <c r="M3" s="41" t="s">
        <v>21</v>
      </c>
      <c r="N3" s="41" t="s">
        <v>14</v>
      </c>
      <c r="O3" s="41" t="s">
        <v>14</v>
      </c>
      <c r="P3" s="41" t="s">
        <v>14</v>
      </c>
      <c r="Q3" s="41" t="s">
        <v>14</v>
      </c>
      <c r="R3" s="41" t="s">
        <v>14</v>
      </c>
      <c r="S3" s="41" t="s">
        <v>14</v>
      </c>
      <c r="T3" s="41" t="s">
        <v>14</v>
      </c>
      <c r="U3" s="31" t="s">
        <v>14</v>
      </c>
      <c r="V3" s="71" t="s">
        <v>14</v>
      </c>
      <c r="W3" s="31" t="s">
        <v>14</v>
      </c>
      <c r="X3" s="71" t="s">
        <v>14</v>
      </c>
      <c r="Y3" s="31" t="s">
        <v>14</v>
      </c>
      <c r="Z3" s="71" t="s">
        <v>14</v>
      </c>
      <c r="AA3" s="31" t="s">
        <v>14</v>
      </c>
      <c r="AB3" s="71" t="s">
        <v>14</v>
      </c>
      <c r="AC3" s="31" t="s">
        <v>14</v>
      </c>
      <c r="AD3" s="71" t="s">
        <v>14</v>
      </c>
      <c r="AE3" s="31" t="s">
        <v>14</v>
      </c>
      <c r="AF3" s="71" t="s">
        <v>14</v>
      </c>
      <c r="AG3" s="31" t="s">
        <v>14</v>
      </c>
      <c r="AH3" s="71" t="s">
        <v>14</v>
      </c>
      <c r="AI3" s="31" t="s">
        <v>14</v>
      </c>
      <c r="AJ3" s="71" t="s">
        <v>14</v>
      </c>
      <c r="AK3" s="31" t="s">
        <v>14</v>
      </c>
      <c r="AL3" s="71" t="s">
        <v>14</v>
      </c>
      <c r="AM3" s="31" t="s">
        <v>14</v>
      </c>
      <c r="AN3" s="71" t="s">
        <v>14</v>
      </c>
      <c r="AO3" s="31" t="s">
        <v>14</v>
      </c>
      <c r="AP3" s="71" t="s">
        <v>14</v>
      </c>
      <c r="AQ3" s="31" t="s">
        <v>14</v>
      </c>
      <c r="AR3" s="209" t="s">
        <v>14</v>
      </c>
      <c r="AS3" s="197" t="s">
        <v>14</v>
      </c>
      <c r="AT3" s="199" t="s">
        <v>14</v>
      </c>
      <c r="AU3" s="165" t="s">
        <v>14</v>
      </c>
      <c r="AV3" s="197" t="s">
        <v>14</v>
      </c>
      <c r="AW3" s="71" t="s">
        <v>14</v>
      </c>
      <c r="AX3" s="31" t="s">
        <v>14</v>
      </c>
      <c r="AY3" s="71" t="s">
        <v>14</v>
      </c>
      <c r="AZ3" s="31" t="s">
        <v>14</v>
      </c>
      <c r="BA3" s="59" t="s">
        <v>14</v>
      </c>
      <c r="BB3" s="210" t="s">
        <v>14</v>
      </c>
      <c r="BC3" s="31" t="s">
        <v>14</v>
      </c>
      <c r="BD3" s="59" t="s">
        <v>14</v>
      </c>
      <c r="BE3" s="197" t="s">
        <v>14</v>
      </c>
      <c r="BF3" s="52" t="s">
        <v>14</v>
      </c>
      <c r="BG3" s="31" t="s">
        <v>14</v>
      </c>
      <c r="BH3" s="70" t="s">
        <v>14</v>
      </c>
      <c r="BI3" s="197" t="s">
        <v>14</v>
      </c>
      <c r="BJ3" s="75" t="s">
        <v>14</v>
      </c>
      <c r="BK3" s="31" t="s">
        <v>14</v>
      </c>
      <c r="BL3" s="41" t="s">
        <v>14</v>
      </c>
      <c r="BM3" s="52" t="s">
        <v>14</v>
      </c>
      <c r="BN3" s="31" t="s">
        <v>14</v>
      </c>
      <c r="BO3" s="52" t="s">
        <v>14</v>
      </c>
      <c r="BP3" s="23" t="s">
        <v>14</v>
      </c>
      <c r="BQ3" s="59" t="s">
        <v>14</v>
      </c>
      <c r="BR3" s="217" t="s">
        <v>14</v>
      </c>
      <c r="BS3" s="36" t="s">
        <v>12</v>
      </c>
      <c r="BT3" s="41" t="s">
        <v>12</v>
      </c>
      <c r="BU3" s="36" t="s">
        <v>12</v>
      </c>
      <c r="BV3" s="31" t="s">
        <v>12</v>
      </c>
      <c r="BW3" s="71" t="s">
        <v>12</v>
      </c>
      <c r="BX3" s="181" t="s">
        <v>12</v>
      </c>
      <c r="BY3" s="197" t="s">
        <v>12</v>
      </c>
      <c r="BZ3" s="273" t="s">
        <v>12</v>
      </c>
      <c r="CA3" s="36" t="s">
        <v>12</v>
      </c>
      <c r="CB3" s="31" t="s">
        <v>12</v>
      </c>
      <c r="CC3" s="71" t="s">
        <v>12</v>
      </c>
      <c r="CD3" s="36" t="s">
        <v>12</v>
      </c>
      <c r="CE3" s="41" t="s">
        <v>12</v>
      </c>
      <c r="CF3" s="41" t="s">
        <v>12</v>
      </c>
      <c r="CG3" s="36" t="s">
        <v>12</v>
      </c>
      <c r="CH3" s="23" t="s">
        <v>12</v>
      </c>
      <c r="CI3" s="46" t="s">
        <v>19</v>
      </c>
      <c r="CJ3" s="23" t="s">
        <v>12</v>
      </c>
      <c r="CK3" s="110" t="s">
        <v>12</v>
      </c>
      <c r="CL3" s="92" t="s">
        <v>10</v>
      </c>
      <c r="CM3" s="93" t="s">
        <v>10</v>
      </c>
      <c r="CN3" s="93" t="s">
        <v>10</v>
      </c>
      <c r="CO3" s="23" t="s">
        <v>10</v>
      </c>
      <c r="CP3" s="278" t="s">
        <v>10</v>
      </c>
      <c r="CQ3" s="273" t="s">
        <v>10</v>
      </c>
      <c r="CR3" s="93" t="s">
        <v>10</v>
      </c>
      <c r="CS3" s="93" t="s">
        <v>10</v>
      </c>
      <c r="CT3" s="93" t="s">
        <v>10</v>
      </c>
      <c r="CU3" s="93" t="s">
        <v>10</v>
      </c>
      <c r="CV3" s="93" t="s">
        <v>10</v>
      </c>
      <c r="CW3" s="93" t="s">
        <v>10</v>
      </c>
      <c r="CX3" s="93" t="s">
        <v>10</v>
      </c>
    </row>
    <row r="4" spans="1:102" s="20" customFormat="1" ht="30" customHeight="1" x14ac:dyDescent="0.25">
      <c r="A4" s="270"/>
      <c r="B4" s="270"/>
      <c r="C4" s="49" t="s">
        <v>25</v>
      </c>
      <c r="D4" s="172">
        <v>0.4</v>
      </c>
      <c r="E4" s="172">
        <v>0.5</v>
      </c>
      <c r="F4" s="172">
        <v>0.6</v>
      </c>
      <c r="G4" s="172">
        <v>2.6</v>
      </c>
      <c r="H4" s="42">
        <v>0.1</v>
      </c>
      <c r="I4" s="42">
        <v>0.15</v>
      </c>
      <c r="J4" s="42">
        <v>0.16</v>
      </c>
      <c r="K4" s="104">
        <v>0.2</v>
      </c>
      <c r="L4" s="104">
        <v>0.25</v>
      </c>
      <c r="M4" s="42">
        <v>0.28000000000000003</v>
      </c>
      <c r="N4" s="42">
        <v>0.3</v>
      </c>
      <c r="O4" s="42">
        <v>0.35</v>
      </c>
      <c r="P4" s="42">
        <v>0.4</v>
      </c>
      <c r="Q4" s="42">
        <v>0.45</v>
      </c>
      <c r="R4" s="206">
        <v>0.47499999999999998</v>
      </c>
      <c r="S4" s="42">
        <v>0.5</v>
      </c>
      <c r="T4" s="42">
        <v>0.55000000000000004</v>
      </c>
      <c r="U4" s="32">
        <v>0.6</v>
      </c>
      <c r="V4" s="57">
        <v>0.6</v>
      </c>
      <c r="W4" s="32">
        <v>0.65</v>
      </c>
      <c r="X4" s="57">
        <v>0.65</v>
      </c>
      <c r="Y4" s="32">
        <v>0.7</v>
      </c>
      <c r="Z4" s="57">
        <v>0.7</v>
      </c>
      <c r="AA4" s="32">
        <v>0.75</v>
      </c>
      <c r="AB4" s="57">
        <v>0.75</v>
      </c>
      <c r="AC4" s="32">
        <v>0.8</v>
      </c>
      <c r="AD4" s="57">
        <v>0.8</v>
      </c>
      <c r="AE4" s="32">
        <v>0.85</v>
      </c>
      <c r="AF4" s="57">
        <v>0.85</v>
      </c>
      <c r="AG4" s="32">
        <v>0.9</v>
      </c>
      <c r="AH4" s="57">
        <v>0.9</v>
      </c>
      <c r="AI4" s="32">
        <v>0.95</v>
      </c>
      <c r="AJ4" s="57">
        <v>0.95</v>
      </c>
      <c r="AK4" s="32">
        <v>1</v>
      </c>
      <c r="AL4" s="57">
        <v>1</v>
      </c>
      <c r="AM4" s="32">
        <v>1.05</v>
      </c>
      <c r="AN4" s="57">
        <v>1.05</v>
      </c>
      <c r="AO4" s="32">
        <v>1.1000000000000001</v>
      </c>
      <c r="AP4" s="57">
        <v>1.1000000000000001</v>
      </c>
      <c r="AQ4" s="32">
        <v>1.1499999999999999</v>
      </c>
      <c r="AR4" s="200">
        <v>1.1499999999999999</v>
      </c>
      <c r="AS4" s="104">
        <v>1.2</v>
      </c>
      <c r="AT4" s="200">
        <v>1.2</v>
      </c>
      <c r="AU4" s="166">
        <v>1.2</v>
      </c>
      <c r="AV4" s="104">
        <v>1.25</v>
      </c>
      <c r="AW4" s="57">
        <v>1.25</v>
      </c>
      <c r="AX4" s="32">
        <v>1.3</v>
      </c>
      <c r="AY4" s="57">
        <v>1.3</v>
      </c>
      <c r="AZ4" s="32">
        <v>1.35</v>
      </c>
      <c r="BA4" s="60">
        <v>1.35</v>
      </c>
      <c r="BB4" s="211">
        <v>1.35</v>
      </c>
      <c r="BC4" s="32">
        <v>1.4</v>
      </c>
      <c r="BD4" s="60">
        <v>1.4</v>
      </c>
      <c r="BE4" s="104">
        <v>1.45</v>
      </c>
      <c r="BF4" s="53">
        <v>1.45</v>
      </c>
      <c r="BG4" s="32">
        <v>1.5</v>
      </c>
      <c r="BH4" s="67">
        <v>1.55</v>
      </c>
      <c r="BI4" s="104">
        <v>1.6</v>
      </c>
      <c r="BJ4" s="67">
        <v>1.85</v>
      </c>
      <c r="BK4" s="32">
        <v>1.9</v>
      </c>
      <c r="BL4" s="42">
        <v>2</v>
      </c>
      <c r="BM4" s="53">
        <v>2.2000000000000002</v>
      </c>
      <c r="BN4" s="32">
        <v>2.5</v>
      </c>
      <c r="BO4" s="53">
        <v>2.6</v>
      </c>
      <c r="BP4" s="24">
        <v>2.7</v>
      </c>
      <c r="BQ4" s="60">
        <v>3</v>
      </c>
      <c r="BR4" s="218">
        <v>3.2</v>
      </c>
      <c r="BS4" s="37">
        <v>0.08</v>
      </c>
      <c r="BT4" s="42">
        <v>0.12</v>
      </c>
      <c r="BU4" s="37">
        <v>0.14000000000000001</v>
      </c>
      <c r="BV4" s="32">
        <v>0.2</v>
      </c>
      <c r="BW4" s="57">
        <v>0.2</v>
      </c>
      <c r="BX4" s="182">
        <v>0.23</v>
      </c>
      <c r="BY4" s="104">
        <v>0.25</v>
      </c>
      <c r="BZ4" s="274">
        <v>0.25</v>
      </c>
      <c r="CA4" s="37">
        <v>0.28000000000000003</v>
      </c>
      <c r="CB4" s="32">
        <v>0.3</v>
      </c>
      <c r="CC4" s="57">
        <v>0.3</v>
      </c>
      <c r="CD4" s="37">
        <v>0.32</v>
      </c>
      <c r="CE4" s="42">
        <v>0.35</v>
      </c>
      <c r="CF4" s="42">
        <v>0.38</v>
      </c>
      <c r="CG4" s="37">
        <v>0.4</v>
      </c>
      <c r="CH4" s="24">
        <v>0.45</v>
      </c>
      <c r="CI4" s="42">
        <v>0.45</v>
      </c>
      <c r="CJ4" s="24">
        <v>0.6</v>
      </c>
      <c r="CK4" s="104">
        <v>0.95</v>
      </c>
      <c r="CL4" s="94">
        <v>0.3</v>
      </c>
      <c r="CM4" s="95">
        <v>0.5</v>
      </c>
      <c r="CN4" s="95">
        <v>0.55000000000000004</v>
      </c>
      <c r="CO4" s="24">
        <v>0.6</v>
      </c>
      <c r="CP4" s="279">
        <v>0.7</v>
      </c>
      <c r="CQ4" s="274">
        <v>0.7</v>
      </c>
      <c r="CR4" s="95">
        <v>1</v>
      </c>
      <c r="CS4" s="95">
        <v>1.2</v>
      </c>
      <c r="CT4" s="95">
        <v>1.3</v>
      </c>
      <c r="CU4" s="95">
        <v>1.4</v>
      </c>
      <c r="CV4" s="95">
        <v>1.6</v>
      </c>
      <c r="CW4" s="95">
        <v>1.7</v>
      </c>
      <c r="CX4" s="95">
        <v>3.5</v>
      </c>
    </row>
    <row r="5" spans="1:102" ht="6.75" customHeight="1" x14ac:dyDescent="0.65">
      <c r="A5" s="270"/>
      <c r="B5" s="270"/>
      <c r="C5" s="48"/>
      <c r="D5" s="58"/>
      <c r="E5" s="196"/>
      <c r="F5" s="196"/>
      <c r="G5" s="196"/>
      <c r="H5" s="43"/>
      <c r="I5" s="43"/>
      <c r="J5" s="43"/>
      <c r="K5" s="105"/>
      <c r="L5" s="105"/>
      <c r="M5" s="43"/>
      <c r="N5" s="43"/>
      <c r="O5" s="43"/>
      <c r="P5" s="43"/>
      <c r="Q5" s="43"/>
      <c r="R5" s="43"/>
      <c r="S5" s="43"/>
      <c r="T5" s="43"/>
      <c r="U5" s="33"/>
      <c r="V5" s="58"/>
      <c r="W5" s="33"/>
      <c r="X5" s="58"/>
      <c r="Y5" s="33"/>
      <c r="Z5" s="58"/>
      <c r="AA5" s="33"/>
      <c r="AB5" s="58"/>
      <c r="AC5" s="33"/>
      <c r="AD5" s="58"/>
      <c r="AE5" s="33"/>
      <c r="AF5" s="58"/>
      <c r="AG5" s="33"/>
      <c r="AH5" s="58"/>
      <c r="AI5" s="33"/>
      <c r="AJ5" s="58"/>
      <c r="AK5" s="33"/>
      <c r="AL5" s="58"/>
      <c r="AM5" s="33"/>
      <c r="AN5" s="58"/>
      <c r="AO5" s="33"/>
      <c r="AP5" s="58"/>
      <c r="AQ5" s="33"/>
      <c r="AR5" s="201"/>
      <c r="AS5" s="105"/>
      <c r="AT5" s="201"/>
      <c r="AU5" s="167"/>
      <c r="AV5" s="105"/>
      <c r="AW5" s="58"/>
      <c r="AX5" s="33"/>
      <c r="AY5" s="58"/>
      <c r="AZ5" s="33"/>
      <c r="BA5" s="61"/>
      <c r="BB5" s="212"/>
      <c r="BC5" s="33"/>
      <c r="BD5" s="61"/>
      <c r="BE5" s="105"/>
      <c r="BF5" s="54"/>
      <c r="BG5" s="33"/>
      <c r="BH5" s="68"/>
      <c r="BI5" s="105"/>
      <c r="BJ5" s="68"/>
      <c r="BK5" s="33"/>
      <c r="BL5" s="43"/>
      <c r="BM5" s="54"/>
      <c r="BN5" s="33"/>
      <c r="BO5" s="54"/>
      <c r="BP5" s="25"/>
      <c r="BQ5" s="61"/>
      <c r="BR5" s="219"/>
      <c r="BS5" s="38"/>
      <c r="BT5" s="43"/>
      <c r="BU5" s="38"/>
      <c r="BV5" s="33"/>
      <c r="BW5" s="58"/>
      <c r="BX5" s="183"/>
      <c r="BY5" s="105"/>
      <c r="BZ5" s="275"/>
      <c r="CA5" s="38"/>
      <c r="CB5" s="33"/>
      <c r="CC5" s="58"/>
      <c r="CD5" s="38"/>
      <c r="CE5" s="43"/>
      <c r="CF5" s="43"/>
      <c r="CG5" s="38"/>
      <c r="CH5" s="25"/>
      <c r="CI5" s="43"/>
      <c r="CJ5" s="25"/>
      <c r="CK5" s="105"/>
      <c r="CL5" s="96"/>
      <c r="CM5" s="97"/>
    </row>
    <row r="6" spans="1:102" s="87" customFormat="1" ht="27.95" customHeight="1" thickBot="1" x14ac:dyDescent="0.3">
      <c r="A6" s="77" t="s">
        <v>11</v>
      </c>
      <c r="B6" s="77" t="s">
        <v>26</v>
      </c>
      <c r="C6" s="78">
        <f>SUM(D6:CX6)</f>
        <v>2009.373</v>
      </c>
      <c r="D6" s="79">
        <f t="shared" ref="D6:J6" si="0">SUM(D8:D1048576)</f>
        <v>25.675000000000001</v>
      </c>
      <c r="E6" s="79">
        <f t="shared" si="0"/>
        <v>0</v>
      </c>
      <c r="F6" s="79">
        <f t="shared" si="0"/>
        <v>0</v>
      </c>
      <c r="G6" s="79">
        <f t="shared" si="0"/>
        <v>0</v>
      </c>
      <c r="H6" s="80">
        <f t="shared" si="0"/>
        <v>92.75</v>
      </c>
      <c r="I6" s="80">
        <f t="shared" si="0"/>
        <v>6.06</v>
      </c>
      <c r="J6" s="80">
        <f t="shared" si="0"/>
        <v>32.06</v>
      </c>
      <c r="K6" s="198">
        <f t="shared" ref="K6:Z6" si="1">SUM(K8:K1048576)</f>
        <v>0</v>
      </c>
      <c r="L6" s="198">
        <f t="shared" si="1"/>
        <v>0</v>
      </c>
      <c r="M6" s="80">
        <f t="shared" si="1"/>
        <v>89.04</v>
      </c>
      <c r="N6" s="80">
        <f t="shared" si="1"/>
        <v>26.79</v>
      </c>
      <c r="O6" s="80">
        <f t="shared" si="1"/>
        <v>14.455</v>
      </c>
      <c r="P6" s="80">
        <f t="shared" si="1"/>
        <v>38.564999999999998</v>
      </c>
      <c r="Q6" s="80">
        <f t="shared" si="1"/>
        <v>16.21</v>
      </c>
      <c r="R6" s="80">
        <f t="shared" si="1"/>
        <v>24.22</v>
      </c>
      <c r="S6" s="80">
        <f t="shared" si="1"/>
        <v>65.760000000000005</v>
      </c>
      <c r="T6" s="80">
        <f t="shared" si="1"/>
        <v>7.94</v>
      </c>
      <c r="U6" s="82">
        <f t="shared" si="1"/>
        <v>0</v>
      </c>
      <c r="V6" s="79">
        <f t="shared" si="1"/>
        <v>0</v>
      </c>
      <c r="W6" s="82">
        <f t="shared" si="1"/>
        <v>0</v>
      </c>
      <c r="X6" s="79">
        <f t="shared" si="1"/>
        <v>0</v>
      </c>
      <c r="Y6" s="82">
        <f t="shared" si="1"/>
        <v>0</v>
      </c>
      <c r="Z6" s="79">
        <f t="shared" si="1"/>
        <v>0</v>
      </c>
      <c r="AA6" s="82">
        <f t="shared" ref="AA6" si="2">SUM(AA8:AA1048576)</f>
        <v>0</v>
      </c>
      <c r="AB6" s="79">
        <f t="shared" ref="AB6:BG6" si="3">SUM(AB8:AB1048576)</f>
        <v>0</v>
      </c>
      <c r="AC6" s="82">
        <f t="shared" si="3"/>
        <v>0</v>
      </c>
      <c r="AD6" s="79">
        <f t="shared" si="3"/>
        <v>0</v>
      </c>
      <c r="AE6" s="82">
        <f t="shared" si="3"/>
        <v>0</v>
      </c>
      <c r="AF6" s="79">
        <f t="shared" si="3"/>
        <v>0</v>
      </c>
      <c r="AG6" s="82">
        <f t="shared" si="3"/>
        <v>0</v>
      </c>
      <c r="AH6" s="79">
        <f t="shared" si="3"/>
        <v>0</v>
      </c>
      <c r="AI6" s="82">
        <f t="shared" si="3"/>
        <v>0</v>
      </c>
      <c r="AJ6" s="79">
        <f t="shared" si="3"/>
        <v>0</v>
      </c>
      <c r="AK6" s="82">
        <f t="shared" si="3"/>
        <v>0</v>
      </c>
      <c r="AL6" s="79">
        <f t="shared" si="3"/>
        <v>0</v>
      </c>
      <c r="AM6" s="82">
        <f t="shared" si="3"/>
        <v>0</v>
      </c>
      <c r="AN6" s="79">
        <f t="shared" si="3"/>
        <v>0</v>
      </c>
      <c r="AO6" s="82">
        <f t="shared" si="3"/>
        <v>34.340000000000003</v>
      </c>
      <c r="AP6" s="79">
        <f t="shared" si="3"/>
        <v>0</v>
      </c>
      <c r="AQ6" s="82">
        <f t="shared" si="3"/>
        <v>34.72</v>
      </c>
      <c r="AR6" s="202">
        <f t="shared" si="3"/>
        <v>0</v>
      </c>
      <c r="AS6" s="198">
        <f t="shared" si="3"/>
        <v>0</v>
      </c>
      <c r="AT6" s="202">
        <f t="shared" si="3"/>
        <v>0</v>
      </c>
      <c r="AU6" s="168">
        <f t="shared" si="3"/>
        <v>8.5250000000000004</v>
      </c>
      <c r="AV6" s="198">
        <f t="shared" si="3"/>
        <v>0</v>
      </c>
      <c r="AW6" s="79">
        <f t="shared" si="3"/>
        <v>0</v>
      </c>
      <c r="AX6" s="82">
        <f t="shared" si="3"/>
        <v>0</v>
      </c>
      <c r="AY6" s="79">
        <f t="shared" si="3"/>
        <v>0</v>
      </c>
      <c r="AZ6" s="82">
        <f t="shared" si="3"/>
        <v>211.39500000000001</v>
      </c>
      <c r="BA6" s="83">
        <f t="shared" si="3"/>
        <v>8.44</v>
      </c>
      <c r="BB6" s="108">
        <f t="shared" si="3"/>
        <v>1.75</v>
      </c>
      <c r="BC6" s="82">
        <f t="shared" si="3"/>
        <v>0</v>
      </c>
      <c r="BD6" s="83">
        <f t="shared" si="3"/>
        <v>68.8</v>
      </c>
      <c r="BE6" s="198">
        <f t="shared" si="3"/>
        <v>16.170000000000002</v>
      </c>
      <c r="BF6" s="84">
        <f t="shared" si="3"/>
        <v>0</v>
      </c>
      <c r="BG6" s="82">
        <f t="shared" si="3"/>
        <v>0</v>
      </c>
      <c r="BH6" s="85">
        <f t="shared" ref="BH6:BZ6" si="4">SUM(BH8:BH1048576)</f>
        <v>27.65</v>
      </c>
      <c r="BI6" s="198">
        <f t="shared" si="4"/>
        <v>0</v>
      </c>
      <c r="BJ6" s="85">
        <f t="shared" si="4"/>
        <v>28</v>
      </c>
      <c r="BK6" s="82">
        <f t="shared" si="4"/>
        <v>103.66500000000001</v>
      </c>
      <c r="BL6" s="80">
        <f t="shared" si="4"/>
        <v>0</v>
      </c>
      <c r="BM6" s="84">
        <f t="shared" si="4"/>
        <v>45.85</v>
      </c>
      <c r="BN6" s="82">
        <f t="shared" si="4"/>
        <v>0</v>
      </c>
      <c r="BO6" s="84">
        <f t="shared" si="4"/>
        <v>45.4</v>
      </c>
      <c r="BP6" s="86">
        <f t="shared" si="4"/>
        <v>9.1999999999999993</v>
      </c>
      <c r="BQ6" s="83">
        <f t="shared" si="4"/>
        <v>89.45</v>
      </c>
      <c r="BR6" s="220">
        <f t="shared" si="4"/>
        <v>21.45</v>
      </c>
      <c r="BS6" s="81">
        <f t="shared" si="4"/>
        <v>54.058</v>
      </c>
      <c r="BT6" s="80">
        <f t="shared" si="4"/>
        <v>0</v>
      </c>
      <c r="BU6" s="81">
        <f t="shared" si="4"/>
        <v>0</v>
      </c>
      <c r="BV6" s="82">
        <f t="shared" si="4"/>
        <v>32.700000000000003</v>
      </c>
      <c r="BW6" s="79">
        <f t="shared" si="4"/>
        <v>0</v>
      </c>
      <c r="BX6" s="272">
        <f t="shared" si="4"/>
        <v>0.75</v>
      </c>
      <c r="BY6" s="198">
        <f>SUM(BY8:BY1048576)</f>
        <v>0</v>
      </c>
      <c r="BZ6" s="184">
        <f t="shared" si="4"/>
        <v>0</v>
      </c>
      <c r="CA6" s="81">
        <f>SUM(CA8:CA1048576)</f>
        <v>0</v>
      </c>
      <c r="CB6" s="82">
        <f>SUM(CB8:CB1048576)</f>
        <v>0</v>
      </c>
      <c r="CC6" s="79">
        <f>SUM(CC8:CC1048576)</f>
        <v>13.32</v>
      </c>
      <c r="CD6" s="81">
        <f>SUM(CD8:CD1048576)</f>
        <v>8.9849999999999994</v>
      </c>
      <c r="CE6" s="80">
        <f>SUM(CE8:CE1048576)</f>
        <v>0</v>
      </c>
      <c r="CF6" s="80">
        <f>SUM(CF8:CF1048576)</f>
        <v>0</v>
      </c>
      <c r="CG6" s="81">
        <f t="shared" ref="CG6:CI6" si="5">SUM(CG8:CG1048576)</f>
        <v>0</v>
      </c>
      <c r="CH6" s="86">
        <f t="shared" si="5"/>
        <v>93.39</v>
      </c>
      <c r="CI6" s="80">
        <f t="shared" si="5"/>
        <v>14.9</v>
      </c>
      <c r="CJ6" s="86">
        <f>SUM(CJ8:CJ1048576)</f>
        <v>6.02</v>
      </c>
      <c r="CK6" s="109">
        <f>SUM(CK8:CK1048576)</f>
        <v>2.25</v>
      </c>
      <c r="CL6" s="108">
        <f>SUM(CL8:CL1048576)</f>
        <v>3.28</v>
      </c>
      <c r="CM6" s="99">
        <f>SUM(CM8:CM1048576)</f>
        <v>63.54</v>
      </c>
      <c r="CN6" s="99">
        <f>SUM(CN8:CN1048576)</f>
        <v>10.45</v>
      </c>
      <c r="CO6" s="86">
        <f>SUM(CO8:CO1048576)</f>
        <v>0</v>
      </c>
      <c r="CP6" s="281">
        <f>SUM(CP8:CP1048576)</f>
        <v>404.44</v>
      </c>
      <c r="CQ6" s="184">
        <f>SUM(CQ8:CQ1048576)</f>
        <v>0</v>
      </c>
      <c r="CR6" s="99">
        <f>SUM(CR8:CR1048576)</f>
        <v>2.5</v>
      </c>
      <c r="CS6" s="99">
        <f>SUM(CS8:CS1048576)</f>
        <v>14.7</v>
      </c>
      <c r="CT6" s="99">
        <f>SUM(CT8:CT1048576)</f>
        <v>2.85</v>
      </c>
      <c r="CU6" s="99">
        <f>SUM(CU8:CU1048576)</f>
        <v>6.83</v>
      </c>
      <c r="CV6" s="99">
        <f>SUM(CV8:CV1048576)</f>
        <v>9.2200000000000006</v>
      </c>
      <c r="CW6" s="99">
        <f>SUM(CW8:CW1048576)</f>
        <v>18.5</v>
      </c>
      <c r="CX6" s="99">
        <f>SUM(CX8:CX1048576)</f>
        <v>52.36</v>
      </c>
    </row>
    <row r="7" spans="1:102" s="30" customFormat="1" ht="6.75" customHeight="1" x14ac:dyDescent="0.25">
      <c r="A7" s="51"/>
      <c r="B7" s="27"/>
      <c r="C7" s="28"/>
      <c r="D7" s="173"/>
      <c r="E7" s="173"/>
      <c r="F7" s="173"/>
      <c r="G7" s="173"/>
      <c r="H7" s="44"/>
      <c r="I7" s="44"/>
      <c r="J7" s="44"/>
      <c r="K7" s="106"/>
      <c r="L7" s="106"/>
      <c r="M7" s="44"/>
      <c r="N7" s="44"/>
      <c r="O7" s="44"/>
      <c r="P7" s="44"/>
      <c r="Q7" s="44"/>
      <c r="R7" s="44"/>
      <c r="S7" s="44"/>
      <c r="T7" s="44"/>
      <c r="U7" s="34"/>
      <c r="V7" s="111"/>
      <c r="W7" s="34"/>
      <c r="X7" s="111"/>
      <c r="Y7" s="34"/>
      <c r="Z7" s="111"/>
      <c r="AA7" s="34"/>
      <c r="AB7" s="111"/>
      <c r="AC7" s="34"/>
      <c r="AD7" s="111"/>
      <c r="AE7" s="34"/>
      <c r="AF7" s="111"/>
      <c r="AG7" s="34"/>
      <c r="AH7" s="111"/>
      <c r="AI7" s="34"/>
      <c r="AJ7" s="111"/>
      <c r="AK7" s="34"/>
      <c r="AL7" s="111"/>
      <c r="AM7" s="34"/>
      <c r="AN7" s="111"/>
      <c r="AO7" s="34"/>
      <c r="AP7" s="111"/>
      <c r="AQ7" s="34"/>
      <c r="AR7" s="203"/>
      <c r="AS7" s="106"/>
      <c r="AT7" s="203"/>
      <c r="AU7" s="169"/>
      <c r="AV7" s="106"/>
      <c r="AW7" s="111"/>
      <c r="AX7" s="34"/>
      <c r="AY7" s="111"/>
      <c r="AZ7" s="34"/>
      <c r="BA7" s="62"/>
      <c r="BB7" s="213"/>
      <c r="BC7" s="34"/>
      <c r="BD7" s="62"/>
      <c r="BE7" s="106"/>
      <c r="BF7" s="55"/>
      <c r="BG7" s="34"/>
      <c r="BH7" s="76"/>
      <c r="BI7" s="106"/>
      <c r="BJ7" s="76"/>
      <c r="BK7" s="34"/>
      <c r="BL7" s="44"/>
      <c r="BM7" s="55"/>
      <c r="BN7" s="34"/>
      <c r="BO7" s="55"/>
      <c r="BP7" s="29"/>
      <c r="BQ7" s="62"/>
      <c r="BR7" s="221"/>
      <c r="BS7" s="39"/>
      <c r="BT7" s="44"/>
      <c r="BU7" s="39"/>
      <c r="BV7" s="34"/>
      <c r="BW7" s="111"/>
      <c r="BX7" s="185"/>
      <c r="BY7" s="106"/>
      <c r="BZ7" s="276"/>
      <c r="CA7" s="39"/>
      <c r="CB7" s="34"/>
      <c r="CC7" s="111"/>
      <c r="CD7" s="39"/>
      <c r="CE7" s="44"/>
      <c r="CF7" s="44"/>
      <c r="CG7" s="39"/>
      <c r="CH7" s="29"/>
      <c r="CI7" s="44"/>
      <c r="CJ7" s="29"/>
      <c r="CK7" s="106"/>
      <c r="CL7" s="100"/>
      <c r="CM7" s="101"/>
      <c r="CN7" s="102"/>
      <c r="CO7" s="284"/>
      <c r="CP7" s="282"/>
      <c r="CQ7" s="283"/>
      <c r="CR7" s="102"/>
      <c r="CS7" s="102"/>
      <c r="CT7" s="102"/>
      <c r="CU7" s="102"/>
      <c r="CV7" s="102"/>
      <c r="CW7" s="102"/>
      <c r="CX7" s="102"/>
    </row>
    <row r="8" spans="1:102" x14ac:dyDescent="0.25">
      <c r="A8" s="50">
        <v>46119</v>
      </c>
      <c r="B8" s="19" t="s">
        <v>13</v>
      </c>
      <c r="C8" s="18">
        <f t="shared" ref="C8:C71" si="6">SUM(D8:DU8)</f>
        <v>2009.373</v>
      </c>
      <c r="D8" s="174">
        <v>25.675000000000001</v>
      </c>
      <c r="E8" s="174">
        <v>0</v>
      </c>
      <c r="F8" s="174">
        <v>0</v>
      </c>
      <c r="G8" s="174">
        <v>0</v>
      </c>
      <c r="H8" s="45">
        <v>92.75</v>
      </c>
      <c r="I8" s="45">
        <v>6.06</v>
      </c>
      <c r="J8" s="45">
        <v>32.06</v>
      </c>
      <c r="K8" s="107">
        <v>0</v>
      </c>
      <c r="L8" s="107">
        <v>0</v>
      </c>
      <c r="M8" s="45">
        <v>89.04</v>
      </c>
      <c r="N8" s="45">
        <v>26.79</v>
      </c>
      <c r="O8" s="45">
        <v>14.455</v>
      </c>
      <c r="P8" s="45">
        <v>38.564999999999998</v>
      </c>
      <c r="Q8" s="45">
        <v>16.21</v>
      </c>
      <c r="R8" s="45">
        <v>24.22</v>
      </c>
      <c r="S8" s="45">
        <v>65.760000000000005</v>
      </c>
      <c r="T8" s="45">
        <v>7.94</v>
      </c>
      <c r="U8" s="35">
        <v>0</v>
      </c>
      <c r="V8" s="72">
        <v>0</v>
      </c>
      <c r="W8" s="35">
        <v>0</v>
      </c>
      <c r="X8" s="72">
        <v>0</v>
      </c>
      <c r="Y8" s="35">
        <v>0</v>
      </c>
      <c r="Z8" s="72">
        <v>0</v>
      </c>
      <c r="AA8" s="35">
        <v>0</v>
      </c>
      <c r="AB8" s="72">
        <v>0</v>
      </c>
      <c r="AC8" s="35">
        <v>0</v>
      </c>
      <c r="AD8" s="72">
        <v>0</v>
      </c>
      <c r="AE8" s="35">
        <v>0</v>
      </c>
      <c r="AF8" s="72">
        <v>0</v>
      </c>
      <c r="AG8" s="35">
        <v>0</v>
      </c>
      <c r="AH8" s="72">
        <v>0</v>
      </c>
      <c r="AI8" s="35">
        <v>0</v>
      </c>
      <c r="AJ8" s="72">
        <v>0</v>
      </c>
      <c r="AK8" s="35">
        <v>0</v>
      </c>
      <c r="AL8" s="72">
        <v>0</v>
      </c>
      <c r="AM8" s="35">
        <v>0</v>
      </c>
      <c r="AN8" s="72">
        <v>0</v>
      </c>
      <c r="AO8" s="35">
        <v>34.340000000000003</v>
      </c>
      <c r="AP8" s="72">
        <v>0</v>
      </c>
      <c r="AQ8" s="35">
        <v>34.72</v>
      </c>
      <c r="AR8" s="204">
        <v>0</v>
      </c>
      <c r="AS8" s="107">
        <v>0</v>
      </c>
      <c r="AT8" s="204">
        <v>0</v>
      </c>
      <c r="AU8" s="170">
        <v>8.5250000000000004</v>
      </c>
      <c r="AV8" s="107">
        <v>0</v>
      </c>
      <c r="AW8" s="72">
        <v>0</v>
      </c>
      <c r="AX8" s="35">
        <v>0</v>
      </c>
      <c r="AY8" s="72">
        <v>0</v>
      </c>
      <c r="AZ8" s="35">
        <v>211.39500000000001</v>
      </c>
      <c r="BA8" s="63">
        <v>8.44</v>
      </c>
      <c r="BB8" s="214">
        <v>1.75</v>
      </c>
      <c r="BC8" s="35">
        <v>0</v>
      </c>
      <c r="BD8" s="63">
        <v>68.8</v>
      </c>
      <c r="BE8" s="107">
        <v>16.170000000000002</v>
      </c>
      <c r="BF8" s="56">
        <v>0</v>
      </c>
      <c r="BG8" s="35">
        <v>0</v>
      </c>
      <c r="BH8" s="69">
        <v>27.65</v>
      </c>
      <c r="BI8" s="107">
        <v>0</v>
      </c>
      <c r="BJ8" s="69">
        <v>28</v>
      </c>
      <c r="BK8" s="35">
        <v>103.66500000000001</v>
      </c>
      <c r="BL8" s="45">
        <v>0</v>
      </c>
      <c r="BM8" s="56">
        <v>45.85</v>
      </c>
      <c r="BN8" s="35">
        <v>0</v>
      </c>
      <c r="BO8" s="56">
        <v>45.4</v>
      </c>
      <c r="BP8" s="26">
        <v>9.1999999999999993</v>
      </c>
      <c r="BQ8" s="63">
        <v>89.45</v>
      </c>
      <c r="BR8" s="222">
        <v>21.45</v>
      </c>
      <c r="BS8" s="40">
        <v>54.058</v>
      </c>
      <c r="BT8" s="45">
        <v>0</v>
      </c>
      <c r="BU8" s="40">
        <v>0</v>
      </c>
      <c r="BV8" s="35">
        <v>32.700000000000003</v>
      </c>
      <c r="BW8" s="72">
        <v>0</v>
      </c>
      <c r="BX8" s="186">
        <v>0.75</v>
      </c>
      <c r="BY8" s="107">
        <v>0</v>
      </c>
      <c r="BZ8" s="277">
        <v>0</v>
      </c>
      <c r="CA8" s="40">
        <v>0</v>
      </c>
      <c r="CB8" s="35">
        <v>0</v>
      </c>
      <c r="CC8" s="72">
        <v>13.32</v>
      </c>
      <c r="CD8" s="40">
        <v>8.9849999999999994</v>
      </c>
      <c r="CE8" s="45">
        <v>0</v>
      </c>
      <c r="CF8" s="45">
        <v>0</v>
      </c>
      <c r="CG8" s="40">
        <v>0</v>
      </c>
      <c r="CH8" s="26">
        <v>93.39</v>
      </c>
      <c r="CI8" s="45">
        <v>14.9</v>
      </c>
      <c r="CJ8" s="26">
        <v>6.02</v>
      </c>
      <c r="CK8" s="107">
        <v>2.25</v>
      </c>
      <c r="CL8" s="103">
        <v>3.28</v>
      </c>
      <c r="CM8" s="98">
        <v>63.54</v>
      </c>
      <c r="CN8" s="98">
        <v>10.45</v>
      </c>
      <c r="CO8" s="26">
        <v>0</v>
      </c>
      <c r="CP8" s="280">
        <v>404.44</v>
      </c>
      <c r="CQ8" s="277">
        <v>0</v>
      </c>
      <c r="CR8" s="98">
        <v>2.5</v>
      </c>
      <c r="CS8" s="98">
        <v>14.7</v>
      </c>
      <c r="CT8" s="98">
        <v>2.85</v>
      </c>
      <c r="CU8" s="98">
        <v>6.83</v>
      </c>
      <c r="CV8" s="98">
        <v>9.2200000000000006</v>
      </c>
      <c r="CW8" s="98">
        <v>18.5</v>
      </c>
      <c r="CX8" s="98">
        <v>52.36</v>
      </c>
    </row>
    <row r="9" spans="1:102" x14ac:dyDescent="0.25">
      <c r="C9" s="18">
        <f t="shared" si="6"/>
        <v>0</v>
      </c>
    </row>
    <row r="10" spans="1:102" x14ac:dyDescent="0.25">
      <c r="C10" s="18">
        <f t="shared" si="6"/>
        <v>0</v>
      </c>
    </row>
    <row r="11" spans="1:102" x14ac:dyDescent="0.25">
      <c r="C11" s="18">
        <f t="shared" si="6"/>
        <v>0</v>
      </c>
    </row>
    <row r="12" spans="1:102" x14ac:dyDescent="0.25">
      <c r="C12" s="18">
        <f t="shared" si="6"/>
        <v>0</v>
      </c>
    </row>
    <row r="13" spans="1:102" x14ac:dyDescent="0.25">
      <c r="C13" s="18">
        <f t="shared" si="6"/>
        <v>0</v>
      </c>
    </row>
    <row r="14" spans="1:102" x14ac:dyDescent="0.25">
      <c r="C14" s="18">
        <f t="shared" si="6"/>
        <v>0</v>
      </c>
    </row>
    <row r="15" spans="1:102" x14ac:dyDescent="0.25">
      <c r="C15" s="18">
        <f t="shared" si="6"/>
        <v>0</v>
      </c>
    </row>
    <row r="16" spans="1:102" x14ac:dyDescent="0.25">
      <c r="C16" s="18">
        <f t="shared" si="6"/>
        <v>0</v>
      </c>
    </row>
    <row r="17" spans="3:3" x14ac:dyDescent="0.25">
      <c r="C17" s="18">
        <f t="shared" si="6"/>
        <v>0</v>
      </c>
    </row>
    <row r="18" spans="3:3" x14ac:dyDescent="0.25">
      <c r="C18" s="18">
        <f t="shared" si="6"/>
        <v>0</v>
      </c>
    </row>
    <row r="19" spans="3:3" x14ac:dyDescent="0.25">
      <c r="C19" s="18">
        <f t="shared" si="6"/>
        <v>0</v>
      </c>
    </row>
    <row r="20" spans="3:3" x14ac:dyDescent="0.25">
      <c r="C20" s="18">
        <f t="shared" si="6"/>
        <v>0</v>
      </c>
    </row>
    <row r="21" spans="3:3" x14ac:dyDescent="0.25">
      <c r="C21" s="18">
        <f t="shared" si="6"/>
        <v>0</v>
      </c>
    </row>
    <row r="22" spans="3:3" x14ac:dyDescent="0.25">
      <c r="C22" s="18">
        <f t="shared" si="6"/>
        <v>0</v>
      </c>
    </row>
    <row r="23" spans="3:3" x14ac:dyDescent="0.25">
      <c r="C23" s="18">
        <f t="shared" si="6"/>
        <v>0</v>
      </c>
    </row>
    <row r="24" spans="3:3" x14ac:dyDescent="0.25">
      <c r="C24" s="18">
        <f t="shared" si="6"/>
        <v>0</v>
      </c>
    </row>
    <row r="25" spans="3:3" x14ac:dyDescent="0.25">
      <c r="C25" s="18">
        <f t="shared" si="6"/>
        <v>0</v>
      </c>
    </row>
    <row r="26" spans="3:3" x14ac:dyDescent="0.25">
      <c r="C26" s="18">
        <f t="shared" si="6"/>
        <v>0</v>
      </c>
    </row>
    <row r="27" spans="3:3" x14ac:dyDescent="0.25">
      <c r="C27" s="18">
        <f t="shared" si="6"/>
        <v>0</v>
      </c>
    </row>
    <row r="28" spans="3:3" x14ac:dyDescent="0.25">
      <c r="C28" s="18">
        <f t="shared" si="6"/>
        <v>0</v>
      </c>
    </row>
    <row r="29" spans="3:3" x14ac:dyDescent="0.25">
      <c r="C29" s="18">
        <f t="shared" si="6"/>
        <v>0</v>
      </c>
    </row>
    <row r="30" spans="3:3" x14ac:dyDescent="0.25">
      <c r="C30" s="18">
        <f t="shared" si="6"/>
        <v>0</v>
      </c>
    </row>
    <row r="31" spans="3:3" x14ac:dyDescent="0.25">
      <c r="C31" s="18">
        <f t="shared" si="6"/>
        <v>0</v>
      </c>
    </row>
    <row r="32" spans="3:3" x14ac:dyDescent="0.25">
      <c r="C32" s="18">
        <f t="shared" si="6"/>
        <v>0</v>
      </c>
    </row>
    <row r="33" spans="3:3" x14ac:dyDescent="0.25">
      <c r="C33" s="18">
        <f t="shared" si="6"/>
        <v>0</v>
      </c>
    </row>
    <row r="34" spans="3:3" x14ac:dyDescent="0.25">
      <c r="C34" s="18">
        <f t="shared" si="6"/>
        <v>0</v>
      </c>
    </row>
    <row r="35" spans="3:3" x14ac:dyDescent="0.25">
      <c r="C35" s="18">
        <f t="shared" si="6"/>
        <v>0</v>
      </c>
    </row>
    <row r="36" spans="3:3" x14ac:dyDescent="0.25">
      <c r="C36" s="18">
        <f t="shared" si="6"/>
        <v>0</v>
      </c>
    </row>
    <row r="37" spans="3:3" x14ac:dyDescent="0.25">
      <c r="C37" s="18">
        <f t="shared" si="6"/>
        <v>0</v>
      </c>
    </row>
    <row r="38" spans="3:3" x14ac:dyDescent="0.25">
      <c r="C38" s="18">
        <f t="shared" si="6"/>
        <v>0</v>
      </c>
    </row>
    <row r="39" spans="3:3" x14ac:dyDescent="0.25">
      <c r="C39" s="18">
        <f t="shared" si="6"/>
        <v>0</v>
      </c>
    </row>
    <row r="40" spans="3:3" x14ac:dyDescent="0.25">
      <c r="C40" s="18">
        <f t="shared" si="6"/>
        <v>0</v>
      </c>
    </row>
    <row r="41" spans="3:3" x14ac:dyDescent="0.25">
      <c r="C41" s="18">
        <f t="shared" si="6"/>
        <v>0</v>
      </c>
    </row>
    <row r="42" spans="3:3" x14ac:dyDescent="0.25">
      <c r="C42" s="18">
        <f t="shared" si="6"/>
        <v>0</v>
      </c>
    </row>
    <row r="43" spans="3:3" x14ac:dyDescent="0.25">
      <c r="C43" s="18">
        <f t="shared" si="6"/>
        <v>0</v>
      </c>
    </row>
    <row r="44" spans="3:3" x14ac:dyDescent="0.25">
      <c r="C44" s="18">
        <f t="shared" si="6"/>
        <v>0</v>
      </c>
    </row>
    <row r="45" spans="3:3" x14ac:dyDescent="0.25">
      <c r="C45" s="18">
        <f t="shared" si="6"/>
        <v>0</v>
      </c>
    </row>
    <row r="46" spans="3:3" x14ac:dyDescent="0.25">
      <c r="C46" s="18">
        <f t="shared" si="6"/>
        <v>0</v>
      </c>
    </row>
    <row r="47" spans="3:3" x14ac:dyDescent="0.25">
      <c r="C47" s="18">
        <f t="shared" si="6"/>
        <v>0</v>
      </c>
    </row>
    <row r="48" spans="3:3" x14ac:dyDescent="0.25">
      <c r="C48" s="18">
        <f t="shared" si="6"/>
        <v>0</v>
      </c>
    </row>
    <row r="49" spans="3:3" x14ac:dyDescent="0.25">
      <c r="C49" s="18">
        <f t="shared" si="6"/>
        <v>0</v>
      </c>
    </row>
    <row r="50" spans="3:3" x14ac:dyDescent="0.25">
      <c r="C50" s="18">
        <f t="shared" si="6"/>
        <v>0</v>
      </c>
    </row>
    <row r="51" spans="3:3" x14ac:dyDescent="0.25">
      <c r="C51" s="18">
        <f t="shared" si="6"/>
        <v>0</v>
      </c>
    </row>
    <row r="52" spans="3:3" x14ac:dyDescent="0.25">
      <c r="C52" s="18">
        <f t="shared" si="6"/>
        <v>0</v>
      </c>
    </row>
    <row r="53" spans="3:3" x14ac:dyDescent="0.25">
      <c r="C53" s="18">
        <f t="shared" si="6"/>
        <v>0</v>
      </c>
    </row>
    <row r="54" spans="3:3" x14ac:dyDescent="0.25">
      <c r="C54" s="18">
        <f t="shared" si="6"/>
        <v>0</v>
      </c>
    </row>
    <row r="55" spans="3:3" x14ac:dyDescent="0.25">
      <c r="C55" s="18">
        <f t="shared" si="6"/>
        <v>0</v>
      </c>
    </row>
    <row r="56" spans="3:3" x14ac:dyDescent="0.25">
      <c r="C56" s="18">
        <f t="shared" si="6"/>
        <v>0</v>
      </c>
    </row>
    <row r="57" spans="3:3" x14ac:dyDescent="0.25">
      <c r="C57" s="18">
        <f t="shared" si="6"/>
        <v>0</v>
      </c>
    </row>
    <row r="58" spans="3:3" x14ac:dyDescent="0.25">
      <c r="C58" s="18">
        <f t="shared" si="6"/>
        <v>0</v>
      </c>
    </row>
    <row r="59" spans="3:3" x14ac:dyDescent="0.25">
      <c r="C59" s="18">
        <f t="shared" si="6"/>
        <v>0</v>
      </c>
    </row>
    <row r="60" spans="3:3" x14ac:dyDescent="0.25">
      <c r="C60" s="18">
        <f t="shared" si="6"/>
        <v>0</v>
      </c>
    </row>
    <row r="61" spans="3:3" x14ac:dyDescent="0.25">
      <c r="C61" s="18">
        <f t="shared" si="6"/>
        <v>0</v>
      </c>
    </row>
    <row r="62" spans="3:3" x14ac:dyDescent="0.25">
      <c r="C62" s="18">
        <f t="shared" si="6"/>
        <v>0</v>
      </c>
    </row>
    <row r="63" spans="3:3" x14ac:dyDescent="0.25">
      <c r="C63" s="18">
        <f t="shared" si="6"/>
        <v>0</v>
      </c>
    </row>
    <row r="64" spans="3:3" x14ac:dyDescent="0.25">
      <c r="C64" s="18">
        <f t="shared" si="6"/>
        <v>0</v>
      </c>
    </row>
    <row r="65" spans="3:3" x14ac:dyDescent="0.25">
      <c r="C65" s="18">
        <f t="shared" si="6"/>
        <v>0</v>
      </c>
    </row>
    <row r="66" spans="3:3" x14ac:dyDescent="0.25">
      <c r="C66" s="18">
        <f t="shared" si="6"/>
        <v>0</v>
      </c>
    </row>
    <row r="67" spans="3:3" x14ac:dyDescent="0.25">
      <c r="C67" s="18">
        <f t="shared" si="6"/>
        <v>0</v>
      </c>
    </row>
    <row r="68" spans="3:3" x14ac:dyDescent="0.25">
      <c r="C68" s="18">
        <f t="shared" si="6"/>
        <v>0</v>
      </c>
    </row>
    <row r="69" spans="3:3" x14ac:dyDescent="0.25">
      <c r="C69" s="18">
        <f t="shared" si="6"/>
        <v>0</v>
      </c>
    </row>
    <row r="70" spans="3:3" x14ac:dyDescent="0.25">
      <c r="C70" s="18">
        <f t="shared" si="6"/>
        <v>0</v>
      </c>
    </row>
    <row r="71" spans="3:3" x14ac:dyDescent="0.25">
      <c r="C71" s="18">
        <f t="shared" si="6"/>
        <v>0</v>
      </c>
    </row>
    <row r="72" spans="3:3" x14ac:dyDescent="0.25">
      <c r="C72" s="18">
        <f>SUM(D72:DU72)</f>
        <v>0</v>
      </c>
    </row>
    <row r="73" spans="3:3" x14ac:dyDescent="0.25">
      <c r="C73" s="18">
        <f>SUM(D73:DU73)</f>
        <v>0</v>
      </c>
    </row>
    <row r="74" spans="3:3" x14ac:dyDescent="0.25">
      <c r="C74" s="18">
        <f>SUM(D74:DU74)</f>
        <v>0</v>
      </c>
    </row>
    <row r="75" spans="3:3" x14ac:dyDescent="0.25">
      <c r="C75" s="18">
        <f>SUM(D75:DU75)</f>
        <v>0</v>
      </c>
    </row>
    <row r="76" spans="3:3" x14ac:dyDescent="0.25">
      <c r="C76" s="18">
        <f>SUM(D76:DU76)</f>
        <v>0</v>
      </c>
    </row>
    <row r="77" spans="3:3" x14ac:dyDescent="0.25">
      <c r="C77" s="18">
        <f>SUM(D77:DU77)</f>
        <v>0</v>
      </c>
    </row>
    <row r="78" spans="3:3" x14ac:dyDescent="0.25">
      <c r="C78" s="18">
        <f>SUM(D78:DU78)</f>
        <v>0</v>
      </c>
    </row>
    <row r="79" spans="3:3" x14ac:dyDescent="0.25">
      <c r="C79" s="18">
        <f>SUM(D79:DU79)</f>
        <v>0</v>
      </c>
    </row>
    <row r="80" spans="3:3" x14ac:dyDescent="0.25">
      <c r="C80" s="18">
        <f>SUM(D80:DU80)</f>
        <v>0</v>
      </c>
    </row>
    <row r="81" spans="3:3" x14ac:dyDescent="0.25">
      <c r="C81" s="18">
        <f>SUM(D81:DU81)</f>
        <v>0</v>
      </c>
    </row>
    <row r="82" spans="3:3" x14ac:dyDescent="0.25">
      <c r="C82" s="18">
        <f>SUM(D82:DU82)</f>
        <v>0</v>
      </c>
    </row>
    <row r="83" spans="3:3" x14ac:dyDescent="0.25">
      <c r="C83" s="18">
        <f>SUM(D83:DU83)</f>
        <v>0</v>
      </c>
    </row>
    <row r="84" spans="3:3" x14ac:dyDescent="0.25">
      <c r="C84" s="18">
        <f>SUM(D84:DU84)</f>
        <v>0</v>
      </c>
    </row>
    <row r="85" spans="3:3" x14ac:dyDescent="0.25">
      <c r="C85" s="18">
        <f>SUM(D85:DU85)</f>
        <v>0</v>
      </c>
    </row>
    <row r="86" spans="3:3" x14ac:dyDescent="0.25">
      <c r="C86" s="18">
        <f>SUM(D86:DU86)</f>
        <v>0</v>
      </c>
    </row>
    <row r="87" spans="3:3" x14ac:dyDescent="0.25">
      <c r="C87" s="18">
        <f>SUM(D87:DU87)</f>
        <v>0</v>
      </c>
    </row>
    <row r="88" spans="3:3" x14ac:dyDescent="0.25">
      <c r="C88" s="18">
        <f>SUM(D88:DU88)</f>
        <v>0</v>
      </c>
    </row>
    <row r="89" spans="3:3" x14ac:dyDescent="0.25">
      <c r="C89" s="18">
        <f>SUM(D89:DU89)</f>
        <v>0</v>
      </c>
    </row>
    <row r="90" spans="3:3" x14ac:dyDescent="0.25">
      <c r="C90" s="18">
        <f>SUM(D90:DU90)</f>
        <v>0</v>
      </c>
    </row>
    <row r="91" spans="3:3" x14ac:dyDescent="0.25">
      <c r="C91" s="18">
        <f>SUM(D91:DU91)</f>
        <v>0</v>
      </c>
    </row>
    <row r="92" spans="3:3" x14ac:dyDescent="0.25">
      <c r="C92" s="18">
        <f>SUM(D92:DU92)</f>
        <v>0</v>
      </c>
    </row>
    <row r="93" spans="3:3" x14ac:dyDescent="0.25">
      <c r="C93" s="18">
        <f>SUM(D93:DU93)</f>
        <v>0</v>
      </c>
    </row>
    <row r="94" spans="3:3" x14ac:dyDescent="0.25">
      <c r="C94" s="18">
        <f>SUM(D94:DU94)</f>
        <v>0</v>
      </c>
    </row>
    <row r="95" spans="3:3" x14ac:dyDescent="0.25">
      <c r="C95" s="18">
        <f>SUM(D95:DU95)</f>
        <v>0</v>
      </c>
    </row>
    <row r="96" spans="3:3" x14ac:dyDescent="0.25">
      <c r="C96" s="18">
        <f>SUM(D96:DU96)</f>
        <v>0</v>
      </c>
    </row>
    <row r="97" spans="3:3" x14ac:dyDescent="0.25">
      <c r="C97" s="18">
        <f>SUM(D97:DU97)</f>
        <v>0</v>
      </c>
    </row>
    <row r="98" spans="3:3" x14ac:dyDescent="0.25">
      <c r="C98" s="18">
        <f>SUM(D98:DU98)</f>
        <v>0</v>
      </c>
    </row>
    <row r="99" spans="3:3" x14ac:dyDescent="0.25">
      <c r="C99" s="18">
        <f>SUM(D99:DU99)</f>
        <v>0</v>
      </c>
    </row>
    <row r="100" spans="3:3" x14ac:dyDescent="0.25">
      <c r="C100" s="18">
        <f>SUM(D100:DU100)</f>
        <v>0</v>
      </c>
    </row>
    <row r="101" spans="3:3" x14ac:dyDescent="0.25">
      <c r="C101" s="18">
        <f>SUM(D101:DU101)</f>
        <v>0</v>
      </c>
    </row>
    <row r="102" spans="3:3" x14ac:dyDescent="0.25">
      <c r="C102" s="18">
        <f>SUM(D102:DU102)</f>
        <v>0</v>
      </c>
    </row>
    <row r="103" spans="3:3" x14ac:dyDescent="0.25">
      <c r="C103" s="18">
        <f>SUM(D103:DU103)</f>
        <v>0</v>
      </c>
    </row>
    <row r="104" spans="3:3" x14ac:dyDescent="0.25">
      <c r="C104" s="18">
        <f>SUM(D104:DU104)</f>
        <v>0</v>
      </c>
    </row>
    <row r="105" spans="3:3" x14ac:dyDescent="0.25">
      <c r="C105" s="18">
        <f>SUM(D105:DU105)</f>
        <v>0</v>
      </c>
    </row>
    <row r="106" spans="3:3" x14ac:dyDescent="0.25">
      <c r="C106" s="18">
        <f>SUM(D106:DU106)</f>
        <v>0</v>
      </c>
    </row>
    <row r="107" spans="3:3" x14ac:dyDescent="0.25">
      <c r="C107" s="18">
        <f>SUM(D107:DU107)</f>
        <v>0</v>
      </c>
    </row>
    <row r="108" spans="3:3" x14ac:dyDescent="0.25">
      <c r="C108" s="18">
        <f>SUM(D108:DU108)</f>
        <v>0</v>
      </c>
    </row>
    <row r="109" spans="3:3" x14ac:dyDescent="0.25">
      <c r="C109" s="18">
        <f>SUM(D109:DU109)</f>
        <v>0</v>
      </c>
    </row>
    <row r="110" spans="3:3" x14ac:dyDescent="0.25">
      <c r="C110" s="18">
        <f>SUM(D110:DU110)</f>
        <v>0</v>
      </c>
    </row>
    <row r="111" spans="3:3" x14ac:dyDescent="0.25">
      <c r="C111" s="18">
        <f>SUM(D111:DU111)</f>
        <v>0</v>
      </c>
    </row>
    <row r="112" spans="3:3" x14ac:dyDescent="0.25">
      <c r="C112" s="18">
        <f>SUM(D112:DU112)</f>
        <v>0</v>
      </c>
    </row>
    <row r="113" spans="3:3" x14ac:dyDescent="0.25">
      <c r="C113" s="18">
        <f>SUM(D113:DU113)</f>
        <v>0</v>
      </c>
    </row>
    <row r="114" spans="3:3" x14ac:dyDescent="0.25">
      <c r="C114" s="18">
        <f>SUM(D114:DU114)</f>
        <v>0</v>
      </c>
    </row>
    <row r="115" spans="3:3" x14ac:dyDescent="0.25">
      <c r="C115" s="18">
        <f>SUM(D115:DU115)</f>
        <v>0</v>
      </c>
    </row>
    <row r="116" spans="3:3" x14ac:dyDescent="0.25">
      <c r="C116" s="18">
        <f>SUM(D116:DU116)</f>
        <v>0</v>
      </c>
    </row>
    <row r="117" spans="3:3" x14ac:dyDescent="0.25">
      <c r="C117" s="18">
        <f>SUM(D117:DU117)</f>
        <v>0</v>
      </c>
    </row>
    <row r="118" spans="3:3" x14ac:dyDescent="0.25">
      <c r="C118" s="18">
        <f>SUM(D118:DU118)</f>
        <v>0</v>
      </c>
    </row>
    <row r="119" spans="3:3" x14ac:dyDescent="0.25">
      <c r="C119" s="18">
        <f>SUM(D119:DU119)</f>
        <v>0</v>
      </c>
    </row>
    <row r="120" spans="3:3" x14ac:dyDescent="0.25">
      <c r="C120" s="18">
        <f>SUM(D120:DU120)</f>
        <v>0</v>
      </c>
    </row>
    <row r="121" spans="3:3" x14ac:dyDescent="0.25">
      <c r="C121" s="18">
        <f>SUM(D121:DU121)</f>
        <v>0</v>
      </c>
    </row>
    <row r="122" spans="3:3" x14ac:dyDescent="0.25">
      <c r="C122" s="18">
        <f>SUM(D122:DU122)</f>
        <v>0</v>
      </c>
    </row>
    <row r="123" spans="3:3" x14ac:dyDescent="0.25">
      <c r="C123" s="18">
        <f>SUM(D123:DU123)</f>
        <v>0</v>
      </c>
    </row>
    <row r="124" spans="3:3" x14ac:dyDescent="0.25">
      <c r="C124" s="18">
        <f>SUM(D124:DU124)</f>
        <v>0</v>
      </c>
    </row>
    <row r="125" spans="3:3" x14ac:dyDescent="0.25">
      <c r="C125" s="18">
        <f>SUM(D125:DU125)</f>
        <v>0</v>
      </c>
    </row>
    <row r="126" spans="3:3" x14ac:dyDescent="0.25">
      <c r="C126" s="18">
        <f>SUM(D126:DU126)</f>
        <v>0</v>
      </c>
    </row>
    <row r="127" spans="3:3" x14ac:dyDescent="0.25">
      <c r="C127" s="18">
        <f>SUM(D127:DU127)</f>
        <v>0</v>
      </c>
    </row>
    <row r="128" spans="3:3" x14ac:dyDescent="0.25">
      <c r="C128" s="18">
        <f>SUM(D128:DU128)</f>
        <v>0</v>
      </c>
    </row>
    <row r="129" spans="3:3" x14ac:dyDescent="0.25">
      <c r="C129" s="18">
        <f>SUM(D129:DU129)</f>
        <v>0</v>
      </c>
    </row>
    <row r="130" spans="3:3" x14ac:dyDescent="0.25">
      <c r="C130" s="18">
        <f>SUM(D130:DU130)</f>
        <v>0</v>
      </c>
    </row>
    <row r="131" spans="3:3" x14ac:dyDescent="0.25">
      <c r="C131" s="18">
        <f>SUM(D131:DU131)</f>
        <v>0</v>
      </c>
    </row>
    <row r="132" spans="3:3" x14ac:dyDescent="0.25">
      <c r="C132" s="18">
        <f>SUM(D132:DU132)</f>
        <v>0</v>
      </c>
    </row>
    <row r="133" spans="3:3" x14ac:dyDescent="0.25">
      <c r="C133" s="18">
        <f>SUM(D133:DU133)</f>
        <v>0</v>
      </c>
    </row>
    <row r="134" spans="3:3" x14ac:dyDescent="0.25">
      <c r="C134" s="18">
        <f>SUM(D134:DU134)</f>
        <v>0</v>
      </c>
    </row>
    <row r="135" spans="3:3" x14ac:dyDescent="0.25">
      <c r="C135" s="18">
        <f>SUM(D135:DU135)</f>
        <v>0</v>
      </c>
    </row>
    <row r="136" spans="3:3" x14ac:dyDescent="0.25">
      <c r="C136" s="18">
        <f>SUM(D136:DU136)</f>
        <v>0</v>
      </c>
    </row>
    <row r="137" spans="3:3" x14ac:dyDescent="0.25">
      <c r="C137" s="18">
        <f>SUM(D137:DU137)</f>
        <v>0</v>
      </c>
    </row>
    <row r="138" spans="3:3" x14ac:dyDescent="0.25">
      <c r="C138" s="18">
        <f>SUM(D138:DU138)</f>
        <v>0</v>
      </c>
    </row>
    <row r="139" spans="3:3" x14ac:dyDescent="0.25">
      <c r="C139" s="18">
        <f>SUM(D139:DU139)</f>
        <v>0</v>
      </c>
    </row>
    <row r="140" spans="3:3" x14ac:dyDescent="0.25">
      <c r="C140" s="18">
        <f>SUM(D140:DU140)</f>
        <v>0</v>
      </c>
    </row>
    <row r="141" spans="3:3" x14ac:dyDescent="0.25">
      <c r="C141" s="18">
        <f>SUM(D141:DU141)</f>
        <v>0</v>
      </c>
    </row>
    <row r="142" spans="3:3" x14ac:dyDescent="0.25">
      <c r="C142" s="18">
        <f>SUM(D142:DU142)</f>
        <v>0</v>
      </c>
    </row>
    <row r="143" spans="3:3" x14ac:dyDescent="0.25">
      <c r="C143" s="18">
        <f>SUM(D143:DU143)</f>
        <v>0</v>
      </c>
    </row>
    <row r="144" spans="3:3" x14ac:dyDescent="0.25">
      <c r="C144" s="18">
        <f>SUM(D144:DU144)</f>
        <v>0</v>
      </c>
    </row>
    <row r="145" spans="3:3" x14ac:dyDescent="0.25">
      <c r="C145" s="18">
        <f>SUM(D145:DU145)</f>
        <v>0</v>
      </c>
    </row>
    <row r="146" spans="3:3" x14ac:dyDescent="0.25">
      <c r="C146" s="18">
        <f>SUM(D146:DU146)</f>
        <v>0</v>
      </c>
    </row>
    <row r="147" spans="3:3" x14ac:dyDescent="0.25">
      <c r="C147" s="18">
        <f>SUM(D147:DU147)</f>
        <v>0</v>
      </c>
    </row>
    <row r="148" spans="3:3" x14ac:dyDescent="0.25">
      <c r="C148" s="18">
        <f>SUM(D148:DU148)</f>
        <v>0</v>
      </c>
    </row>
    <row r="149" spans="3:3" x14ac:dyDescent="0.25">
      <c r="C149" s="18">
        <f>SUM(D149:DU149)</f>
        <v>0</v>
      </c>
    </row>
    <row r="150" spans="3:3" x14ac:dyDescent="0.25">
      <c r="C150" s="18">
        <f>SUM(D150:DU150)</f>
        <v>0</v>
      </c>
    </row>
    <row r="151" spans="3:3" x14ac:dyDescent="0.25">
      <c r="C151" s="18">
        <f>SUM(D151:DU151)</f>
        <v>0</v>
      </c>
    </row>
    <row r="152" spans="3:3" x14ac:dyDescent="0.25">
      <c r="C152" s="18">
        <f>SUM(D152:DU152)</f>
        <v>0</v>
      </c>
    </row>
    <row r="153" spans="3:3" x14ac:dyDescent="0.25">
      <c r="C153" s="18">
        <f>SUM(D153:DU153)</f>
        <v>0</v>
      </c>
    </row>
    <row r="154" spans="3:3" x14ac:dyDescent="0.25">
      <c r="C154" s="18">
        <f>SUM(D154:DU154)</f>
        <v>0</v>
      </c>
    </row>
    <row r="155" spans="3:3" x14ac:dyDescent="0.25">
      <c r="C155" s="18">
        <f>SUM(D155:DU155)</f>
        <v>0</v>
      </c>
    </row>
    <row r="156" spans="3:3" x14ac:dyDescent="0.25">
      <c r="C156" s="18">
        <f>SUM(D156:DU156)</f>
        <v>0</v>
      </c>
    </row>
    <row r="157" spans="3:3" x14ac:dyDescent="0.25">
      <c r="C157" s="18">
        <f>SUM(D157:DU157)</f>
        <v>0</v>
      </c>
    </row>
    <row r="158" spans="3:3" x14ac:dyDescent="0.25">
      <c r="C158" s="18">
        <f>SUM(D158:DU158)</f>
        <v>0</v>
      </c>
    </row>
    <row r="159" spans="3:3" x14ac:dyDescent="0.25">
      <c r="C159" s="18">
        <f>SUM(D159:DU159)</f>
        <v>0</v>
      </c>
    </row>
    <row r="160" spans="3:3" x14ac:dyDescent="0.25">
      <c r="C160" s="18">
        <f>SUM(D160:DU160)</f>
        <v>0</v>
      </c>
    </row>
    <row r="161" spans="3:3" x14ac:dyDescent="0.25">
      <c r="C161" s="18">
        <f>SUM(D161:DU161)</f>
        <v>0</v>
      </c>
    </row>
    <row r="162" spans="3:3" x14ac:dyDescent="0.25">
      <c r="C162" s="18">
        <f>SUM(D162:DU162)</f>
        <v>0</v>
      </c>
    </row>
    <row r="163" spans="3:3" x14ac:dyDescent="0.25">
      <c r="C163" s="18">
        <f>SUM(D163:DU163)</f>
        <v>0</v>
      </c>
    </row>
    <row r="164" spans="3:3" x14ac:dyDescent="0.25">
      <c r="C164" s="18">
        <f>SUM(D164:DU164)</f>
        <v>0</v>
      </c>
    </row>
    <row r="165" spans="3:3" x14ac:dyDescent="0.25">
      <c r="C165" s="18">
        <f>SUM(D165:DU165)</f>
        <v>0</v>
      </c>
    </row>
    <row r="166" spans="3:3" x14ac:dyDescent="0.25">
      <c r="C166" s="18">
        <f>SUM(D166:DU166)</f>
        <v>0</v>
      </c>
    </row>
    <row r="167" spans="3:3" x14ac:dyDescent="0.25">
      <c r="C167" s="18">
        <f>SUM(D167:DU167)</f>
        <v>0</v>
      </c>
    </row>
    <row r="168" spans="3:3" x14ac:dyDescent="0.25">
      <c r="C168" s="18">
        <f>SUM(D168:DU168)</f>
        <v>0</v>
      </c>
    </row>
    <row r="169" spans="3:3" x14ac:dyDescent="0.25">
      <c r="C169" s="18">
        <f>SUM(D169:DU169)</f>
        <v>0</v>
      </c>
    </row>
    <row r="170" spans="3:3" x14ac:dyDescent="0.25">
      <c r="C170" s="18">
        <f>SUM(D170:DU170)</f>
        <v>0</v>
      </c>
    </row>
    <row r="171" spans="3:3" x14ac:dyDescent="0.25">
      <c r="C171" s="18">
        <f>SUM(D171:DU171)</f>
        <v>0</v>
      </c>
    </row>
    <row r="172" spans="3:3" x14ac:dyDescent="0.25">
      <c r="C172" s="18">
        <f>SUM(D172:DU172)</f>
        <v>0</v>
      </c>
    </row>
    <row r="173" spans="3:3" x14ac:dyDescent="0.25">
      <c r="C173" s="18">
        <f>SUM(D173:DU173)</f>
        <v>0</v>
      </c>
    </row>
    <row r="174" spans="3:3" x14ac:dyDescent="0.25">
      <c r="C174" s="18">
        <f>SUM(D174:DU174)</f>
        <v>0</v>
      </c>
    </row>
    <row r="175" spans="3:3" x14ac:dyDescent="0.25">
      <c r="C175" s="18">
        <f>SUM(D175:DU175)</f>
        <v>0</v>
      </c>
    </row>
    <row r="176" spans="3:3" x14ac:dyDescent="0.25">
      <c r="C176" s="18">
        <f>SUM(D176:DU176)</f>
        <v>0</v>
      </c>
    </row>
    <row r="177" spans="3:3" x14ac:dyDescent="0.25">
      <c r="C177" s="18">
        <f>SUM(D177:DU177)</f>
        <v>0</v>
      </c>
    </row>
    <row r="178" spans="3:3" x14ac:dyDescent="0.25">
      <c r="C178" s="18">
        <f>SUM(D178:DU178)</f>
        <v>0</v>
      </c>
    </row>
    <row r="179" spans="3:3" x14ac:dyDescent="0.25">
      <c r="C179" s="18">
        <f>SUM(D179:DU179)</f>
        <v>0</v>
      </c>
    </row>
    <row r="180" spans="3:3" x14ac:dyDescent="0.25">
      <c r="C180" s="18">
        <f>SUM(D180:DU180)</f>
        <v>0</v>
      </c>
    </row>
    <row r="181" spans="3:3" x14ac:dyDescent="0.25">
      <c r="C181" s="18">
        <f>SUM(D181:DU181)</f>
        <v>0</v>
      </c>
    </row>
    <row r="182" spans="3:3" x14ac:dyDescent="0.25">
      <c r="C182" s="18">
        <f>SUM(D182:DU182)</f>
        <v>0</v>
      </c>
    </row>
    <row r="183" spans="3:3" x14ac:dyDescent="0.25">
      <c r="C183" s="18">
        <f>SUM(D183:DU183)</f>
        <v>0</v>
      </c>
    </row>
    <row r="184" spans="3:3" x14ac:dyDescent="0.25">
      <c r="C184" s="18">
        <f>SUM(D184:DU184)</f>
        <v>0</v>
      </c>
    </row>
    <row r="185" spans="3:3" x14ac:dyDescent="0.25">
      <c r="C185" s="18">
        <f>SUM(D185:DU185)</f>
        <v>0</v>
      </c>
    </row>
    <row r="186" spans="3:3" x14ac:dyDescent="0.25">
      <c r="C186" s="18">
        <f>SUM(D186:DU186)</f>
        <v>0</v>
      </c>
    </row>
    <row r="187" spans="3:3" x14ac:dyDescent="0.25">
      <c r="C187" s="18">
        <f>SUM(D187:DU187)</f>
        <v>0</v>
      </c>
    </row>
    <row r="188" spans="3:3" x14ac:dyDescent="0.25">
      <c r="C188" s="18">
        <f>SUM(D188:DU188)</f>
        <v>0</v>
      </c>
    </row>
    <row r="189" spans="3:3" x14ac:dyDescent="0.25">
      <c r="C189" s="18">
        <f>SUM(D189:DU189)</f>
        <v>0</v>
      </c>
    </row>
    <row r="190" spans="3:3" x14ac:dyDescent="0.25">
      <c r="C190" s="18">
        <f>SUM(D190:DU190)</f>
        <v>0</v>
      </c>
    </row>
    <row r="191" spans="3:3" x14ac:dyDescent="0.25">
      <c r="C191" s="18">
        <f>SUM(D191:DU191)</f>
        <v>0</v>
      </c>
    </row>
    <row r="192" spans="3:3" x14ac:dyDescent="0.25">
      <c r="C192" s="18">
        <f>SUM(D192:DU192)</f>
        <v>0</v>
      </c>
    </row>
    <row r="193" spans="3:3" x14ac:dyDescent="0.25">
      <c r="C193" s="18">
        <f>SUM(D193:DU193)</f>
        <v>0</v>
      </c>
    </row>
    <row r="194" spans="3:3" x14ac:dyDescent="0.25">
      <c r="C194" s="18">
        <f>SUM(D194:DU194)</f>
        <v>0</v>
      </c>
    </row>
    <row r="195" spans="3:3" x14ac:dyDescent="0.25">
      <c r="C195" s="18">
        <f>SUM(D195:DU195)</f>
        <v>0</v>
      </c>
    </row>
    <row r="196" spans="3:3" x14ac:dyDescent="0.25">
      <c r="C196" s="18">
        <f>SUM(D196:DU196)</f>
        <v>0</v>
      </c>
    </row>
    <row r="197" spans="3:3" x14ac:dyDescent="0.25">
      <c r="C197" s="18">
        <f>SUM(D197:DU197)</f>
        <v>0</v>
      </c>
    </row>
    <row r="198" spans="3:3" x14ac:dyDescent="0.25">
      <c r="C198" s="18">
        <f>SUM(D198:DU198)</f>
        <v>0</v>
      </c>
    </row>
    <row r="199" spans="3:3" x14ac:dyDescent="0.25">
      <c r="C199" s="18">
        <f>SUM(D199:DU199)</f>
        <v>0</v>
      </c>
    </row>
    <row r="200" spans="3:3" x14ac:dyDescent="0.25">
      <c r="C200" s="18">
        <f>SUM(D200:DU200)</f>
        <v>0</v>
      </c>
    </row>
    <row r="201" spans="3:3" x14ac:dyDescent="0.25">
      <c r="C201" s="18">
        <f>SUM(D201:DU201)</f>
        <v>0</v>
      </c>
    </row>
    <row r="202" spans="3:3" x14ac:dyDescent="0.25">
      <c r="C202" s="18">
        <f>SUM(D202:DU202)</f>
        <v>0</v>
      </c>
    </row>
    <row r="203" spans="3:3" x14ac:dyDescent="0.25">
      <c r="C203" s="18">
        <f>SUM(D203:DU203)</f>
        <v>0</v>
      </c>
    </row>
    <row r="204" spans="3:3" x14ac:dyDescent="0.25">
      <c r="C204" s="18">
        <f>SUM(D204:DU204)</f>
        <v>0</v>
      </c>
    </row>
    <row r="205" spans="3:3" x14ac:dyDescent="0.25">
      <c r="C205" s="18">
        <f>SUM(D205:DU205)</f>
        <v>0</v>
      </c>
    </row>
    <row r="206" spans="3:3" x14ac:dyDescent="0.25">
      <c r="C206" s="18">
        <f>SUM(D206:DU206)</f>
        <v>0</v>
      </c>
    </row>
    <row r="207" spans="3:3" x14ac:dyDescent="0.25">
      <c r="C207" s="18">
        <f>SUM(D207:DU207)</f>
        <v>0</v>
      </c>
    </row>
    <row r="208" spans="3:3" x14ac:dyDescent="0.25">
      <c r="C208" s="18">
        <f>SUM(D208:DU208)</f>
        <v>0</v>
      </c>
    </row>
    <row r="209" spans="3:3" x14ac:dyDescent="0.25">
      <c r="C209" s="18">
        <f>SUM(D209:DU209)</f>
        <v>0</v>
      </c>
    </row>
    <row r="210" spans="3:3" x14ac:dyDescent="0.25">
      <c r="C210" s="18">
        <f>SUM(D210:DU210)</f>
        <v>0</v>
      </c>
    </row>
    <row r="211" spans="3:3" x14ac:dyDescent="0.25">
      <c r="C211" s="18">
        <f>SUM(D211:DU211)</f>
        <v>0</v>
      </c>
    </row>
    <row r="212" spans="3:3" x14ac:dyDescent="0.25">
      <c r="C212" s="18">
        <f>SUM(D212:DU212)</f>
        <v>0</v>
      </c>
    </row>
    <row r="213" spans="3:3" x14ac:dyDescent="0.25">
      <c r="C213" s="18">
        <f>SUM(D213:DU213)</f>
        <v>0</v>
      </c>
    </row>
    <row r="214" spans="3:3" x14ac:dyDescent="0.25">
      <c r="C214" s="18">
        <f>SUM(D214:DU214)</f>
        <v>0</v>
      </c>
    </row>
    <row r="215" spans="3:3" x14ac:dyDescent="0.25">
      <c r="C215" s="18">
        <f>SUM(D215:DU215)</f>
        <v>0</v>
      </c>
    </row>
    <row r="216" spans="3:3" x14ac:dyDescent="0.25">
      <c r="C216" s="18">
        <f>SUM(D216:DU216)</f>
        <v>0</v>
      </c>
    </row>
    <row r="217" spans="3:3" x14ac:dyDescent="0.25">
      <c r="C217" s="18">
        <f>SUM(D217:DU217)</f>
        <v>0</v>
      </c>
    </row>
    <row r="218" spans="3:3" x14ac:dyDescent="0.25">
      <c r="C218" s="18">
        <f>SUM(D218:DU218)</f>
        <v>0</v>
      </c>
    </row>
    <row r="219" spans="3:3" x14ac:dyDescent="0.25">
      <c r="C219" s="18">
        <f>SUM(D219:DU219)</f>
        <v>0</v>
      </c>
    </row>
    <row r="220" spans="3:3" x14ac:dyDescent="0.25">
      <c r="C220" s="18">
        <f>SUM(D220:DU220)</f>
        <v>0</v>
      </c>
    </row>
    <row r="221" spans="3:3" x14ac:dyDescent="0.25">
      <c r="C221" s="18">
        <f>SUM(D221:DU221)</f>
        <v>0</v>
      </c>
    </row>
    <row r="222" spans="3:3" x14ac:dyDescent="0.25">
      <c r="C222" s="18">
        <f>SUM(D222:DU222)</f>
        <v>0</v>
      </c>
    </row>
    <row r="223" spans="3:3" x14ac:dyDescent="0.25">
      <c r="C223" s="18">
        <f>SUM(D223:DU223)</f>
        <v>0</v>
      </c>
    </row>
    <row r="224" spans="3:3" x14ac:dyDescent="0.25">
      <c r="C224" s="18">
        <f>SUM(D224:DU224)</f>
        <v>0</v>
      </c>
    </row>
    <row r="225" spans="3:3" x14ac:dyDescent="0.25">
      <c r="C225" s="18">
        <f>SUM(D225:DU225)</f>
        <v>0</v>
      </c>
    </row>
    <row r="226" spans="3:3" x14ac:dyDescent="0.25">
      <c r="C226" s="18">
        <f>SUM(D226:DU226)</f>
        <v>0</v>
      </c>
    </row>
    <row r="227" spans="3:3" x14ac:dyDescent="0.25">
      <c r="C227" s="18">
        <f>SUM(D227:DU227)</f>
        <v>0</v>
      </c>
    </row>
    <row r="228" spans="3:3" x14ac:dyDescent="0.25">
      <c r="C228" s="18">
        <f>SUM(D228:DU228)</f>
        <v>0</v>
      </c>
    </row>
    <row r="229" spans="3:3" x14ac:dyDescent="0.25">
      <c r="C229" s="18">
        <f>SUM(D229:DU229)</f>
        <v>0</v>
      </c>
    </row>
    <row r="230" spans="3:3" x14ac:dyDescent="0.25">
      <c r="C230" s="18">
        <f>SUM(D230:DU230)</f>
        <v>0</v>
      </c>
    </row>
    <row r="231" spans="3:3" x14ac:dyDescent="0.25">
      <c r="C231" s="18">
        <f>SUM(D231:DU231)</f>
        <v>0</v>
      </c>
    </row>
    <row r="232" spans="3:3" x14ac:dyDescent="0.25">
      <c r="C232" s="18">
        <f>SUM(D232:DU232)</f>
        <v>0</v>
      </c>
    </row>
    <row r="233" spans="3:3" x14ac:dyDescent="0.25">
      <c r="C233" s="18">
        <f>SUM(D233:DU233)</f>
        <v>0</v>
      </c>
    </row>
    <row r="234" spans="3:3" x14ac:dyDescent="0.25">
      <c r="C234" s="18">
        <f>SUM(D234:DU234)</f>
        <v>0</v>
      </c>
    </row>
    <row r="235" spans="3:3" x14ac:dyDescent="0.25">
      <c r="C235" s="18">
        <f>SUM(D235:DU235)</f>
        <v>0</v>
      </c>
    </row>
    <row r="236" spans="3:3" x14ac:dyDescent="0.25">
      <c r="C236" s="18">
        <f>SUM(D236:DU236)</f>
        <v>0</v>
      </c>
    </row>
    <row r="237" spans="3:3" x14ac:dyDescent="0.25">
      <c r="C237" s="18">
        <f>SUM(D237:DU237)</f>
        <v>0</v>
      </c>
    </row>
    <row r="238" spans="3:3" x14ac:dyDescent="0.25">
      <c r="C238" s="18">
        <f>SUM(D238:DU238)</f>
        <v>0</v>
      </c>
    </row>
    <row r="239" spans="3:3" x14ac:dyDescent="0.25">
      <c r="C239" s="18">
        <f>SUM(D239:DU239)</f>
        <v>0</v>
      </c>
    </row>
    <row r="240" spans="3:3" x14ac:dyDescent="0.25">
      <c r="C240" s="18">
        <f>SUM(D240:DU240)</f>
        <v>0</v>
      </c>
    </row>
    <row r="241" spans="3:3" x14ac:dyDescent="0.25">
      <c r="C241" s="18">
        <f>SUM(D241:DU241)</f>
        <v>0</v>
      </c>
    </row>
    <row r="242" spans="3:3" x14ac:dyDescent="0.25">
      <c r="C242" s="18">
        <f>SUM(D242:DU242)</f>
        <v>0</v>
      </c>
    </row>
    <row r="243" spans="3:3" x14ac:dyDescent="0.25">
      <c r="C243" s="18">
        <f>SUM(D243:DU243)</f>
        <v>0</v>
      </c>
    </row>
    <row r="244" spans="3:3" x14ac:dyDescent="0.25">
      <c r="C244" s="18">
        <f>SUM(D244:DU244)</f>
        <v>0</v>
      </c>
    </row>
    <row r="245" spans="3:3" x14ac:dyDescent="0.25">
      <c r="C245" s="18">
        <f>SUM(D245:DU245)</f>
        <v>0</v>
      </c>
    </row>
    <row r="246" spans="3:3" x14ac:dyDescent="0.25">
      <c r="C246" s="18">
        <f>SUM(D246:DU246)</f>
        <v>0</v>
      </c>
    </row>
    <row r="247" spans="3:3" x14ac:dyDescent="0.25">
      <c r="C247" s="18">
        <f>SUM(D247:DU247)</f>
        <v>0</v>
      </c>
    </row>
    <row r="248" spans="3:3" x14ac:dyDescent="0.25">
      <c r="C248" s="18">
        <f>SUM(D248:DU248)</f>
        <v>0</v>
      </c>
    </row>
    <row r="249" spans="3:3" x14ac:dyDescent="0.25">
      <c r="C249" s="18">
        <f>SUM(D249:DU249)</f>
        <v>0</v>
      </c>
    </row>
    <row r="250" spans="3:3" x14ac:dyDescent="0.25">
      <c r="C250" s="18">
        <f>SUM(D250:DU250)</f>
        <v>0</v>
      </c>
    </row>
    <row r="251" spans="3:3" x14ac:dyDescent="0.25">
      <c r="C251" s="18">
        <f>SUM(D251:DU251)</f>
        <v>0</v>
      </c>
    </row>
    <row r="252" spans="3:3" x14ac:dyDescent="0.25">
      <c r="C252" s="18">
        <f>SUM(D252:DU252)</f>
        <v>0</v>
      </c>
    </row>
    <row r="253" spans="3:3" x14ac:dyDescent="0.25">
      <c r="C253" s="18">
        <f>SUM(D253:DU253)</f>
        <v>0</v>
      </c>
    </row>
    <row r="254" spans="3:3" x14ac:dyDescent="0.25">
      <c r="C254" s="18">
        <f>SUM(D254:DU254)</f>
        <v>0</v>
      </c>
    </row>
    <row r="255" spans="3:3" x14ac:dyDescent="0.25">
      <c r="C255" s="18">
        <f>SUM(D255:DU255)</f>
        <v>0</v>
      </c>
    </row>
    <row r="256" spans="3:3" x14ac:dyDescent="0.25">
      <c r="C256" s="18">
        <f>SUM(D256:DU256)</f>
        <v>0</v>
      </c>
    </row>
    <row r="257" spans="3:3" x14ac:dyDescent="0.25">
      <c r="C257" s="18">
        <f>SUM(D257:DU257)</f>
        <v>0</v>
      </c>
    </row>
    <row r="258" spans="3:3" x14ac:dyDescent="0.25">
      <c r="C258" s="18">
        <f>SUM(D258:DU258)</f>
        <v>0</v>
      </c>
    </row>
    <row r="259" spans="3:3" x14ac:dyDescent="0.25">
      <c r="C259" s="18">
        <f>SUM(D259:DU259)</f>
        <v>0</v>
      </c>
    </row>
    <row r="260" spans="3:3" x14ac:dyDescent="0.25">
      <c r="C260" s="18">
        <f>SUM(D260:DU260)</f>
        <v>0</v>
      </c>
    </row>
    <row r="261" spans="3:3" x14ac:dyDescent="0.25">
      <c r="C261" s="18">
        <f>SUM(D261:DU261)</f>
        <v>0</v>
      </c>
    </row>
    <row r="262" spans="3:3" x14ac:dyDescent="0.25">
      <c r="C262" s="18">
        <f>SUM(D262:DU262)</f>
        <v>0</v>
      </c>
    </row>
    <row r="263" spans="3:3" x14ac:dyDescent="0.25">
      <c r="C263" s="18">
        <f>SUM(D263:DU263)</f>
        <v>0</v>
      </c>
    </row>
    <row r="264" spans="3:3" x14ac:dyDescent="0.25">
      <c r="C264" s="18">
        <f>SUM(D264:DU264)</f>
        <v>0</v>
      </c>
    </row>
    <row r="265" spans="3:3" x14ac:dyDescent="0.25">
      <c r="C265" s="18">
        <f>SUM(D265:DU265)</f>
        <v>0</v>
      </c>
    </row>
    <row r="266" spans="3:3" x14ac:dyDescent="0.25">
      <c r="C266" s="18">
        <f>SUM(D266:DU266)</f>
        <v>0</v>
      </c>
    </row>
    <row r="267" spans="3:3" x14ac:dyDescent="0.25">
      <c r="C267" s="18">
        <f>SUM(D267:DU267)</f>
        <v>0</v>
      </c>
    </row>
    <row r="268" spans="3:3" x14ac:dyDescent="0.25">
      <c r="C268" s="18">
        <f>SUM(D268:DU268)</f>
        <v>0</v>
      </c>
    </row>
    <row r="269" spans="3:3" x14ac:dyDescent="0.25">
      <c r="C269" s="18">
        <f>SUM(D269:DU269)</f>
        <v>0</v>
      </c>
    </row>
    <row r="270" spans="3:3" x14ac:dyDescent="0.25">
      <c r="C270" s="18">
        <f>SUM(D270:DU270)</f>
        <v>0</v>
      </c>
    </row>
  </sheetData>
  <sortState ref="A6191:IW6194">
    <sortCondition ref="A6191:A6194"/>
  </sortState>
  <mergeCells count="1">
    <mergeCell ref="A1:B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88"/>
    <col min="2" max="3" width="20.7109375" style="88" customWidth="1"/>
    <col min="4" max="16384" width="9.140625" style="88"/>
  </cols>
  <sheetData>
    <row r="1" spans="1:4" x14ac:dyDescent="0.25">
      <c r="A1" s="89"/>
      <c r="B1" s="89"/>
      <c r="C1" s="89"/>
      <c r="D1" s="89"/>
    </row>
    <row r="2" spans="1:4" x14ac:dyDescent="0.25">
      <c r="A2" s="89"/>
      <c r="B2" s="89"/>
      <c r="C2" s="89"/>
      <c r="D2" s="89"/>
    </row>
    <row r="3" spans="1:4" ht="20.100000000000001" customHeight="1" x14ac:dyDescent="0.25">
      <c r="A3" s="89"/>
      <c r="B3" s="271" t="s">
        <v>10</v>
      </c>
      <c r="C3" s="271"/>
      <c r="D3" s="89"/>
    </row>
    <row r="4" spans="1:4" ht="20.100000000000001" customHeight="1" x14ac:dyDescent="0.25">
      <c r="A4" s="89"/>
      <c r="B4" s="271"/>
      <c r="C4" s="271"/>
      <c r="D4" s="89"/>
    </row>
    <row r="5" spans="1:4" ht="20.100000000000001" customHeight="1" x14ac:dyDescent="0.25">
      <c r="A5" s="89"/>
      <c r="B5" s="90">
        <v>0.3</v>
      </c>
      <c r="C5" s="91">
        <v>3.4</v>
      </c>
      <c r="D5" s="89"/>
    </row>
    <row r="6" spans="1:4" ht="20.100000000000001" customHeight="1" x14ac:dyDescent="0.25">
      <c r="A6" s="89"/>
      <c r="B6" s="90">
        <v>0.5</v>
      </c>
      <c r="C6" s="91">
        <f>21.6+20.86+3.44+17.62</f>
        <v>63.519999999999996</v>
      </c>
      <c r="D6" s="89"/>
    </row>
    <row r="7" spans="1:4" ht="20.100000000000001" customHeight="1" x14ac:dyDescent="0.25">
      <c r="A7" s="89"/>
      <c r="B7" s="90">
        <v>0.55000000000000004</v>
      </c>
      <c r="C7" s="91">
        <v>10.46</v>
      </c>
      <c r="D7" s="89"/>
    </row>
    <row r="8" spans="1:4" ht="20.100000000000001" customHeight="1" x14ac:dyDescent="0.25">
      <c r="A8" s="89"/>
      <c r="B8" s="90">
        <v>1</v>
      </c>
      <c r="C8" s="91">
        <v>2.5</v>
      </c>
      <c r="D8" s="89"/>
    </row>
    <row r="9" spans="1:4" ht="20.100000000000001" customHeight="1" x14ac:dyDescent="0.25">
      <c r="A9" s="89"/>
      <c r="B9" s="90">
        <v>1.2</v>
      </c>
      <c r="C9" s="91">
        <v>16.399999999999999</v>
      </c>
      <c r="D9" s="89"/>
    </row>
    <row r="10" spans="1:4" ht="20.100000000000001" customHeight="1" x14ac:dyDescent="0.25">
      <c r="A10" s="89"/>
      <c r="B10" s="90">
        <v>1.3</v>
      </c>
      <c r="C10" s="91">
        <v>4.8</v>
      </c>
      <c r="D10" s="89"/>
    </row>
    <row r="11" spans="1:4" ht="20.100000000000001" customHeight="1" x14ac:dyDescent="0.25">
      <c r="A11" s="89"/>
      <c r="B11" s="90">
        <v>1.4</v>
      </c>
      <c r="C11" s="91">
        <v>9.14</v>
      </c>
      <c r="D11" s="89"/>
    </row>
    <row r="12" spans="1:4" ht="20.100000000000001" customHeight="1" x14ac:dyDescent="0.25">
      <c r="A12" s="89"/>
      <c r="B12" s="90">
        <v>1.6</v>
      </c>
      <c r="C12" s="91">
        <v>9.2200000000000006</v>
      </c>
      <c r="D12" s="89"/>
    </row>
    <row r="13" spans="1:4" ht="20.100000000000001" customHeight="1" x14ac:dyDescent="0.25">
      <c r="A13" s="89"/>
      <c r="B13" s="90">
        <v>1.7</v>
      </c>
      <c r="C13" s="91">
        <v>18.5</v>
      </c>
      <c r="D13" s="89"/>
    </row>
    <row r="14" spans="1:4" ht="20.100000000000001" customHeight="1" x14ac:dyDescent="0.25">
      <c r="A14" s="89"/>
      <c r="B14" s="90">
        <v>1.8</v>
      </c>
      <c r="C14" s="91">
        <v>64.48</v>
      </c>
      <c r="D14" s="89"/>
    </row>
    <row r="15" spans="1:4" ht="20.100000000000001" customHeight="1" x14ac:dyDescent="0.25">
      <c r="A15" s="89"/>
      <c r="B15" s="90">
        <v>3.5</v>
      </c>
      <c r="C15" s="91">
        <v>52.36</v>
      </c>
      <c r="D15" s="89"/>
    </row>
    <row r="16" spans="1:4" x14ac:dyDescent="0.25">
      <c r="A16" s="89"/>
      <c r="B16" s="89"/>
      <c r="C16" s="89"/>
      <c r="D16" s="89"/>
    </row>
    <row r="17" spans="1:4" x14ac:dyDescent="0.25">
      <c r="A17" s="89"/>
      <c r="B17" s="89"/>
      <c r="C17" s="89"/>
      <c r="D17" s="89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77"/>
  <sheetViews>
    <sheetView zoomScale="129" zoomScaleNormal="129" zoomScalePageLayoutView="55" workbookViewId="0">
      <selection sqref="A1:XFD1048576"/>
    </sheetView>
  </sheetViews>
  <sheetFormatPr defaultColWidth="9.140625" defaultRowHeight="26.25" x14ac:dyDescent="0.4"/>
  <cols>
    <col min="1" max="1" width="18.7109375" style="294" customWidth="1"/>
    <col min="2" max="2" width="18.7109375" style="295" customWidth="1"/>
    <col min="3" max="3" width="18.7109375" style="64" customWidth="1"/>
    <col min="4" max="9" width="18.7109375" style="65" customWidth="1"/>
    <col min="10" max="10" width="18.7109375" style="64" customWidth="1"/>
    <col min="11" max="16384" width="9.140625" style="64"/>
  </cols>
  <sheetData>
    <row r="1" spans="1:23" ht="21.95" customHeight="1" x14ac:dyDescent="0.4">
      <c r="A1" s="292" t="s">
        <v>35</v>
      </c>
      <c r="B1" s="193" t="s">
        <v>36</v>
      </c>
      <c r="C1" s="193" t="s">
        <v>27</v>
      </c>
      <c r="D1" s="291" t="s">
        <v>16</v>
      </c>
      <c r="E1" s="291" t="s">
        <v>17</v>
      </c>
      <c r="F1" s="291" t="s">
        <v>2</v>
      </c>
      <c r="G1" s="291" t="s">
        <v>3</v>
      </c>
      <c r="H1" s="291" t="s">
        <v>6</v>
      </c>
      <c r="I1" s="291" t="s">
        <v>5</v>
      </c>
      <c r="J1" s="193" t="s">
        <v>4</v>
      </c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</row>
    <row r="2" spans="1:23" s="73" customFormat="1" ht="18.600000000000001" customHeight="1" x14ac:dyDescent="0.35">
      <c r="A2" s="292" t="s">
        <v>30</v>
      </c>
      <c r="B2" s="193" t="s">
        <v>18</v>
      </c>
      <c r="C2" s="193">
        <v>102</v>
      </c>
      <c r="D2" s="127"/>
      <c r="E2" s="127">
        <f>'STOK DETAY'!D6</f>
        <v>25.675000000000001</v>
      </c>
      <c r="F2" s="127"/>
      <c r="G2" s="127"/>
      <c r="H2" s="127"/>
      <c r="I2" s="127"/>
      <c r="J2" s="146">
        <f>SUM(D2:I2)</f>
        <v>25.675000000000001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</row>
    <row r="3" spans="1:23" s="73" customFormat="1" ht="18.600000000000001" customHeight="1" x14ac:dyDescent="0.35">
      <c r="A3" s="292" t="s">
        <v>31</v>
      </c>
      <c r="B3" s="193" t="s">
        <v>18</v>
      </c>
      <c r="C3" s="193">
        <v>102</v>
      </c>
      <c r="D3" s="127"/>
      <c r="E3" s="127">
        <f>'STOK DETAY'!E6</f>
        <v>0</v>
      </c>
      <c r="F3" s="127"/>
      <c r="G3" s="127"/>
      <c r="H3" s="127"/>
      <c r="I3" s="127"/>
      <c r="J3" s="146">
        <f>SUM(D3:I3)</f>
        <v>0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</row>
    <row r="4" spans="1:23" s="73" customFormat="1" ht="18.600000000000001" customHeight="1" x14ac:dyDescent="0.35">
      <c r="A4" s="292" t="s">
        <v>32</v>
      </c>
      <c r="B4" s="193" t="s">
        <v>18</v>
      </c>
      <c r="C4" s="193">
        <v>102</v>
      </c>
      <c r="D4" s="127"/>
      <c r="E4" s="127">
        <f>'STOK DETAY'!F6</f>
        <v>0</v>
      </c>
      <c r="F4" s="127"/>
      <c r="G4" s="127"/>
      <c r="H4" s="127"/>
      <c r="I4" s="127"/>
      <c r="J4" s="146">
        <f>SUM(D4:I4)</f>
        <v>0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</row>
    <row r="5" spans="1:23" s="73" customFormat="1" ht="18.600000000000001" customHeight="1" x14ac:dyDescent="0.35">
      <c r="A5" s="292" t="s">
        <v>33</v>
      </c>
      <c r="B5" s="193" t="s">
        <v>18</v>
      </c>
      <c r="C5" s="193"/>
      <c r="D5" s="146"/>
      <c r="E5" s="146">
        <f>'STOK DETAY'!G6</f>
        <v>0</v>
      </c>
      <c r="F5" s="146"/>
      <c r="G5" s="146"/>
      <c r="H5" s="146"/>
      <c r="I5" s="146"/>
      <c r="J5" s="146">
        <f>SUM(D5:I5)</f>
        <v>0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</row>
    <row r="6" spans="1:23" s="73" customFormat="1" ht="18.600000000000001" customHeight="1" x14ac:dyDescent="0.35">
      <c r="A6" s="292" t="s">
        <v>34</v>
      </c>
      <c r="B6" s="193" t="s">
        <v>14</v>
      </c>
      <c r="C6" s="193">
        <v>312</v>
      </c>
      <c r="D6" s="127">
        <f>'STOK DETAY'!H6</f>
        <v>92.75</v>
      </c>
      <c r="E6" s="127"/>
      <c r="F6" s="127"/>
      <c r="G6" s="127"/>
      <c r="H6" s="127"/>
      <c r="I6" s="127"/>
      <c r="J6" s="146">
        <f>SUM(D6:I6)</f>
        <v>92.75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</row>
    <row r="7" spans="1:23" s="73" customFormat="1" ht="18.600000000000001" customHeight="1" x14ac:dyDescent="0.35">
      <c r="A7" s="292" t="s">
        <v>37</v>
      </c>
      <c r="B7" s="193" t="s">
        <v>14</v>
      </c>
      <c r="C7" s="193">
        <v>113</v>
      </c>
      <c r="D7" s="127">
        <f>'STOK DETAY'!I6</f>
        <v>6.06</v>
      </c>
      <c r="E7" s="127"/>
      <c r="F7" s="127"/>
      <c r="G7" s="127"/>
      <c r="H7" s="127"/>
      <c r="I7" s="127"/>
      <c r="J7" s="146">
        <f>SUM(D7:I7)</f>
        <v>6.06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</row>
    <row r="8" spans="1:23" s="73" customFormat="1" ht="18.600000000000001" customHeight="1" x14ac:dyDescent="0.35">
      <c r="A8" s="292" t="s">
        <v>38</v>
      </c>
      <c r="B8" s="193" t="s">
        <v>14</v>
      </c>
      <c r="C8" s="193">
        <v>113</v>
      </c>
      <c r="D8" s="146">
        <f>'STOK DETAY'!J6</f>
        <v>32.06</v>
      </c>
      <c r="E8" s="146"/>
      <c r="F8" s="146"/>
      <c r="G8" s="146"/>
      <c r="H8" s="146"/>
      <c r="I8" s="146"/>
      <c r="J8" s="146">
        <f>SUM(D8:I8)</f>
        <v>32.06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</row>
    <row r="9" spans="1:23" s="73" customFormat="1" ht="18.600000000000001" customHeight="1" x14ac:dyDescent="0.35">
      <c r="A9" s="292" t="s">
        <v>39</v>
      </c>
      <c r="B9" s="193" t="s">
        <v>14</v>
      </c>
      <c r="C9" s="193">
        <v>103</v>
      </c>
      <c r="D9" s="146">
        <f>'STOK DETAY'!K6</f>
        <v>0</v>
      </c>
      <c r="E9" s="146"/>
      <c r="F9" s="146"/>
      <c r="G9" s="146"/>
      <c r="H9" s="146"/>
      <c r="I9" s="146"/>
      <c r="J9" s="146">
        <f>SUM(D9:I9)</f>
        <v>0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</row>
    <row r="10" spans="1:23" s="73" customFormat="1" ht="18.600000000000001" customHeight="1" x14ac:dyDescent="0.35">
      <c r="A10" s="292" t="s">
        <v>40</v>
      </c>
      <c r="B10" s="193" t="s">
        <v>14</v>
      </c>
      <c r="C10" s="193">
        <v>103</v>
      </c>
      <c r="D10" s="146">
        <f>'STOK DETAY'!L6</f>
        <v>0</v>
      </c>
      <c r="E10" s="146"/>
      <c r="F10" s="146"/>
      <c r="G10" s="146"/>
      <c r="H10" s="146"/>
      <c r="I10" s="146"/>
      <c r="J10" s="146">
        <f>SUM(D10:I10)</f>
        <v>0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</row>
    <row r="11" spans="1:23" s="73" customFormat="1" ht="18.600000000000001" customHeight="1" x14ac:dyDescent="0.35">
      <c r="A11" s="292" t="s">
        <v>41</v>
      </c>
      <c r="B11" s="193" t="s">
        <v>14</v>
      </c>
      <c r="C11" s="193">
        <v>212</v>
      </c>
      <c r="D11" s="146">
        <f>'STOK DETAY'!M6</f>
        <v>89.04</v>
      </c>
      <c r="E11" s="146"/>
      <c r="F11" s="146"/>
      <c r="G11" s="146"/>
      <c r="H11" s="146"/>
      <c r="I11" s="146"/>
      <c r="J11" s="146">
        <f>SUM(D11:I11)</f>
        <v>89.04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</row>
    <row r="12" spans="1:23" s="73" customFormat="1" ht="18.600000000000001" customHeight="1" x14ac:dyDescent="0.35">
      <c r="A12" s="292" t="s">
        <v>42</v>
      </c>
      <c r="B12" s="193" t="s">
        <v>14</v>
      </c>
      <c r="C12" s="193">
        <v>201</v>
      </c>
      <c r="D12" s="146">
        <f>'STOK DETAY'!N6</f>
        <v>26.79</v>
      </c>
      <c r="E12" s="146"/>
      <c r="F12" s="149"/>
      <c r="G12" s="146"/>
      <c r="H12" s="146"/>
      <c r="I12" s="146"/>
      <c r="J12" s="146">
        <f>SUM(D12:I12)</f>
        <v>26.79</v>
      </c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</row>
    <row r="13" spans="1:23" s="73" customFormat="1" ht="18.600000000000001" customHeight="1" x14ac:dyDescent="0.35">
      <c r="A13" s="292" t="s">
        <v>43</v>
      </c>
      <c r="B13" s="193" t="s">
        <v>14</v>
      </c>
      <c r="C13" s="193">
        <v>201</v>
      </c>
      <c r="D13" s="146">
        <f>'STOK DETAY'!O6</f>
        <v>14.455</v>
      </c>
      <c r="E13" s="146"/>
      <c r="F13" s="146"/>
      <c r="G13" s="146"/>
      <c r="H13" s="146"/>
      <c r="I13" s="146"/>
      <c r="J13" s="146">
        <f>SUM(D13:I13)</f>
        <v>14.455</v>
      </c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</row>
    <row r="14" spans="1:23" s="73" customFormat="1" ht="18.600000000000001" customHeight="1" x14ac:dyDescent="0.35">
      <c r="A14" s="292" t="s">
        <v>30</v>
      </c>
      <c r="B14" s="193" t="s">
        <v>14</v>
      </c>
      <c r="C14" s="193">
        <v>202</v>
      </c>
      <c r="D14" s="146">
        <f>'STOK DETAY'!P6</f>
        <v>38.564999999999998</v>
      </c>
      <c r="E14" s="146"/>
      <c r="F14" s="146"/>
      <c r="G14" s="146"/>
      <c r="H14" s="146"/>
      <c r="I14" s="146"/>
      <c r="J14" s="146">
        <f>SUM(D14:I14)</f>
        <v>38.564999999999998</v>
      </c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</row>
    <row r="15" spans="1:23" s="73" customFormat="1" ht="18.600000000000001" customHeight="1" x14ac:dyDescent="0.35">
      <c r="A15" s="292" t="s">
        <v>44</v>
      </c>
      <c r="B15" s="193" t="s">
        <v>14</v>
      </c>
      <c r="C15" s="193">
        <v>202</v>
      </c>
      <c r="D15" s="146">
        <f>'STOK DETAY'!Q6</f>
        <v>16.21</v>
      </c>
      <c r="E15" s="146"/>
      <c r="F15" s="146"/>
      <c r="G15" s="146"/>
      <c r="H15" s="146"/>
      <c r="I15" s="146"/>
      <c r="J15" s="146">
        <f>SUM(D15:I15)</f>
        <v>16.21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</row>
    <row r="16" spans="1:23" s="73" customFormat="1" ht="18.600000000000001" customHeight="1" x14ac:dyDescent="0.35">
      <c r="A16" s="292" t="s">
        <v>45</v>
      </c>
      <c r="B16" s="193" t="s">
        <v>14</v>
      </c>
      <c r="C16" s="193">
        <v>212</v>
      </c>
      <c r="D16" s="146">
        <f>'STOK DETAY'!R6</f>
        <v>24.22</v>
      </c>
      <c r="E16" s="146"/>
      <c r="F16" s="146"/>
      <c r="G16" s="146"/>
      <c r="H16" s="146"/>
      <c r="I16" s="146"/>
      <c r="J16" s="146">
        <f>SUM(D16:I16)</f>
        <v>24.22</v>
      </c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</row>
    <row r="17" spans="1:23" s="73" customFormat="1" ht="18.600000000000001" customHeight="1" x14ac:dyDescent="0.35">
      <c r="A17" s="292" t="s">
        <v>31</v>
      </c>
      <c r="B17" s="193" t="s">
        <v>14</v>
      </c>
      <c r="C17" s="193">
        <v>203</v>
      </c>
      <c r="D17" s="146">
        <f>'STOK DETAY'!S6</f>
        <v>65.760000000000005</v>
      </c>
      <c r="E17" s="146"/>
      <c r="F17" s="146"/>
      <c r="G17" s="146"/>
      <c r="H17" s="146"/>
      <c r="I17" s="146"/>
      <c r="J17" s="146">
        <f>SUM(D17:I17)</f>
        <v>65.760000000000005</v>
      </c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</row>
    <row r="18" spans="1:23" s="73" customFormat="1" ht="18.600000000000001" customHeight="1" x14ac:dyDescent="0.35">
      <c r="A18" s="292" t="s">
        <v>46</v>
      </c>
      <c r="B18" s="193" t="s">
        <v>14</v>
      </c>
      <c r="C18" s="193">
        <v>203</v>
      </c>
      <c r="D18" s="146">
        <f>'STOK DETAY'!T6</f>
        <v>7.94</v>
      </c>
      <c r="E18" s="146"/>
      <c r="F18" s="146"/>
      <c r="G18" s="146"/>
      <c r="H18" s="146"/>
      <c r="I18" s="146"/>
      <c r="J18" s="146">
        <f>SUM(D18:I18)</f>
        <v>7.94</v>
      </c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</row>
    <row r="19" spans="1:23" s="73" customFormat="1" ht="18.600000000000001" customHeight="1" x14ac:dyDescent="0.35">
      <c r="A19" s="292" t="s">
        <v>32</v>
      </c>
      <c r="B19" s="193" t="s">
        <v>14</v>
      </c>
      <c r="C19" s="193">
        <v>301</v>
      </c>
      <c r="D19" s="146">
        <f>'STOK DETAY'!U6</f>
        <v>0</v>
      </c>
      <c r="E19" s="146">
        <f>'STOK DETAY'!V6</f>
        <v>0</v>
      </c>
      <c r="F19" s="146"/>
      <c r="G19" s="146"/>
      <c r="H19" s="146"/>
      <c r="I19" s="146"/>
      <c r="J19" s="146">
        <f>SUM(D19:I19)</f>
        <v>0</v>
      </c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</row>
    <row r="20" spans="1:23" s="73" customFormat="1" ht="18.600000000000001" customHeight="1" x14ac:dyDescent="0.35">
      <c r="A20" s="292" t="s">
        <v>47</v>
      </c>
      <c r="B20" s="193" t="s">
        <v>14</v>
      </c>
      <c r="C20" s="193">
        <v>301</v>
      </c>
      <c r="D20" s="146">
        <f>'STOK DETAY'!W6</f>
        <v>0</v>
      </c>
      <c r="E20" s="146">
        <f>'STOK DETAY'!X6</f>
        <v>0</v>
      </c>
      <c r="F20" s="146"/>
      <c r="G20" s="146"/>
      <c r="H20" s="146"/>
      <c r="I20" s="146"/>
      <c r="J20" s="146">
        <f>SUM(D20:I20)</f>
        <v>0</v>
      </c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</row>
    <row r="21" spans="1:23" s="73" customFormat="1" ht="18.600000000000001" customHeight="1" x14ac:dyDescent="0.35">
      <c r="A21" s="292" t="s">
        <v>48</v>
      </c>
      <c r="B21" s="193" t="s">
        <v>14</v>
      </c>
      <c r="C21" s="193">
        <v>302</v>
      </c>
      <c r="D21" s="146">
        <f>'STOK DETAY'!Y6</f>
        <v>0</v>
      </c>
      <c r="E21" s="146">
        <f>'STOK DETAY'!Z6</f>
        <v>0</v>
      </c>
      <c r="F21" s="146"/>
      <c r="G21" s="146"/>
      <c r="H21" s="146"/>
      <c r="I21" s="146"/>
      <c r="J21" s="146">
        <f>SUM(D21:I21)</f>
        <v>0</v>
      </c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</row>
    <row r="22" spans="1:23" s="73" customFormat="1" ht="18.600000000000001" customHeight="1" x14ac:dyDescent="0.35">
      <c r="A22" s="292" t="s">
        <v>49</v>
      </c>
      <c r="B22" s="193" t="s">
        <v>14</v>
      </c>
      <c r="C22" s="193">
        <v>302</v>
      </c>
      <c r="D22" s="146">
        <f>'STOK DETAY'!AA6</f>
        <v>0</v>
      </c>
      <c r="E22" s="146">
        <f>'STOK DETAY'!AB6</f>
        <v>0</v>
      </c>
      <c r="F22" s="146"/>
      <c r="G22" s="146"/>
      <c r="H22" s="146"/>
      <c r="I22" s="146"/>
      <c r="J22" s="146">
        <f>SUM(D22:I22)</f>
        <v>0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</row>
    <row r="23" spans="1:23" s="73" customFormat="1" ht="18.600000000000001" customHeight="1" x14ac:dyDescent="0.35">
      <c r="A23" s="292" t="s">
        <v>50</v>
      </c>
      <c r="B23" s="193" t="s">
        <v>14</v>
      </c>
      <c r="C23" s="193">
        <v>303</v>
      </c>
      <c r="D23" s="146">
        <f>'STOK DETAY'!AC6</f>
        <v>0</v>
      </c>
      <c r="E23" s="146">
        <f>'STOK DETAY'!AD6</f>
        <v>0</v>
      </c>
      <c r="F23" s="146"/>
      <c r="G23" s="146"/>
      <c r="H23" s="146"/>
      <c r="I23" s="146"/>
      <c r="J23" s="146">
        <f>SUM(D23:I23)</f>
        <v>0</v>
      </c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</row>
    <row r="24" spans="1:23" s="73" customFormat="1" ht="18.600000000000001" customHeight="1" x14ac:dyDescent="0.35">
      <c r="A24" s="292" t="s">
        <v>51</v>
      </c>
      <c r="B24" s="193" t="s">
        <v>14</v>
      </c>
      <c r="C24" s="193">
        <v>303</v>
      </c>
      <c r="D24" s="146">
        <f>'STOK DETAY'!AE6</f>
        <v>0</v>
      </c>
      <c r="E24" s="146">
        <f>'STOK DETAY'!AF6</f>
        <v>0</v>
      </c>
      <c r="F24" s="146"/>
      <c r="G24" s="146"/>
      <c r="H24" s="146"/>
      <c r="I24" s="146"/>
      <c r="J24" s="146">
        <f>SUM(D24:I24)</f>
        <v>0</v>
      </c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</row>
    <row r="25" spans="1:23" s="73" customFormat="1" ht="18.600000000000001" customHeight="1" x14ac:dyDescent="0.35">
      <c r="A25" s="292" t="s">
        <v>52</v>
      </c>
      <c r="B25" s="193" t="s">
        <v>14</v>
      </c>
      <c r="C25" s="193">
        <v>401</v>
      </c>
      <c r="D25" s="146">
        <f>'STOK DETAY'!AG6</f>
        <v>0</v>
      </c>
      <c r="E25" s="146">
        <f>'STOK DETAY'!AH6</f>
        <v>0</v>
      </c>
      <c r="F25" s="146"/>
      <c r="G25" s="146"/>
      <c r="H25" s="146"/>
      <c r="I25" s="146"/>
      <c r="J25" s="146">
        <f>SUM(D25:I25)</f>
        <v>0</v>
      </c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</row>
    <row r="26" spans="1:23" s="73" customFormat="1" ht="18.600000000000001" customHeight="1" x14ac:dyDescent="0.35">
      <c r="A26" s="292" t="s">
        <v>53</v>
      </c>
      <c r="B26" s="193" t="s">
        <v>14</v>
      </c>
      <c r="C26" s="193">
        <v>401</v>
      </c>
      <c r="D26" s="146">
        <f>'STOK DETAY'!AI6</f>
        <v>0</v>
      </c>
      <c r="E26" s="146">
        <f>'STOK DETAY'!AJ6</f>
        <v>0</v>
      </c>
      <c r="F26" s="146"/>
      <c r="G26" s="146"/>
      <c r="H26" s="146"/>
      <c r="I26" s="146"/>
      <c r="J26" s="146">
        <f>SUM(D26:I26)</f>
        <v>0</v>
      </c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</row>
    <row r="27" spans="1:23" s="73" customFormat="1" ht="18.600000000000001" customHeight="1" x14ac:dyDescent="0.35">
      <c r="A27" s="292" t="s">
        <v>54</v>
      </c>
      <c r="B27" s="193" t="s">
        <v>14</v>
      </c>
      <c r="C27" s="193">
        <v>402</v>
      </c>
      <c r="D27" s="146">
        <f>'STOK DETAY'!AK6</f>
        <v>0</v>
      </c>
      <c r="E27" s="146">
        <f>'STOK DETAY'!AL6</f>
        <v>0</v>
      </c>
      <c r="F27" s="146"/>
      <c r="G27" s="146"/>
      <c r="H27" s="146"/>
      <c r="I27" s="146"/>
      <c r="J27" s="146">
        <f>SUM(D27:I27)</f>
        <v>0</v>
      </c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</row>
    <row r="28" spans="1:23" s="73" customFormat="1" ht="18.600000000000001" customHeight="1" x14ac:dyDescent="0.35">
      <c r="A28" s="292" t="s">
        <v>55</v>
      </c>
      <c r="B28" s="193" t="s">
        <v>14</v>
      </c>
      <c r="C28" s="193">
        <v>402</v>
      </c>
      <c r="D28" s="146">
        <f>'STOK DETAY'!AM6</f>
        <v>0</v>
      </c>
      <c r="E28" s="146">
        <f>'STOK DETAY'!AN6</f>
        <v>0</v>
      </c>
      <c r="F28" s="146"/>
      <c r="G28" s="146"/>
      <c r="H28" s="146"/>
      <c r="I28" s="146"/>
      <c r="J28" s="146">
        <f>SUM(D28:I28)</f>
        <v>0</v>
      </c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</row>
    <row r="29" spans="1:23" s="73" customFormat="1" ht="18.600000000000001" customHeight="1" x14ac:dyDescent="0.35">
      <c r="A29" s="292" t="s">
        <v>56</v>
      </c>
      <c r="B29" s="193" t="s">
        <v>14</v>
      </c>
      <c r="C29" s="193">
        <v>403</v>
      </c>
      <c r="D29" s="146">
        <f>'STOK DETAY'!AO6</f>
        <v>34.340000000000003</v>
      </c>
      <c r="E29" s="146">
        <f>'STOK DETAY'!AP6</f>
        <v>0</v>
      </c>
      <c r="F29" s="146"/>
      <c r="G29" s="146"/>
      <c r="H29" s="146"/>
      <c r="I29" s="146"/>
      <c r="J29" s="146">
        <f>SUM(D29:I29)</f>
        <v>34.340000000000003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</row>
    <row r="30" spans="1:23" s="73" customFormat="1" ht="18.600000000000001" customHeight="1" x14ac:dyDescent="0.35">
      <c r="A30" s="292" t="s">
        <v>57</v>
      </c>
      <c r="B30" s="193" t="s">
        <v>14</v>
      </c>
      <c r="C30" s="193">
        <v>403</v>
      </c>
      <c r="D30" s="146">
        <f>'STOK DETAY'!AQ6</f>
        <v>34.72</v>
      </c>
      <c r="E30" s="146">
        <f>'STOK DETAY'!AS6</f>
        <v>0</v>
      </c>
      <c r="F30" s="146"/>
      <c r="G30" s="146"/>
      <c r="H30" s="146"/>
      <c r="I30" s="146"/>
      <c r="J30" s="146">
        <f>SUM(D30:I30)</f>
        <v>34.72</v>
      </c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</row>
    <row r="31" spans="1:23" s="73" customFormat="1" ht="18.600000000000001" customHeight="1" x14ac:dyDescent="0.35">
      <c r="A31" s="292" t="s">
        <v>58</v>
      </c>
      <c r="B31" s="193" t="s">
        <v>14</v>
      </c>
      <c r="C31" s="193">
        <v>501</v>
      </c>
      <c r="D31" s="146">
        <f>'STOK DETAY'!AS6</f>
        <v>0</v>
      </c>
      <c r="E31" s="146">
        <f>'STOK DETAY'!AT6</f>
        <v>0</v>
      </c>
      <c r="F31" s="287"/>
      <c r="G31" s="146">
        <f>'STOK DETAY'!AU6</f>
        <v>8.5250000000000004</v>
      </c>
      <c r="H31" s="146"/>
      <c r="I31" s="146"/>
      <c r="J31" s="146">
        <f>SUM(D31:I31)</f>
        <v>8.5250000000000004</v>
      </c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</row>
    <row r="32" spans="1:23" s="73" customFormat="1" ht="18.600000000000001" customHeight="1" x14ac:dyDescent="0.35">
      <c r="A32" s="292" t="s">
        <v>59</v>
      </c>
      <c r="B32" s="193" t="s">
        <v>14</v>
      </c>
      <c r="C32" s="193">
        <v>501</v>
      </c>
      <c r="D32" s="146">
        <f>'STOK DETAY'!AV6</f>
        <v>0</v>
      </c>
      <c r="E32" s="146">
        <f>'STOK DETAY'!AW6</f>
        <v>0</v>
      </c>
      <c r="F32" s="146"/>
      <c r="G32" s="146"/>
      <c r="H32" s="146"/>
      <c r="I32" s="146"/>
      <c r="J32" s="146">
        <f>SUM(D32:I32)</f>
        <v>0</v>
      </c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</row>
    <row r="33" spans="1:23" s="73" customFormat="1" ht="18.600000000000001" customHeight="1" x14ac:dyDescent="0.35">
      <c r="A33" s="292" t="s">
        <v>60</v>
      </c>
      <c r="B33" s="193" t="s">
        <v>14</v>
      </c>
      <c r="C33" s="193">
        <v>502</v>
      </c>
      <c r="D33" s="146">
        <f>'STOK DETAY'!AX6</f>
        <v>0</v>
      </c>
      <c r="E33" s="146">
        <f>'STOK DETAY'!AY6</f>
        <v>0</v>
      </c>
      <c r="F33" s="146"/>
      <c r="G33" s="146"/>
      <c r="H33" s="146"/>
      <c r="I33" s="146"/>
      <c r="J33" s="146">
        <f>SUM(D33:I33)</f>
        <v>0</v>
      </c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</row>
    <row r="34" spans="1:23" s="73" customFormat="1" ht="18.600000000000001" customHeight="1" x14ac:dyDescent="0.35">
      <c r="A34" s="292" t="s">
        <v>61</v>
      </c>
      <c r="B34" s="193" t="s">
        <v>14</v>
      </c>
      <c r="C34" s="193">
        <v>502</v>
      </c>
      <c r="D34" s="146">
        <f>'STOK DETAY'!AZ6</f>
        <v>211.39500000000001</v>
      </c>
      <c r="E34" s="146"/>
      <c r="F34" s="146"/>
      <c r="G34" s="146"/>
      <c r="H34" s="146">
        <f>'STOK DETAY'!BA6</f>
        <v>8.44</v>
      </c>
      <c r="I34" s="146">
        <f>'STOK DETAY'!BB6</f>
        <v>1.75</v>
      </c>
      <c r="J34" s="146">
        <f>SUM(D34:I34)</f>
        <v>221.58500000000001</v>
      </c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</row>
    <row r="35" spans="1:23" s="73" customFormat="1" ht="18.600000000000001" customHeight="1" x14ac:dyDescent="0.35">
      <c r="A35" s="292" t="s">
        <v>62</v>
      </c>
      <c r="B35" s="193" t="s">
        <v>14</v>
      </c>
      <c r="C35" s="193">
        <v>503</v>
      </c>
      <c r="D35" s="146">
        <f>'STOK DETAY'!BC6</f>
        <v>0</v>
      </c>
      <c r="E35" s="146"/>
      <c r="F35" s="146"/>
      <c r="G35" s="146"/>
      <c r="H35" s="146">
        <f>'STOK DETAY'!BD6</f>
        <v>68.8</v>
      </c>
      <c r="I35" s="146"/>
      <c r="J35" s="146">
        <f>SUM(D35:I35)</f>
        <v>68.8</v>
      </c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</row>
    <row r="36" spans="1:23" s="73" customFormat="1" ht="18.600000000000001" customHeight="1" x14ac:dyDescent="0.35">
      <c r="A36" s="292" t="s">
        <v>63</v>
      </c>
      <c r="B36" s="193" t="s">
        <v>14</v>
      </c>
      <c r="C36" s="193">
        <v>503</v>
      </c>
      <c r="D36" s="146">
        <f>'STOK DETAY'!BE6</f>
        <v>16.170000000000002</v>
      </c>
      <c r="E36" s="146"/>
      <c r="F36" s="146"/>
      <c r="G36" s="146"/>
      <c r="H36" s="146">
        <f>'STOK DETAY'!BF6</f>
        <v>0</v>
      </c>
      <c r="I36" s="146"/>
      <c r="J36" s="146">
        <f>SUM(D36:I36)</f>
        <v>16.170000000000002</v>
      </c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</row>
    <row r="37" spans="1:23" s="73" customFormat="1" ht="18.600000000000001" customHeight="1" x14ac:dyDescent="0.35">
      <c r="A37" s="292" t="s">
        <v>64</v>
      </c>
      <c r="B37" s="193" t="s">
        <v>14</v>
      </c>
      <c r="C37" s="193"/>
      <c r="D37" s="146"/>
      <c r="E37" s="146"/>
      <c r="F37" s="146"/>
      <c r="G37" s="146"/>
      <c r="H37" s="146"/>
      <c r="I37" s="146"/>
      <c r="J37" s="146">
        <f>SUM(D37:I37)</f>
        <v>0</v>
      </c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</row>
    <row r="38" spans="1:23" s="73" customFormat="1" ht="18.600000000000001" customHeight="1" x14ac:dyDescent="0.35">
      <c r="A38" s="292" t="s">
        <v>65</v>
      </c>
      <c r="B38" s="193" t="s">
        <v>14</v>
      </c>
      <c r="C38" s="193">
        <v>211</v>
      </c>
      <c r="D38" s="146"/>
      <c r="E38" s="146"/>
      <c r="F38" s="146"/>
      <c r="G38" s="146"/>
      <c r="H38" s="146">
        <f>'STOK DETAY'!BH6</f>
        <v>27.65</v>
      </c>
      <c r="I38" s="146"/>
      <c r="J38" s="146">
        <f>SUM(D38:I38)</f>
        <v>27.65</v>
      </c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</row>
    <row r="39" spans="1:23" s="73" customFormat="1" ht="18.600000000000001" customHeight="1" x14ac:dyDescent="0.35">
      <c r="A39" s="292" t="s">
        <v>32</v>
      </c>
      <c r="B39" s="193" t="s">
        <v>14</v>
      </c>
      <c r="C39" s="193"/>
      <c r="D39" s="146">
        <f>'STOK DETAY'!BI6</f>
        <v>0</v>
      </c>
      <c r="E39" s="146"/>
      <c r="F39" s="146"/>
      <c r="G39" s="146"/>
      <c r="H39" s="146"/>
      <c r="I39" s="146"/>
      <c r="J39" s="146">
        <f>SUM(D39:I39)</f>
        <v>0</v>
      </c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</row>
    <row r="40" spans="1:23" s="73" customFormat="1" ht="18.600000000000001" customHeight="1" x14ac:dyDescent="0.35">
      <c r="A40" s="292" t="s">
        <v>66</v>
      </c>
      <c r="B40" s="193" t="s">
        <v>14</v>
      </c>
      <c r="C40" s="193">
        <v>112</v>
      </c>
      <c r="D40" s="146"/>
      <c r="E40" s="146"/>
      <c r="F40" s="146"/>
      <c r="G40" s="146"/>
      <c r="H40" s="146">
        <f>'STOK DETAY'!BJ6</f>
        <v>28</v>
      </c>
      <c r="I40" s="146"/>
      <c r="J40" s="146">
        <f>SUM(D40:I40)</f>
        <v>28</v>
      </c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</row>
    <row r="41" spans="1:23" s="73" customFormat="1" ht="18.600000000000001" customHeight="1" x14ac:dyDescent="0.35">
      <c r="A41" s="292" t="s">
        <v>67</v>
      </c>
      <c r="B41" s="193" t="s">
        <v>14</v>
      </c>
      <c r="C41" s="193">
        <v>112</v>
      </c>
      <c r="D41" s="146">
        <f>'STOK DETAY'!BK6</f>
        <v>103.66500000000001</v>
      </c>
      <c r="E41" s="146"/>
      <c r="F41" s="146"/>
      <c r="G41" s="146"/>
      <c r="H41" s="146"/>
      <c r="I41" s="146"/>
      <c r="J41" s="146">
        <f>SUM(D41:I41)</f>
        <v>103.66500000000001</v>
      </c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</row>
    <row r="42" spans="1:23" s="73" customFormat="1" ht="18.600000000000001" customHeight="1" x14ac:dyDescent="0.35">
      <c r="A42" s="292" t="s">
        <v>68</v>
      </c>
      <c r="B42" s="193" t="s">
        <v>14</v>
      </c>
      <c r="C42" s="193"/>
      <c r="D42" s="146">
        <f>'STOK DETAY'!BL6</f>
        <v>0</v>
      </c>
      <c r="E42" s="146"/>
      <c r="F42" s="146"/>
      <c r="G42" s="146"/>
      <c r="H42" s="146"/>
      <c r="I42" s="146"/>
      <c r="J42" s="146">
        <f>SUM(D42:I42)</f>
        <v>0</v>
      </c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</row>
    <row r="43" spans="1:23" s="73" customFormat="1" ht="18.600000000000001" customHeight="1" x14ac:dyDescent="0.35">
      <c r="A43" s="292" t="s">
        <v>69</v>
      </c>
      <c r="B43" s="193" t="s">
        <v>14</v>
      </c>
      <c r="C43" s="193">
        <v>211</v>
      </c>
      <c r="D43" s="146"/>
      <c r="E43" s="146"/>
      <c r="F43" s="146"/>
      <c r="G43" s="146"/>
      <c r="H43" s="146">
        <f>'STOK DETAY'!BM6</f>
        <v>45.85</v>
      </c>
      <c r="I43" s="146"/>
      <c r="J43" s="146">
        <f>SUM(D43:I43)</f>
        <v>45.85</v>
      </c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</row>
    <row r="44" spans="1:23" s="73" customFormat="1" ht="18.600000000000001" customHeight="1" x14ac:dyDescent="0.35">
      <c r="A44" s="292" t="s">
        <v>70</v>
      </c>
      <c r="B44" s="193" t="s">
        <v>14</v>
      </c>
      <c r="C44" s="193"/>
      <c r="D44" s="146"/>
      <c r="E44" s="146"/>
      <c r="F44" s="146"/>
      <c r="G44" s="146"/>
      <c r="H44" s="146"/>
      <c r="I44" s="146"/>
      <c r="J44" s="146">
        <f>SUM(D44:I44)</f>
        <v>0</v>
      </c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</row>
    <row r="45" spans="1:23" s="73" customFormat="1" ht="18.600000000000001" customHeight="1" x14ac:dyDescent="0.35">
      <c r="A45" s="292" t="s">
        <v>33</v>
      </c>
      <c r="B45" s="193" t="s">
        <v>14</v>
      </c>
      <c r="C45" s="193">
        <v>211</v>
      </c>
      <c r="D45" s="146"/>
      <c r="E45" s="146"/>
      <c r="F45" s="146"/>
      <c r="G45" s="146"/>
      <c r="H45" s="146">
        <f>'STOK DETAY'!BO6</f>
        <v>45.4</v>
      </c>
      <c r="I45" s="146"/>
      <c r="J45" s="146">
        <f>SUM(D45:I45)</f>
        <v>45.4</v>
      </c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</row>
    <row r="46" spans="1:23" s="73" customFormat="1" ht="18.600000000000001" customHeight="1" x14ac:dyDescent="0.35">
      <c r="A46" s="292" t="s">
        <v>71</v>
      </c>
      <c r="B46" s="193" t="s">
        <v>14</v>
      </c>
      <c r="C46" s="193">
        <v>211</v>
      </c>
      <c r="D46" s="146"/>
      <c r="E46" s="146"/>
      <c r="F46" s="146">
        <f>'STOK DETAY'!BP6</f>
        <v>9.1999999999999993</v>
      </c>
      <c r="G46" s="146"/>
      <c r="H46" s="146"/>
      <c r="I46" s="146"/>
      <c r="J46" s="146">
        <f>SUM(D46:I46)</f>
        <v>9.1999999999999993</v>
      </c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</row>
    <row r="47" spans="1:23" s="73" customFormat="1" ht="18.600000000000001" customHeight="1" x14ac:dyDescent="0.35">
      <c r="A47" s="292" t="s">
        <v>72</v>
      </c>
      <c r="B47" s="193" t="s">
        <v>14</v>
      </c>
      <c r="C47" s="193">
        <v>113</v>
      </c>
      <c r="D47" s="146"/>
      <c r="E47" s="146"/>
      <c r="F47" s="146"/>
      <c r="G47" s="146"/>
      <c r="H47" s="146">
        <f>'STOK DETAY'!BQ6</f>
        <v>89.45</v>
      </c>
      <c r="I47" s="146"/>
      <c r="J47" s="146">
        <f>SUM(D47:I47)</f>
        <v>89.45</v>
      </c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</row>
    <row r="48" spans="1:23" s="73" customFormat="1" ht="18.600000000000001" customHeight="1" x14ac:dyDescent="0.35">
      <c r="A48" s="292" t="s">
        <v>73</v>
      </c>
      <c r="B48" s="193" t="s">
        <v>14</v>
      </c>
      <c r="C48" s="193">
        <v>112</v>
      </c>
      <c r="D48" s="146"/>
      <c r="E48" s="146"/>
      <c r="F48" s="146"/>
      <c r="G48" s="146"/>
      <c r="H48" s="146">
        <f>'STOK DETAY'!BR6</f>
        <v>21.45</v>
      </c>
      <c r="I48" s="146"/>
      <c r="J48" s="146">
        <f>SUM(D48:I48)</f>
        <v>21.45</v>
      </c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</row>
    <row r="49" spans="1:23" s="73" customFormat="1" ht="18.600000000000001" customHeight="1" x14ac:dyDescent="0.35">
      <c r="A49" s="292" t="s">
        <v>74</v>
      </c>
      <c r="B49" s="193" t="s">
        <v>12</v>
      </c>
      <c r="C49" s="291">
        <v>312</v>
      </c>
      <c r="D49" s="146">
        <f>'STOK DETAY'!BS6</f>
        <v>54.058</v>
      </c>
      <c r="E49" s="146"/>
      <c r="F49" s="146"/>
      <c r="G49" s="146"/>
      <c r="H49" s="146"/>
      <c r="I49" s="146"/>
      <c r="J49" s="146">
        <f>SUM(D49:I49)</f>
        <v>54.058</v>
      </c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</row>
    <row r="50" spans="1:23" s="73" customFormat="1" ht="18.600000000000001" customHeight="1" x14ac:dyDescent="0.35">
      <c r="A50" s="292" t="s">
        <v>75</v>
      </c>
      <c r="B50" s="148" t="s">
        <v>12</v>
      </c>
      <c r="C50" s="291"/>
      <c r="D50" s="146">
        <f>'STOK DETAY'!BT6</f>
        <v>0</v>
      </c>
      <c r="E50" s="146"/>
      <c r="F50" s="146"/>
      <c r="G50" s="146"/>
      <c r="H50" s="146"/>
      <c r="I50" s="146"/>
      <c r="J50" s="146">
        <f>SUM(D50:I50)</f>
        <v>0</v>
      </c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</row>
    <row r="51" spans="1:23" s="73" customFormat="1" ht="18.600000000000001" customHeight="1" x14ac:dyDescent="0.35">
      <c r="A51" s="292" t="s">
        <v>76</v>
      </c>
      <c r="B51" s="148" t="s">
        <v>12</v>
      </c>
      <c r="C51" s="291"/>
      <c r="D51" s="146">
        <f>'STOK DETAY'!BU6</f>
        <v>0</v>
      </c>
      <c r="E51" s="146"/>
      <c r="F51" s="146"/>
      <c r="G51" s="146"/>
      <c r="H51" s="146"/>
      <c r="I51" s="146"/>
      <c r="J51" s="146">
        <f>SUM(D51:I51)</f>
        <v>0</v>
      </c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</row>
    <row r="52" spans="1:23" s="73" customFormat="1" ht="18.600000000000001" customHeight="1" x14ac:dyDescent="0.35">
      <c r="A52" s="292" t="s">
        <v>39</v>
      </c>
      <c r="B52" s="148" t="s">
        <v>12</v>
      </c>
      <c r="C52" s="291"/>
      <c r="D52" s="146">
        <f>'STOK DETAY'!BV6</f>
        <v>32.700000000000003</v>
      </c>
      <c r="E52" s="146">
        <f>'STOK DETAY'!BW6</f>
        <v>0</v>
      </c>
      <c r="F52" s="146"/>
      <c r="G52" s="146"/>
      <c r="H52" s="146"/>
      <c r="I52" s="146"/>
      <c r="J52" s="146">
        <f>SUM(D52:I52)</f>
        <v>32.700000000000003</v>
      </c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</row>
    <row r="53" spans="1:23" s="73" customFormat="1" ht="18.600000000000001" customHeight="1" x14ac:dyDescent="0.35">
      <c r="A53" s="292" t="s">
        <v>77</v>
      </c>
      <c r="B53" s="148" t="s">
        <v>12</v>
      </c>
      <c r="C53" s="291"/>
      <c r="D53" s="146"/>
      <c r="E53" s="146"/>
      <c r="F53" s="146">
        <f>'STOK DETAY'!BX6</f>
        <v>0.75</v>
      </c>
      <c r="G53" s="146"/>
      <c r="H53" s="146"/>
      <c r="I53" s="146"/>
      <c r="J53" s="146">
        <f>SUM(D53:I53)</f>
        <v>0.75</v>
      </c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</row>
    <row r="54" spans="1:23" s="73" customFormat="1" ht="18.600000000000001" customHeight="1" x14ac:dyDescent="0.35">
      <c r="A54" s="292" t="s">
        <v>40</v>
      </c>
      <c r="B54" s="148" t="s">
        <v>12</v>
      </c>
      <c r="C54" s="291"/>
      <c r="D54" s="146">
        <f>'STOK DETAY'!BY6</f>
        <v>0</v>
      </c>
      <c r="E54" s="146"/>
      <c r="F54" s="146">
        <f>'STOK DETAY'!BZ6</f>
        <v>0</v>
      </c>
      <c r="G54" s="146"/>
      <c r="H54" s="146"/>
      <c r="I54" s="146"/>
      <c r="J54" s="146">
        <f>SUM(D54:I54)</f>
        <v>0</v>
      </c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</row>
    <row r="55" spans="1:23" s="73" customFormat="1" ht="18.600000000000001" customHeight="1" x14ac:dyDescent="0.35">
      <c r="A55" s="292" t="s">
        <v>41</v>
      </c>
      <c r="B55" s="148" t="s">
        <v>12</v>
      </c>
      <c r="C55" s="291"/>
      <c r="D55" s="146">
        <f>'STOK DETAY'!CA6</f>
        <v>0</v>
      </c>
      <c r="E55" s="146"/>
      <c r="F55" s="146"/>
      <c r="G55" s="146"/>
      <c r="H55" s="146"/>
      <c r="I55" s="146"/>
      <c r="J55" s="146">
        <f>SUM(D55:I55)</f>
        <v>0</v>
      </c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</row>
    <row r="56" spans="1:23" s="73" customFormat="1" ht="18.600000000000001" customHeight="1" x14ac:dyDescent="0.35">
      <c r="A56" s="292" t="s">
        <v>42</v>
      </c>
      <c r="B56" s="148" t="s">
        <v>12</v>
      </c>
      <c r="C56" s="291"/>
      <c r="D56" s="146">
        <f>'STOK DETAY'!CB6</f>
        <v>0</v>
      </c>
      <c r="E56" s="146">
        <f>'STOK DETAY'!CC6</f>
        <v>13.32</v>
      </c>
      <c r="F56" s="146"/>
      <c r="G56" s="146"/>
      <c r="H56" s="146"/>
      <c r="I56" s="146"/>
      <c r="J56" s="146">
        <f>SUM(D56:I56)</f>
        <v>13.32</v>
      </c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</row>
    <row r="57" spans="1:23" s="73" customFormat="1" ht="18.600000000000001" customHeight="1" x14ac:dyDescent="0.35">
      <c r="A57" s="292" t="s">
        <v>78</v>
      </c>
      <c r="B57" s="148" t="s">
        <v>12</v>
      </c>
      <c r="C57" s="291"/>
      <c r="D57" s="146">
        <f>'STOK DETAY'!CD6</f>
        <v>8.9849999999999994</v>
      </c>
      <c r="E57" s="146"/>
      <c r="F57" s="146"/>
      <c r="G57" s="146"/>
      <c r="H57" s="146"/>
      <c r="I57" s="146"/>
      <c r="J57" s="146">
        <f>SUM(D57:I57)</f>
        <v>8.9849999999999994</v>
      </c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</row>
    <row r="58" spans="1:23" s="73" customFormat="1" ht="18.600000000000001" customHeight="1" x14ac:dyDescent="0.35">
      <c r="A58" s="292" t="s">
        <v>43</v>
      </c>
      <c r="B58" s="148" t="s">
        <v>12</v>
      </c>
      <c r="C58" s="291"/>
      <c r="D58" s="146">
        <f>'STOK DETAY'!CE6</f>
        <v>0</v>
      </c>
      <c r="E58" s="146"/>
      <c r="F58" s="146"/>
      <c r="G58" s="146"/>
      <c r="H58" s="146"/>
      <c r="I58" s="146"/>
      <c r="J58" s="146">
        <f>SUM(D58:I58)</f>
        <v>0</v>
      </c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</row>
    <row r="59" spans="1:23" s="73" customFormat="1" ht="18.600000000000001" customHeight="1" x14ac:dyDescent="0.35">
      <c r="A59" s="292" t="s">
        <v>79</v>
      </c>
      <c r="B59" s="148" t="s">
        <v>12</v>
      </c>
      <c r="C59" s="291"/>
      <c r="D59" s="146">
        <f>'STOK DETAY'!CF6</f>
        <v>0</v>
      </c>
      <c r="E59" s="146"/>
      <c r="F59" s="146"/>
      <c r="G59" s="146"/>
      <c r="H59" s="146"/>
      <c r="I59" s="146"/>
      <c r="J59" s="146">
        <f>SUM(D59:I59)</f>
        <v>0</v>
      </c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</row>
    <row r="60" spans="1:23" s="73" customFormat="1" ht="18.600000000000001" customHeight="1" x14ac:dyDescent="0.35">
      <c r="A60" s="292" t="s">
        <v>30</v>
      </c>
      <c r="B60" s="148" t="s">
        <v>12</v>
      </c>
      <c r="C60" s="291"/>
      <c r="D60" s="146">
        <f>'STOK DETAY'!CG6</f>
        <v>0</v>
      </c>
      <c r="E60" s="146"/>
      <c r="F60" s="146"/>
      <c r="G60" s="146"/>
      <c r="H60" s="146"/>
      <c r="I60" s="146"/>
      <c r="J60" s="146">
        <f>SUM(D60:I60)</f>
        <v>0</v>
      </c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</row>
    <row r="61" spans="1:23" s="73" customFormat="1" ht="18.600000000000001" customHeight="1" x14ac:dyDescent="0.35">
      <c r="A61" s="292" t="s">
        <v>44</v>
      </c>
      <c r="B61" s="148" t="s">
        <v>12</v>
      </c>
      <c r="C61" s="291"/>
      <c r="D61" s="146"/>
      <c r="E61" s="146"/>
      <c r="F61" s="146">
        <f>'STOK DETAY'!CH6</f>
        <v>93.39</v>
      </c>
      <c r="G61" s="146"/>
      <c r="H61" s="146"/>
      <c r="I61" s="146"/>
      <c r="J61" s="146">
        <f>SUM(D61:I61)</f>
        <v>93.39</v>
      </c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</row>
    <row r="62" spans="1:23" s="73" customFormat="1" ht="18.600000000000001" customHeight="1" x14ac:dyDescent="0.35">
      <c r="A62" s="292" t="s">
        <v>44</v>
      </c>
      <c r="B62" s="148" t="s">
        <v>19</v>
      </c>
      <c r="C62" s="291"/>
      <c r="D62" s="146">
        <f>'STOK DETAY'!CI6</f>
        <v>14.9</v>
      </c>
      <c r="E62" s="146"/>
      <c r="F62" s="146"/>
      <c r="G62" s="146"/>
      <c r="H62" s="146"/>
      <c r="I62" s="146"/>
      <c r="J62" s="146">
        <f>SUM(D62:I62)</f>
        <v>14.9</v>
      </c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</row>
    <row r="63" spans="1:23" s="73" customFormat="1" ht="18.600000000000001" customHeight="1" x14ac:dyDescent="0.35">
      <c r="A63" s="292" t="s">
        <v>32</v>
      </c>
      <c r="B63" s="148" t="s">
        <v>12</v>
      </c>
      <c r="C63" s="291"/>
      <c r="D63" s="146"/>
      <c r="E63" s="146"/>
      <c r="F63" s="146">
        <f>'STOK DETAY'!CJ6</f>
        <v>6.02</v>
      </c>
      <c r="G63" s="146"/>
      <c r="H63" s="146"/>
      <c r="I63" s="146"/>
      <c r="J63" s="146">
        <f>SUM(D63:I63)</f>
        <v>6.02</v>
      </c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</row>
    <row r="64" spans="1:23" s="73" customFormat="1" ht="18.600000000000001" customHeight="1" x14ac:dyDescent="0.35">
      <c r="A64" s="292" t="s">
        <v>53</v>
      </c>
      <c r="B64" s="148" t="s">
        <v>12</v>
      </c>
      <c r="C64" s="291"/>
      <c r="D64" s="146">
        <f>'STOK DETAY'!CK6</f>
        <v>2.25</v>
      </c>
      <c r="E64" s="146"/>
      <c r="F64" s="146"/>
      <c r="G64" s="146"/>
      <c r="H64" s="146"/>
      <c r="I64" s="146"/>
      <c r="J64" s="146">
        <f>SUM(D64:I64)</f>
        <v>2.25</v>
      </c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</row>
    <row r="65" spans="1:23" s="73" customFormat="1" ht="18.600000000000001" customHeight="1" x14ac:dyDescent="0.35">
      <c r="A65" s="292" t="s">
        <v>42</v>
      </c>
      <c r="B65" s="192" t="s">
        <v>10</v>
      </c>
      <c r="C65" s="291">
        <v>511</v>
      </c>
      <c r="D65" s="146"/>
      <c r="E65" s="287"/>
      <c r="F65" s="146"/>
      <c r="G65" s="146">
        <f>'STOK DETAY'!CL6</f>
        <v>3.28</v>
      </c>
      <c r="H65" s="146"/>
      <c r="I65" s="146"/>
      <c r="J65" s="146">
        <f>SUM(D65:I65)</f>
        <v>3.28</v>
      </c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</row>
    <row r="66" spans="1:23" s="73" customFormat="1" ht="18.600000000000001" customHeight="1" x14ac:dyDescent="0.35">
      <c r="A66" s="292" t="s">
        <v>31</v>
      </c>
      <c r="B66" s="192" t="s">
        <v>10</v>
      </c>
      <c r="C66" s="291">
        <v>511</v>
      </c>
      <c r="D66" s="146"/>
      <c r="E66" s="287"/>
      <c r="F66" s="146"/>
      <c r="G66" s="146">
        <f>'STOK DETAY'!CM6</f>
        <v>63.54</v>
      </c>
      <c r="H66" s="146"/>
      <c r="I66" s="146"/>
      <c r="J66" s="146">
        <f>SUM(D66:I66)</f>
        <v>63.54</v>
      </c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</row>
    <row r="67" spans="1:23" s="73" customFormat="1" ht="18.600000000000001" customHeight="1" x14ac:dyDescent="0.35">
      <c r="A67" s="292" t="s">
        <v>46</v>
      </c>
      <c r="B67" s="192" t="s">
        <v>10</v>
      </c>
      <c r="C67" s="291">
        <v>511</v>
      </c>
      <c r="D67" s="146"/>
      <c r="E67" s="287"/>
      <c r="F67" s="146"/>
      <c r="G67" s="146">
        <f>'STOK DETAY'!CN6</f>
        <v>10.45</v>
      </c>
      <c r="H67" s="146"/>
      <c r="I67" s="146"/>
      <c r="J67" s="146">
        <f>SUM(D67:I67)</f>
        <v>10.45</v>
      </c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</row>
    <row r="68" spans="1:23" s="73" customFormat="1" ht="18.600000000000001" customHeight="1" x14ac:dyDescent="0.35">
      <c r="A68" s="292" t="s">
        <v>32</v>
      </c>
      <c r="B68" s="192" t="s">
        <v>10</v>
      </c>
      <c r="C68" s="291">
        <v>101</v>
      </c>
      <c r="D68" s="287"/>
      <c r="E68" s="146"/>
      <c r="F68" s="146">
        <f>'STOK DETAY'!CO6</f>
        <v>0</v>
      </c>
      <c r="G68" s="146"/>
      <c r="H68" s="146"/>
      <c r="I68" s="146"/>
      <c r="J68" s="146">
        <f>SUM(E68:I68)</f>
        <v>0</v>
      </c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</row>
    <row r="69" spans="1:23" s="73" customFormat="1" ht="18.600000000000001" customHeight="1" x14ac:dyDescent="0.35">
      <c r="A69" s="292" t="s">
        <v>48</v>
      </c>
      <c r="B69" s="192" t="s">
        <v>10</v>
      </c>
      <c r="C69" s="291">
        <v>101</v>
      </c>
      <c r="D69" s="287"/>
      <c r="E69" s="146">
        <f>'STOK DETAY'!CP6</f>
        <v>404.44</v>
      </c>
      <c r="F69" s="146">
        <f>'STOK DETAY'!CQ6</f>
        <v>0</v>
      </c>
      <c r="G69" s="146"/>
      <c r="H69" s="146"/>
      <c r="I69" s="287"/>
      <c r="J69" s="146">
        <f>SUM(E69:H69)</f>
        <v>404.44</v>
      </c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</row>
    <row r="70" spans="1:23" s="73" customFormat="1" ht="18.600000000000001" customHeight="1" x14ac:dyDescent="0.35">
      <c r="A70" s="292" t="s">
        <v>54</v>
      </c>
      <c r="B70" s="192" t="s">
        <v>10</v>
      </c>
      <c r="C70" s="291">
        <v>511</v>
      </c>
      <c r="D70" s="146"/>
      <c r="E70" s="287"/>
      <c r="F70" s="146"/>
      <c r="G70" s="146">
        <f>'STOK DETAY'!CR6</f>
        <v>2.5</v>
      </c>
      <c r="H70" s="146"/>
      <c r="I70" s="146"/>
      <c r="J70" s="146">
        <f>SUM(D70:I70)</f>
        <v>2.5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</row>
    <row r="71" spans="1:23" s="73" customFormat="1" ht="18.600000000000001" customHeight="1" x14ac:dyDescent="0.35">
      <c r="A71" s="292" t="s">
        <v>58</v>
      </c>
      <c r="B71" s="192" t="s">
        <v>10</v>
      </c>
      <c r="C71" s="291">
        <v>511</v>
      </c>
      <c r="D71" s="146"/>
      <c r="E71" s="287"/>
      <c r="F71" s="146"/>
      <c r="G71" s="146">
        <f>'STOK DETAY'!CS6</f>
        <v>14.7</v>
      </c>
      <c r="H71" s="146"/>
      <c r="I71" s="146"/>
      <c r="J71" s="146">
        <f>SUM(D71:I71)</f>
        <v>14.7</v>
      </c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</row>
    <row r="72" spans="1:23" s="73" customFormat="1" ht="18.600000000000001" customHeight="1" x14ac:dyDescent="0.35">
      <c r="A72" s="292" t="s">
        <v>60</v>
      </c>
      <c r="B72" s="192" t="s">
        <v>10</v>
      </c>
      <c r="C72" s="291">
        <v>511</v>
      </c>
      <c r="D72" s="146"/>
      <c r="E72" s="287"/>
      <c r="F72" s="146"/>
      <c r="G72" s="146">
        <f>'STOK DETAY'!CT6</f>
        <v>2.85</v>
      </c>
      <c r="H72" s="146"/>
      <c r="I72" s="146"/>
      <c r="J72" s="146">
        <f>SUM(D72:I72)</f>
        <v>2.85</v>
      </c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</row>
    <row r="73" spans="1:23" s="73" customFormat="1" ht="18.600000000000001" customHeight="1" x14ac:dyDescent="0.35">
      <c r="A73" s="292" t="s">
        <v>62</v>
      </c>
      <c r="B73" s="192" t="s">
        <v>10</v>
      </c>
      <c r="C73" s="291">
        <v>511</v>
      </c>
      <c r="D73" s="146"/>
      <c r="E73" s="287"/>
      <c r="F73" s="146"/>
      <c r="G73" s="146">
        <f>'STOK DETAY'!CU6</f>
        <v>6.83</v>
      </c>
      <c r="H73" s="146"/>
      <c r="I73" s="146"/>
      <c r="J73" s="146">
        <f>SUM(D73:I73)</f>
        <v>6.83</v>
      </c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</row>
    <row r="74" spans="1:23" s="73" customFormat="1" ht="18.600000000000001" customHeight="1" x14ac:dyDescent="0.35">
      <c r="A74" s="292" t="s">
        <v>80</v>
      </c>
      <c r="B74" s="192" t="s">
        <v>10</v>
      </c>
      <c r="C74" s="291">
        <v>511</v>
      </c>
      <c r="D74" s="146"/>
      <c r="E74" s="287"/>
      <c r="F74" s="146"/>
      <c r="G74" s="146">
        <f>'STOK DETAY'!CV6</f>
        <v>9.2200000000000006</v>
      </c>
      <c r="H74" s="146"/>
      <c r="I74" s="146"/>
      <c r="J74" s="146">
        <f>SUM(D74:I74)</f>
        <v>9.2200000000000006</v>
      </c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</row>
    <row r="75" spans="1:23" s="73" customFormat="1" ht="18.600000000000001" customHeight="1" x14ac:dyDescent="0.35">
      <c r="A75" s="292" t="s">
        <v>81</v>
      </c>
      <c r="B75" s="192" t="s">
        <v>10</v>
      </c>
      <c r="C75" s="291">
        <v>511</v>
      </c>
      <c r="D75" s="146"/>
      <c r="E75" s="287"/>
      <c r="F75" s="146"/>
      <c r="G75" s="146">
        <f>'STOK DETAY'!CW6</f>
        <v>18.5</v>
      </c>
      <c r="H75" s="146"/>
      <c r="I75" s="146"/>
      <c r="J75" s="146">
        <f>SUM(D75:I75)</f>
        <v>18.5</v>
      </c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</row>
    <row r="76" spans="1:23" s="73" customFormat="1" ht="18.600000000000001" customHeight="1" x14ac:dyDescent="0.35">
      <c r="A76" s="292" t="s">
        <v>82</v>
      </c>
      <c r="B76" s="192" t="s">
        <v>10</v>
      </c>
      <c r="C76" s="193">
        <v>511</v>
      </c>
      <c r="D76" s="146"/>
      <c r="E76" s="287"/>
      <c r="F76" s="146"/>
      <c r="G76" s="146">
        <f>'STOK DETAY'!CX6</f>
        <v>52.36</v>
      </c>
      <c r="H76" s="146"/>
      <c r="I76" s="146"/>
      <c r="J76" s="146">
        <f>SUM(D76:I76)</f>
        <v>52.36</v>
      </c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</row>
    <row r="77" spans="1:23" ht="15.75" customHeight="1" x14ac:dyDescent="0.4">
      <c r="A77" s="293"/>
      <c r="B77" s="65"/>
      <c r="C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</row>
    <row r="78" spans="1:23" ht="15.75" customHeight="1" x14ac:dyDescent="0.4">
      <c r="A78" s="293"/>
      <c r="B78" s="65"/>
      <c r="C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</row>
    <row r="79" spans="1:23" ht="15.75" customHeight="1" x14ac:dyDescent="0.4">
      <c r="A79" s="293"/>
      <c r="B79" s="65"/>
      <c r="C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</row>
    <row r="80" spans="1:23" ht="15.75" customHeight="1" x14ac:dyDescent="0.4">
      <c r="A80" s="293"/>
      <c r="B80" s="65"/>
      <c r="C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</row>
    <row r="81" spans="1:23" ht="15.75" customHeight="1" x14ac:dyDescent="0.4">
      <c r="A81" s="293"/>
      <c r="B81" s="65"/>
      <c r="C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</row>
    <row r="82" spans="1:23" ht="15.75" customHeight="1" x14ac:dyDescent="0.4">
      <c r="A82" s="293"/>
      <c r="B82" s="65"/>
      <c r="C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</row>
    <row r="83" spans="1:23" ht="15.75" customHeight="1" x14ac:dyDescent="0.4">
      <c r="A83" s="293"/>
      <c r="B83" s="65"/>
      <c r="C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</row>
    <row r="84" spans="1:23" ht="15.75" customHeight="1" x14ac:dyDescent="0.4">
      <c r="A84" s="293"/>
      <c r="B84" s="65"/>
      <c r="C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</row>
    <row r="85" spans="1:23" ht="15.75" customHeight="1" x14ac:dyDescent="0.4">
      <c r="A85" s="293"/>
      <c r="B85" s="65"/>
      <c r="C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</row>
    <row r="86" spans="1:23" ht="15.75" customHeight="1" x14ac:dyDescent="0.4">
      <c r="A86" s="293"/>
      <c r="B86" s="65"/>
      <c r="C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</row>
    <row r="87" spans="1:23" ht="15.75" customHeight="1" x14ac:dyDescent="0.4">
      <c r="A87" s="293"/>
      <c r="B87" s="65"/>
      <c r="C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</row>
    <row r="88" spans="1:23" ht="15.75" customHeight="1" x14ac:dyDescent="0.4">
      <c r="A88" s="293"/>
      <c r="B88" s="65"/>
      <c r="C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</row>
    <row r="89" spans="1:23" ht="15.75" customHeight="1" x14ac:dyDescent="0.4">
      <c r="A89" s="293"/>
      <c r="B89" s="65"/>
      <c r="C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</row>
    <row r="90" spans="1:23" ht="15.75" customHeight="1" x14ac:dyDescent="0.4">
      <c r="A90" s="293"/>
      <c r="B90" s="65"/>
      <c r="C90" s="65"/>
      <c r="G90" s="66"/>
      <c r="H90" s="66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</row>
    <row r="91" spans="1:23" ht="15.75" customHeight="1" x14ac:dyDescent="0.4">
      <c r="A91" s="293"/>
      <c r="B91" s="65"/>
      <c r="C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</row>
    <row r="92" spans="1:23" ht="15.75" customHeight="1" x14ac:dyDescent="0.4">
      <c r="A92" s="293"/>
      <c r="B92" s="65"/>
      <c r="C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</row>
    <row r="93" spans="1:23" ht="15.75" customHeight="1" x14ac:dyDescent="0.4">
      <c r="A93" s="293"/>
      <c r="B93" s="65"/>
      <c r="C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</row>
    <row r="94" spans="1:23" ht="15.75" customHeight="1" x14ac:dyDescent="0.4">
      <c r="A94" s="293"/>
      <c r="B94" s="65"/>
      <c r="C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</row>
    <row r="95" spans="1:23" ht="15.75" customHeight="1" x14ac:dyDescent="0.4">
      <c r="A95" s="293"/>
      <c r="B95" s="65"/>
      <c r="C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</row>
    <row r="96" spans="1:23" ht="15.75" customHeight="1" x14ac:dyDescent="0.4">
      <c r="A96" s="293"/>
      <c r="B96" s="65"/>
      <c r="C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</row>
    <row r="97" spans="1:23" ht="15.75" customHeight="1" x14ac:dyDescent="0.4">
      <c r="A97" s="293"/>
      <c r="B97" s="65"/>
      <c r="C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</row>
    <row r="98" spans="1:23" ht="15.75" customHeight="1" x14ac:dyDescent="0.4">
      <c r="A98" s="293"/>
      <c r="B98" s="65"/>
      <c r="C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</row>
    <row r="99" spans="1:23" ht="15.75" customHeight="1" x14ac:dyDescent="0.4">
      <c r="A99" s="293"/>
      <c r="B99" s="65"/>
      <c r="C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</row>
    <row r="100" spans="1:23" ht="15.75" customHeight="1" x14ac:dyDescent="0.4">
      <c r="A100" s="293"/>
      <c r="B100" s="65"/>
      <c r="C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</row>
    <row r="101" spans="1:23" ht="15.75" customHeight="1" x14ac:dyDescent="0.4">
      <c r="A101" s="293"/>
      <c r="B101" s="65"/>
      <c r="C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</row>
    <row r="102" spans="1:23" ht="15.75" customHeight="1" x14ac:dyDescent="0.4">
      <c r="A102" s="293"/>
      <c r="B102" s="65"/>
      <c r="C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</row>
    <row r="103" spans="1:23" ht="15.75" customHeight="1" x14ac:dyDescent="0.4">
      <c r="A103" s="293"/>
      <c r="B103" s="65"/>
      <c r="C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</row>
    <row r="104" spans="1:23" ht="15.75" customHeight="1" x14ac:dyDescent="0.4">
      <c r="A104" s="293"/>
      <c r="B104" s="65"/>
      <c r="C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</row>
    <row r="105" spans="1:23" ht="15.75" customHeight="1" x14ac:dyDescent="0.4">
      <c r="A105" s="293"/>
      <c r="B105" s="65"/>
      <c r="C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</row>
    <row r="106" spans="1:23" ht="15.75" customHeight="1" x14ac:dyDescent="0.4">
      <c r="A106" s="293"/>
      <c r="B106" s="65"/>
      <c r="C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</row>
    <row r="107" spans="1:23" ht="15.75" customHeight="1" x14ac:dyDescent="0.4">
      <c r="A107" s="293"/>
      <c r="B107" s="65"/>
      <c r="C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</row>
    <row r="108" spans="1:23" ht="15.75" customHeight="1" x14ac:dyDescent="0.4">
      <c r="A108" s="293"/>
      <c r="B108" s="65"/>
      <c r="C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</row>
    <row r="109" spans="1:23" ht="15.75" customHeight="1" x14ac:dyDescent="0.4">
      <c r="A109" s="293"/>
      <c r="B109" s="65"/>
      <c r="C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</row>
    <row r="110" spans="1:23" ht="15.75" customHeight="1" x14ac:dyDescent="0.4">
      <c r="A110" s="293"/>
      <c r="B110" s="65"/>
      <c r="C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</row>
    <row r="111" spans="1:23" ht="15.75" customHeight="1" x14ac:dyDescent="0.4">
      <c r="A111" s="293"/>
      <c r="B111" s="65"/>
      <c r="C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</row>
    <row r="112" spans="1:23" ht="15.75" customHeight="1" x14ac:dyDescent="0.4">
      <c r="A112" s="293"/>
      <c r="B112" s="65"/>
      <c r="C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</row>
    <row r="113" spans="1:23" ht="15.75" customHeight="1" x14ac:dyDescent="0.4">
      <c r="A113" s="293"/>
      <c r="B113" s="65"/>
      <c r="C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</row>
    <row r="114" spans="1:23" ht="15.75" customHeight="1" x14ac:dyDescent="0.4">
      <c r="A114" s="293"/>
      <c r="B114" s="65"/>
      <c r="C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</row>
    <row r="115" spans="1:23" ht="15.75" customHeight="1" x14ac:dyDescent="0.4">
      <c r="A115" s="293"/>
      <c r="B115" s="65"/>
      <c r="C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</row>
    <row r="116" spans="1:23" ht="15.75" customHeight="1" x14ac:dyDescent="0.4">
      <c r="A116" s="293"/>
      <c r="B116" s="65"/>
      <c r="C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</row>
    <row r="117" spans="1:23" ht="15.75" customHeight="1" x14ac:dyDescent="0.4">
      <c r="A117" s="293"/>
      <c r="B117" s="65"/>
      <c r="C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</row>
    <row r="118" spans="1:23" ht="15.75" customHeight="1" x14ac:dyDescent="0.4">
      <c r="A118" s="293"/>
      <c r="B118" s="65"/>
      <c r="C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</row>
    <row r="119" spans="1:23" ht="15.75" customHeight="1" x14ac:dyDescent="0.4">
      <c r="A119" s="293"/>
      <c r="B119" s="65"/>
      <c r="C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</row>
    <row r="120" spans="1:23" ht="15.75" customHeight="1" x14ac:dyDescent="0.4">
      <c r="A120" s="293"/>
      <c r="B120" s="65"/>
      <c r="C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</row>
    <row r="121" spans="1:23" ht="15.75" customHeight="1" x14ac:dyDescent="0.4">
      <c r="A121" s="293"/>
      <c r="B121" s="65"/>
      <c r="C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</row>
    <row r="122" spans="1:23" ht="15.75" customHeight="1" x14ac:dyDescent="0.4">
      <c r="A122" s="293"/>
      <c r="B122" s="65"/>
      <c r="C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</row>
    <row r="123" spans="1:23" ht="15.75" customHeight="1" x14ac:dyDescent="0.4">
      <c r="A123" s="293"/>
      <c r="B123" s="65"/>
      <c r="C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</row>
    <row r="124" spans="1:23" ht="15.75" customHeight="1" x14ac:dyDescent="0.4">
      <c r="A124" s="293"/>
      <c r="B124" s="65"/>
      <c r="C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</row>
    <row r="125" spans="1:23" ht="15.75" customHeight="1" x14ac:dyDescent="0.4">
      <c r="A125" s="293"/>
      <c r="B125" s="65"/>
      <c r="C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</row>
    <row r="126" spans="1:23" ht="15.75" customHeight="1" x14ac:dyDescent="0.4">
      <c r="A126" s="293"/>
      <c r="B126" s="65"/>
      <c r="C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</row>
    <row r="127" spans="1:23" ht="15.75" customHeight="1" x14ac:dyDescent="0.4">
      <c r="A127" s="293"/>
      <c r="B127" s="65"/>
      <c r="C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</row>
    <row r="128" spans="1:23" ht="15.75" customHeight="1" x14ac:dyDescent="0.4">
      <c r="A128" s="293"/>
      <c r="B128" s="65"/>
      <c r="C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</row>
    <row r="129" spans="1:23" ht="15.75" customHeight="1" x14ac:dyDescent="0.4">
      <c r="A129" s="293"/>
      <c r="B129" s="65"/>
      <c r="C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</row>
    <row r="130" spans="1:23" ht="15.75" customHeight="1" x14ac:dyDescent="0.4">
      <c r="A130" s="293"/>
      <c r="B130" s="65"/>
      <c r="C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</row>
    <row r="131" spans="1:23" ht="15.75" customHeight="1" x14ac:dyDescent="0.4">
      <c r="A131" s="293"/>
      <c r="B131" s="65"/>
      <c r="C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</row>
    <row r="132" spans="1:23" ht="15.75" customHeight="1" x14ac:dyDescent="0.4">
      <c r="A132" s="293"/>
      <c r="B132" s="65"/>
      <c r="C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</row>
    <row r="133" spans="1:23" ht="15.75" customHeight="1" x14ac:dyDescent="0.4">
      <c r="A133" s="293"/>
      <c r="B133" s="65"/>
      <c r="C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</row>
    <row r="134" spans="1:23" ht="15.75" customHeight="1" x14ac:dyDescent="0.4">
      <c r="A134" s="293"/>
      <c r="B134" s="65"/>
      <c r="C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</row>
    <row r="135" spans="1:23" ht="15.75" customHeight="1" x14ac:dyDescent="0.4">
      <c r="A135" s="293"/>
      <c r="B135" s="65"/>
      <c r="C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</row>
    <row r="136" spans="1:23" ht="15.75" customHeight="1" x14ac:dyDescent="0.4">
      <c r="A136" s="293"/>
      <c r="B136" s="65"/>
      <c r="C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</row>
    <row r="137" spans="1:23" ht="15.75" customHeight="1" x14ac:dyDescent="0.4">
      <c r="A137" s="293"/>
      <c r="B137" s="65"/>
      <c r="C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</row>
    <row r="138" spans="1:23" ht="15.75" customHeight="1" x14ac:dyDescent="0.4">
      <c r="A138" s="293"/>
      <c r="B138" s="65"/>
      <c r="C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</row>
    <row r="139" spans="1:23" ht="15.75" customHeight="1" x14ac:dyDescent="0.4">
      <c r="A139" s="293"/>
      <c r="B139" s="65"/>
      <c r="C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</row>
    <row r="140" spans="1:23" ht="15.75" customHeight="1" x14ac:dyDescent="0.4">
      <c r="A140" s="293"/>
      <c r="B140" s="65"/>
      <c r="C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</row>
    <row r="141" spans="1:23" ht="15.75" customHeight="1" x14ac:dyDescent="0.4">
      <c r="A141" s="293"/>
      <c r="B141" s="65"/>
      <c r="C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</row>
    <row r="142" spans="1:23" ht="15.75" customHeight="1" x14ac:dyDescent="0.4">
      <c r="A142" s="293"/>
      <c r="B142" s="65"/>
      <c r="C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</row>
    <row r="143" spans="1:23" ht="15.75" customHeight="1" x14ac:dyDescent="0.4">
      <c r="A143" s="293"/>
      <c r="B143" s="65"/>
      <c r="C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</row>
    <row r="144" spans="1:23" ht="15.75" customHeight="1" x14ac:dyDescent="0.4">
      <c r="A144" s="293"/>
      <c r="B144" s="65"/>
      <c r="C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</row>
    <row r="145" spans="1:23" ht="15.75" customHeight="1" x14ac:dyDescent="0.4">
      <c r="A145" s="293"/>
      <c r="B145" s="65"/>
      <c r="C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</row>
    <row r="146" spans="1:23" ht="15.75" customHeight="1" x14ac:dyDescent="0.4">
      <c r="A146" s="293"/>
      <c r="B146" s="65"/>
      <c r="C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</row>
    <row r="147" spans="1:23" ht="15.75" customHeight="1" x14ac:dyDescent="0.4">
      <c r="A147" s="293"/>
      <c r="B147" s="65"/>
      <c r="C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</row>
    <row r="148" spans="1:23" ht="15.75" customHeight="1" x14ac:dyDescent="0.4">
      <c r="A148" s="293"/>
      <c r="B148" s="65"/>
      <c r="C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</row>
    <row r="149" spans="1:23" ht="15.75" customHeight="1" x14ac:dyDescent="0.4">
      <c r="A149" s="293"/>
      <c r="B149" s="65"/>
      <c r="C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</row>
    <row r="150" spans="1:23" ht="15.75" customHeight="1" x14ac:dyDescent="0.4">
      <c r="A150" s="293"/>
      <c r="B150" s="65"/>
      <c r="C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</row>
    <row r="151" spans="1:23" ht="15.75" customHeight="1" x14ac:dyDescent="0.4">
      <c r="A151" s="293"/>
      <c r="B151" s="65"/>
      <c r="C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</row>
    <row r="152" spans="1:23" ht="15.75" customHeight="1" x14ac:dyDescent="0.4">
      <c r="A152" s="293"/>
      <c r="B152" s="65"/>
      <c r="C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</row>
    <row r="153" spans="1:23" ht="15.75" customHeight="1" x14ac:dyDescent="0.4">
      <c r="A153" s="293"/>
      <c r="B153" s="65"/>
      <c r="C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</row>
    <row r="154" spans="1:23" ht="15.75" customHeight="1" x14ac:dyDescent="0.4">
      <c r="A154" s="293"/>
      <c r="B154" s="65"/>
      <c r="C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</row>
    <row r="155" spans="1:23" ht="15.75" customHeight="1" x14ac:dyDescent="0.4">
      <c r="A155" s="293"/>
      <c r="B155" s="65"/>
      <c r="C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</row>
    <row r="156" spans="1:23" ht="15.75" customHeight="1" x14ac:dyDescent="0.4">
      <c r="A156" s="293"/>
      <c r="B156" s="65"/>
      <c r="C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</row>
    <row r="157" spans="1:23" ht="15.75" customHeight="1" x14ac:dyDescent="0.4">
      <c r="A157" s="293"/>
      <c r="B157" s="65"/>
      <c r="C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</row>
    <row r="158" spans="1:23" ht="15.75" customHeight="1" x14ac:dyDescent="0.4">
      <c r="A158" s="293"/>
      <c r="B158" s="65"/>
      <c r="C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</row>
    <row r="159" spans="1:23" ht="15.75" customHeight="1" x14ac:dyDescent="0.4">
      <c r="A159" s="293"/>
      <c r="B159" s="65"/>
      <c r="C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</row>
    <row r="160" spans="1:23" ht="15.75" customHeight="1" x14ac:dyDescent="0.4">
      <c r="A160" s="293"/>
      <c r="B160" s="65"/>
      <c r="C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</row>
    <row r="161" spans="1:23" ht="15.75" customHeight="1" x14ac:dyDescent="0.4">
      <c r="A161" s="293"/>
      <c r="B161" s="65"/>
      <c r="C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</row>
    <row r="162" spans="1:23" ht="15.75" customHeight="1" x14ac:dyDescent="0.4">
      <c r="A162" s="293"/>
      <c r="B162" s="65"/>
      <c r="C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</row>
    <row r="163" spans="1:23" ht="15.75" customHeight="1" x14ac:dyDescent="0.4">
      <c r="A163" s="293"/>
      <c r="B163" s="65"/>
      <c r="C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</row>
    <row r="164" spans="1:23" ht="15.75" customHeight="1" x14ac:dyDescent="0.4">
      <c r="A164" s="293"/>
      <c r="B164" s="65"/>
      <c r="C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</row>
    <row r="165" spans="1:23" ht="15.75" customHeight="1" x14ac:dyDescent="0.4">
      <c r="A165" s="293"/>
      <c r="B165" s="65"/>
      <c r="C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</row>
    <row r="166" spans="1:23" ht="15.75" customHeight="1" x14ac:dyDescent="0.4">
      <c r="A166" s="293"/>
      <c r="B166" s="65"/>
      <c r="C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</row>
    <row r="167" spans="1:23" ht="15.75" customHeight="1" x14ac:dyDescent="0.4">
      <c r="A167" s="293"/>
      <c r="B167" s="65"/>
      <c r="C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</row>
    <row r="168" spans="1:23" ht="15.75" customHeight="1" x14ac:dyDescent="0.4">
      <c r="A168" s="293"/>
      <c r="B168" s="65"/>
      <c r="C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</row>
    <row r="169" spans="1:23" ht="15.75" customHeight="1" x14ac:dyDescent="0.4">
      <c r="A169" s="293"/>
      <c r="B169" s="65"/>
      <c r="C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</row>
    <row r="170" spans="1:23" ht="15.75" customHeight="1" x14ac:dyDescent="0.4">
      <c r="A170" s="293"/>
      <c r="B170" s="65"/>
      <c r="C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</row>
    <row r="171" spans="1:23" ht="15.75" customHeight="1" x14ac:dyDescent="0.4">
      <c r="A171" s="293"/>
      <c r="B171" s="65"/>
      <c r="C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</row>
    <row r="172" spans="1:23" ht="15.75" customHeight="1" x14ac:dyDescent="0.4">
      <c r="A172" s="293"/>
      <c r="B172" s="65"/>
      <c r="C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</row>
    <row r="173" spans="1:23" ht="15.75" customHeight="1" x14ac:dyDescent="0.4">
      <c r="A173" s="293"/>
      <c r="B173" s="65"/>
      <c r="C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</row>
    <row r="174" spans="1:23" ht="15.75" customHeight="1" x14ac:dyDescent="0.4">
      <c r="A174" s="293"/>
      <c r="B174" s="65"/>
      <c r="C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</row>
    <row r="175" spans="1:23" ht="15.75" customHeight="1" x14ac:dyDescent="0.4">
      <c r="A175" s="293"/>
      <c r="B175" s="65"/>
      <c r="C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</row>
    <row r="176" spans="1:23" ht="15.75" customHeight="1" x14ac:dyDescent="0.4">
      <c r="A176" s="293"/>
      <c r="B176" s="65"/>
      <c r="C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</row>
    <row r="177" spans="1:23" ht="15.75" customHeight="1" x14ac:dyDescent="0.4">
      <c r="A177" s="293"/>
      <c r="B177" s="65"/>
      <c r="C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</row>
    <row r="178" spans="1:23" ht="15.75" customHeight="1" x14ac:dyDescent="0.4">
      <c r="A178" s="293"/>
      <c r="B178" s="65"/>
      <c r="C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</row>
    <row r="179" spans="1:23" ht="15.75" customHeight="1" x14ac:dyDescent="0.4">
      <c r="A179" s="293"/>
      <c r="B179" s="65"/>
      <c r="C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</row>
    <row r="180" spans="1:23" ht="15.75" customHeight="1" x14ac:dyDescent="0.4">
      <c r="A180" s="293"/>
      <c r="B180" s="65"/>
      <c r="C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</row>
    <row r="181" spans="1:23" ht="15.75" customHeight="1" x14ac:dyDescent="0.4">
      <c r="A181" s="293"/>
      <c r="B181" s="65"/>
      <c r="C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</row>
    <row r="182" spans="1:23" ht="15.75" customHeight="1" x14ac:dyDescent="0.4">
      <c r="A182" s="293"/>
      <c r="B182" s="65"/>
      <c r="C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</row>
    <row r="183" spans="1:23" ht="15.75" customHeight="1" x14ac:dyDescent="0.4">
      <c r="A183" s="293"/>
      <c r="B183" s="65"/>
      <c r="C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</row>
    <row r="184" spans="1:23" ht="15.75" customHeight="1" x14ac:dyDescent="0.4">
      <c r="A184" s="293"/>
      <c r="B184" s="65"/>
      <c r="C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</row>
    <row r="185" spans="1:23" ht="15.75" customHeight="1" x14ac:dyDescent="0.4">
      <c r="A185" s="293"/>
      <c r="B185" s="65"/>
      <c r="C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</row>
    <row r="186" spans="1:23" ht="15.75" customHeight="1" x14ac:dyDescent="0.4">
      <c r="A186" s="293"/>
      <c r="B186" s="65"/>
      <c r="C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</row>
    <row r="187" spans="1:23" ht="15.75" customHeight="1" x14ac:dyDescent="0.4">
      <c r="A187" s="293"/>
      <c r="B187" s="65"/>
      <c r="C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</row>
    <row r="188" spans="1:23" ht="15.75" customHeight="1" x14ac:dyDescent="0.4">
      <c r="A188" s="293"/>
      <c r="B188" s="65"/>
      <c r="C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</row>
    <row r="189" spans="1:23" ht="15.75" customHeight="1" x14ac:dyDescent="0.4">
      <c r="A189" s="293"/>
      <c r="B189" s="65"/>
      <c r="C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</row>
    <row r="190" spans="1:23" ht="15.75" customHeight="1" x14ac:dyDescent="0.4">
      <c r="A190" s="293"/>
      <c r="B190" s="65"/>
      <c r="C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</row>
    <row r="191" spans="1:23" ht="15.75" customHeight="1" x14ac:dyDescent="0.4">
      <c r="A191" s="293"/>
      <c r="B191" s="65"/>
      <c r="C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</row>
    <row r="192" spans="1:23" ht="15.75" customHeight="1" x14ac:dyDescent="0.4">
      <c r="A192" s="293"/>
      <c r="B192" s="65"/>
      <c r="C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</row>
    <row r="193" spans="1:23" ht="15.75" customHeight="1" x14ac:dyDescent="0.4">
      <c r="A193" s="293"/>
      <c r="B193" s="65"/>
      <c r="C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</row>
    <row r="194" spans="1:23" ht="15.75" customHeight="1" x14ac:dyDescent="0.4">
      <c r="A194" s="293"/>
      <c r="B194" s="65"/>
      <c r="C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</row>
    <row r="195" spans="1:23" ht="15.75" customHeight="1" x14ac:dyDescent="0.4">
      <c r="A195" s="293"/>
      <c r="B195" s="65"/>
      <c r="C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</row>
    <row r="196" spans="1:23" ht="15.75" customHeight="1" x14ac:dyDescent="0.4">
      <c r="A196" s="293"/>
      <c r="B196" s="65"/>
      <c r="C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</row>
    <row r="197" spans="1:23" ht="15.75" customHeight="1" x14ac:dyDescent="0.4">
      <c r="A197" s="293"/>
      <c r="B197" s="65"/>
      <c r="C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</row>
    <row r="198" spans="1:23" ht="15.75" customHeight="1" x14ac:dyDescent="0.4">
      <c r="A198" s="293"/>
      <c r="B198" s="65"/>
      <c r="C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</row>
    <row r="199" spans="1:23" ht="15.75" customHeight="1" x14ac:dyDescent="0.4">
      <c r="A199" s="293"/>
      <c r="B199" s="65"/>
      <c r="C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</row>
    <row r="200" spans="1:23" ht="15.75" customHeight="1" x14ac:dyDescent="0.4">
      <c r="A200" s="293"/>
      <c r="B200" s="65"/>
      <c r="C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</row>
    <row r="201" spans="1:23" ht="15.75" customHeight="1" x14ac:dyDescent="0.4">
      <c r="A201" s="293"/>
      <c r="B201" s="65"/>
      <c r="C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</row>
    <row r="202" spans="1:23" ht="15.75" customHeight="1" x14ac:dyDescent="0.4">
      <c r="A202" s="293"/>
      <c r="B202" s="65"/>
      <c r="C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</row>
    <row r="203" spans="1:23" ht="15.75" customHeight="1" x14ac:dyDescent="0.4">
      <c r="A203" s="293"/>
      <c r="B203" s="65"/>
      <c r="C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</row>
    <row r="204" spans="1:23" ht="15.75" customHeight="1" x14ac:dyDescent="0.4">
      <c r="A204" s="293"/>
      <c r="B204" s="65"/>
      <c r="C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</row>
    <row r="205" spans="1:23" ht="15.75" customHeight="1" x14ac:dyDescent="0.4">
      <c r="A205" s="293"/>
      <c r="B205" s="65"/>
      <c r="C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</row>
    <row r="206" spans="1:23" ht="15.75" customHeight="1" x14ac:dyDescent="0.4">
      <c r="A206" s="293"/>
      <c r="B206" s="65"/>
      <c r="C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</row>
    <row r="207" spans="1:23" ht="15.75" customHeight="1" x14ac:dyDescent="0.4">
      <c r="A207" s="293"/>
      <c r="B207" s="65"/>
      <c r="C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</row>
    <row r="208" spans="1:23" ht="15.75" customHeight="1" x14ac:dyDescent="0.4">
      <c r="A208" s="293"/>
      <c r="B208" s="65"/>
      <c r="C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</row>
    <row r="209" spans="1:23" ht="15.75" customHeight="1" x14ac:dyDescent="0.4">
      <c r="A209" s="293"/>
      <c r="B209" s="65"/>
      <c r="C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</row>
    <row r="210" spans="1:23" ht="15.75" customHeight="1" x14ac:dyDescent="0.4">
      <c r="A210" s="293"/>
      <c r="B210" s="65"/>
      <c r="C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</row>
    <row r="211" spans="1:23" ht="15.75" customHeight="1" x14ac:dyDescent="0.4">
      <c r="A211" s="293"/>
      <c r="B211" s="65"/>
      <c r="C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</row>
    <row r="212" spans="1:23" ht="15.75" customHeight="1" x14ac:dyDescent="0.4">
      <c r="A212" s="293"/>
      <c r="B212" s="65"/>
      <c r="C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</row>
    <row r="213" spans="1:23" ht="15.75" customHeight="1" x14ac:dyDescent="0.4">
      <c r="A213" s="293"/>
      <c r="B213" s="65"/>
      <c r="C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</row>
    <row r="214" spans="1:23" ht="15.75" customHeight="1" x14ac:dyDescent="0.4">
      <c r="A214" s="293"/>
      <c r="B214" s="65"/>
      <c r="C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</row>
    <row r="215" spans="1:23" ht="15.75" customHeight="1" x14ac:dyDescent="0.4">
      <c r="A215" s="293"/>
      <c r="B215" s="65"/>
      <c r="C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</row>
    <row r="216" spans="1:23" ht="15.75" customHeight="1" x14ac:dyDescent="0.4">
      <c r="A216" s="293"/>
      <c r="B216" s="65"/>
      <c r="C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</row>
    <row r="217" spans="1:23" ht="15.75" customHeight="1" x14ac:dyDescent="0.4">
      <c r="A217" s="293"/>
      <c r="B217" s="65"/>
      <c r="C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</row>
    <row r="218" spans="1:23" ht="15.75" customHeight="1" x14ac:dyDescent="0.4">
      <c r="A218" s="293"/>
      <c r="B218" s="65"/>
      <c r="C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</row>
    <row r="219" spans="1:23" ht="15.75" customHeight="1" x14ac:dyDescent="0.4">
      <c r="A219" s="293"/>
      <c r="B219" s="65"/>
      <c r="C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</row>
    <row r="220" spans="1:23" ht="15.75" customHeight="1" x14ac:dyDescent="0.4">
      <c r="A220" s="293"/>
      <c r="B220" s="65"/>
      <c r="C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</row>
    <row r="221" spans="1:23" ht="15.75" customHeight="1" x14ac:dyDescent="0.4">
      <c r="A221" s="293"/>
      <c r="B221" s="65"/>
      <c r="C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</row>
    <row r="222" spans="1:23" ht="15.75" customHeight="1" x14ac:dyDescent="0.4">
      <c r="A222" s="293"/>
      <c r="B222" s="65"/>
      <c r="C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</row>
    <row r="223" spans="1:23" ht="15.75" customHeight="1" x14ac:dyDescent="0.4">
      <c r="A223" s="293"/>
      <c r="B223" s="65"/>
      <c r="C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</row>
    <row r="224" spans="1:23" ht="15.75" customHeight="1" x14ac:dyDescent="0.4">
      <c r="A224" s="293"/>
      <c r="B224" s="65"/>
      <c r="C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</row>
    <row r="225" spans="1:23" ht="15.75" customHeight="1" x14ac:dyDescent="0.4">
      <c r="A225" s="293"/>
      <c r="B225" s="65"/>
      <c r="C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</row>
    <row r="226" spans="1:23" ht="15.75" customHeight="1" x14ac:dyDescent="0.4">
      <c r="A226" s="293"/>
      <c r="B226" s="65"/>
      <c r="C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</row>
    <row r="227" spans="1:23" ht="15.75" customHeight="1" x14ac:dyDescent="0.4">
      <c r="A227" s="293"/>
      <c r="B227" s="65"/>
      <c r="C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</row>
    <row r="228" spans="1:23" ht="15.75" customHeight="1" x14ac:dyDescent="0.4">
      <c r="A228" s="293"/>
      <c r="B228" s="65"/>
      <c r="C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</row>
    <row r="229" spans="1:23" ht="15.75" customHeight="1" x14ac:dyDescent="0.4">
      <c r="A229" s="293"/>
      <c r="B229" s="65"/>
      <c r="C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</row>
    <row r="230" spans="1:23" ht="15.75" customHeight="1" x14ac:dyDescent="0.4">
      <c r="A230" s="293"/>
      <c r="B230" s="65"/>
      <c r="C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</row>
    <row r="231" spans="1:23" ht="15.75" customHeight="1" x14ac:dyDescent="0.4">
      <c r="A231" s="293"/>
      <c r="B231" s="65"/>
      <c r="C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</row>
    <row r="232" spans="1:23" ht="15.75" customHeight="1" x14ac:dyDescent="0.4">
      <c r="A232" s="293"/>
      <c r="B232" s="65"/>
      <c r="C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</row>
    <row r="233" spans="1:23" ht="15.75" customHeight="1" x14ac:dyDescent="0.4">
      <c r="A233" s="293"/>
      <c r="B233" s="65"/>
      <c r="C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</row>
    <row r="234" spans="1:23" ht="15.75" customHeight="1" x14ac:dyDescent="0.4">
      <c r="A234" s="293"/>
      <c r="B234" s="65"/>
      <c r="C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</row>
    <row r="235" spans="1:23" ht="15.75" customHeight="1" x14ac:dyDescent="0.4">
      <c r="A235" s="293"/>
      <c r="B235" s="65"/>
      <c r="C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</row>
    <row r="236" spans="1:23" ht="15.75" customHeight="1" x14ac:dyDescent="0.4">
      <c r="A236" s="293"/>
      <c r="B236" s="65"/>
      <c r="C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</row>
    <row r="237" spans="1:23" ht="15.75" customHeight="1" x14ac:dyDescent="0.4">
      <c r="A237" s="293"/>
      <c r="B237" s="65"/>
      <c r="C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</row>
    <row r="238" spans="1:23" ht="15.75" customHeight="1" x14ac:dyDescent="0.4">
      <c r="A238" s="293"/>
      <c r="B238" s="65"/>
      <c r="C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</row>
    <row r="239" spans="1:23" ht="15.75" customHeight="1" x14ac:dyDescent="0.4">
      <c r="A239" s="293"/>
      <c r="B239" s="65"/>
      <c r="C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</row>
    <row r="240" spans="1:23" ht="15.75" customHeight="1" x14ac:dyDescent="0.4">
      <c r="A240" s="293"/>
      <c r="B240" s="65"/>
      <c r="C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</row>
    <row r="241" spans="1:23" ht="15.75" customHeight="1" x14ac:dyDescent="0.4">
      <c r="A241" s="293"/>
      <c r="B241" s="65"/>
      <c r="C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</row>
    <row r="242" spans="1:23" ht="15.75" customHeight="1" x14ac:dyDescent="0.4">
      <c r="A242" s="293"/>
      <c r="B242" s="65"/>
      <c r="C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</row>
    <row r="243" spans="1:23" ht="15.75" customHeight="1" x14ac:dyDescent="0.4">
      <c r="A243" s="293"/>
      <c r="B243" s="65"/>
      <c r="C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</row>
    <row r="244" spans="1:23" ht="15.75" customHeight="1" x14ac:dyDescent="0.4">
      <c r="A244" s="293"/>
      <c r="B244" s="65"/>
      <c r="C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</row>
    <row r="245" spans="1:23" ht="15.75" customHeight="1" x14ac:dyDescent="0.4">
      <c r="A245" s="293"/>
      <c r="B245" s="65"/>
      <c r="C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</row>
    <row r="246" spans="1:23" ht="15.75" customHeight="1" x14ac:dyDescent="0.4">
      <c r="A246" s="293"/>
      <c r="B246" s="65"/>
      <c r="C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</row>
    <row r="247" spans="1:23" ht="15.75" customHeight="1" x14ac:dyDescent="0.4">
      <c r="A247" s="293"/>
      <c r="B247" s="65"/>
      <c r="C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</row>
    <row r="248" spans="1:23" ht="15.75" customHeight="1" x14ac:dyDescent="0.4">
      <c r="A248" s="293"/>
      <c r="B248" s="65"/>
      <c r="C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</row>
    <row r="249" spans="1:23" ht="15.75" customHeight="1" x14ac:dyDescent="0.4">
      <c r="A249" s="293"/>
      <c r="B249" s="65"/>
      <c r="C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</row>
    <row r="250" spans="1:23" ht="15.75" customHeight="1" x14ac:dyDescent="0.4">
      <c r="A250" s="293"/>
      <c r="B250" s="65"/>
      <c r="C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</row>
    <row r="251" spans="1:23" ht="15.75" customHeight="1" x14ac:dyDescent="0.4">
      <c r="A251" s="293"/>
      <c r="B251" s="65"/>
      <c r="C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</row>
    <row r="252" spans="1:23" ht="15.75" customHeight="1" x14ac:dyDescent="0.4">
      <c r="A252" s="293"/>
      <c r="B252" s="65"/>
      <c r="C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</row>
    <row r="253" spans="1:23" ht="15.75" customHeight="1" x14ac:dyDescent="0.4">
      <c r="A253" s="293"/>
      <c r="B253" s="65"/>
      <c r="C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</row>
    <row r="254" spans="1:23" ht="15.75" customHeight="1" x14ac:dyDescent="0.4">
      <c r="A254" s="293"/>
      <c r="B254" s="65"/>
      <c r="C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</row>
    <row r="255" spans="1:23" ht="15.75" customHeight="1" x14ac:dyDescent="0.4">
      <c r="A255" s="293"/>
      <c r="B255" s="65"/>
      <c r="C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</row>
    <row r="256" spans="1:23" ht="15.75" customHeight="1" x14ac:dyDescent="0.4">
      <c r="A256" s="293"/>
      <c r="B256" s="65"/>
      <c r="C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</row>
    <row r="257" spans="1:23" ht="15.75" customHeight="1" x14ac:dyDescent="0.4">
      <c r="A257" s="293"/>
      <c r="B257" s="65"/>
      <c r="C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</row>
    <row r="258" spans="1:23" ht="15.75" customHeight="1" x14ac:dyDescent="0.4">
      <c r="A258" s="293"/>
      <c r="B258" s="65"/>
      <c r="C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</row>
    <row r="259" spans="1:23" ht="15.75" customHeight="1" x14ac:dyDescent="0.4">
      <c r="A259" s="293"/>
      <c r="B259" s="65"/>
      <c r="C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</row>
    <row r="260" spans="1:23" ht="15.75" customHeight="1" x14ac:dyDescent="0.4">
      <c r="A260" s="293"/>
      <c r="B260" s="65"/>
      <c r="C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</row>
    <row r="261" spans="1:23" ht="15.75" customHeight="1" x14ac:dyDescent="0.4">
      <c r="A261" s="293"/>
      <c r="B261" s="65"/>
      <c r="C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</row>
    <row r="262" spans="1:23" ht="15.75" customHeight="1" x14ac:dyDescent="0.4">
      <c r="A262" s="293"/>
      <c r="B262" s="65"/>
      <c r="C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</row>
    <row r="263" spans="1:23" ht="15.75" customHeight="1" x14ac:dyDescent="0.4">
      <c r="A263" s="293"/>
      <c r="B263" s="65"/>
      <c r="C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</row>
    <row r="264" spans="1:23" ht="15.75" customHeight="1" x14ac:dyDescent="0.4">
      <c r="A264" s="293"/>
      <c r="B264" s="65"/>
      <c r="C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</row>
    <row r="265" spans="1:23" ht="15.75" customHeight="1" x14ac:dyDescent="0.4">
      <c r="A265" s="293"/>
      <c r="B265" s="65"/>
      <c r="C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</row>
    <row r="266" spans="1:23" ht="15.75" customHeight="1" x14ac:dyDescent="0.4">
      <c r="A266" s="293"/>
      <c r="B266" s="65"/>
      <c r="C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</row>
    <row r="267" spans="1:23" ht="15.75" customHeight="1" x14ac:dyDescent="0.4">
      <c r="A267" s="293"/>
      <c r="B267" s="65"/>
      <c r="C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</row>
    <row r="268" spans="1:23" ht="15.75" customHeight="1" x14ac:dyDescent="0.4">
      <c r="A268" s="293"/>
      <c r="B268" s="65"/>
      <c r="C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</row>
    <row r="269" spans="1:23" ht="15.75" customHeight="1" x14ac:dyDescent="0.4">
      <c r="A269" s="293"/>
      <c r="B269" s="65"/>
      <c r="C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</row>
    <row r="270" spans="1:23" ht="15.75" customHeight="1" x14ac:dyDescent="0.4">
      <c r="A270" s="293"/>
      <c r="B270" s="65"/>
      <c r="C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</row>
    <row r="271" spans="1:23" ht="15.75" customHeight="1" x14ac:dyDescent="0.4">
      <c r="A271" s="293"/>
      <c r="B271" s="65"/>
      <c r="C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</row>
    <row r="272" spans="1:23" ht="15.75" customHeight="1" x14ac:dyDescent="0.4">
      <c r="A272" s="293"/>
      <c r="B272" s="65"/>
      <c r="C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</row>
    <row r="273" spans="1:23" ht="15.75" customHeight="1" x14ac:dyDescent="0.4">
      <c r="A273" s="293"/>
      <c r="B273" s="65"/>
      <c r="C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</row>
    <row r="274" spans="1:23" ht="15.75" customHeight="1" x14ac:dyDescent="0.4">
      <c r="A274" s="293"/>
      <c r="B274" s="65"/>
      <c r="C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</row>
    <row r="275" spans="1:23" ht="15.75" customHeight="1" x14ac:dyDescent="0.4">
      <c r="A275" s="293"/>
      <c r="B275" s="65"/>
      <c r="C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</row>
    <row r="276" spans="1:23" ht="15.75" customHeight="1" x14ac:dyDescent="0.4">
      <c r="A276" s="293"/>
      <c r="B276" s="65"/>
      <c r="C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</row>
    <row r="277" spans="1:23" ht="15.75" customHeight="1" x14ac:dyDescent="0.4">
      <c r="A277" s="293"/>
      <c r="B277" s="65"/>
      <c r="C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</row>
    <row r="278" spans="1:23" ht="15.75" customHeight="1" x14ac:dyDescent="0.4">
      <c r="A278" s="293"/>
      <c r="B278" s="65"/>
      <c r="C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</row>
    <row r="279" spans="1:23" ht="15.75" customHeight="1" x14ac:dyDescent="0.4">
      <c r="A279" s="293"/>
      <c r="B279" s="65"/>
      <c r="C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</row>
    <row r="280" spans="1:23" ht="15.75" customHeight="1" x14ac:dyDescent="0.4">
      <c r="A280" s="293"/>
      <c r="B280" s="65"/>
      <c r="C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</row>
    <row r="281" spans="1:23" ht="15.75" customHeight="1" x14ac:dyDescent="0.4">
      <c r="A281" s="293"/>
      <c r="B281" s="65"/>
      <c r="C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</row>
    <row r="282" spans="1:23" ht="15.75" customHeight="1" x14ac:dyDescent="0.4">
      <c r="A282" s="293"/>
      <c r="B282" s="65"/>
      <c r="C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</row>
    <row r="283" spans="1:23" ht="15.75" customHeight="1" x14ac:dyDescent="0.4">
      <c r="A283" s="293"/>
      <c r="B283" s="65"/>
      <c r="C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</row>
    <row r="284" spans="1:23" ht="15.75" customHeight="1" x14ac:dyDescent="0.4">
      <c r="A284" s="293"/>
      <c r="B284" s="65"/>
      <c r="C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</row>
    <row r="285" spans="1:23" ht="15.75" customHeight="1" x14ac:dyDescent="0.4">
      <c r="A285" s="293"/>
      <c r="B285" s="65"/>
      <c r="C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</row>
    <row r="286" spans="1:23" ht="15.75" customHeight="1" x14ac:dyDescent="0.4">
      <c r="A286" s="293"/>
      <c r="B286" s="65"/>
      <c r="C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</row>
    <row r="287" spans="1:23" ht="15.75" customHeight="1" x14ac:dyDescent="0.4">
      <c r="A287" s="293"/>
      <c r="B287" s="65"/>
      <c r="C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</row>
    <row r="288" spans="1:23" ht="15.75" customHeight="1" x14ac:dyDescent="0.4">
      <c r="A288" s="293"/>
      <c r="B288" s="65"/>
      <c r="C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</row>
    <row r="289" spans="1:23" ht="15.75" customHeight="1" x14ac:dyDescent="0.4">
      <c r="A289" s="293"/>
      <c r="B289" s="65"/>
      <c r="C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</row>
    <row r="290" spans="1:23" ht="15.75" customHeight="1" x14ac:dyDescent="0.4">
      <c r="A290" s="293"/>
      <c r="B290" s="65"/>
      <c r="C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</row>
    <row r="291" spans="1:23" ht="15.75" customHeight="1" x14ac:dyDescent="0.4">
      <c r="A291" s="293"/>
      <c r="B291" s="65"/>
      <c r="C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</row>
    <row r="292" spans="1:23" ht="15.75" customHeight="1" x14ac:dyDescent="0.4">
      <c r="A292" s="293"/>
      <c r="B292" s="65"/>
      <c r="C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</row>
    <row r="293" spans="1:23" ht="15.75" customHeight="1" x14ac:dyDescent="0.4">
      <c r="A293" s="293"/>
      <c r="B293" s="65"/>
      <c r="C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</row>
    <row r="294" spans="1:23" ht="15.75" customHeight="1" x14ac:dyDescent="0.4">
      <c r="A294" s="293"/>
      <c r="B294" s="65"/>
      <c r="C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</row>
    <row r="295" spans="1:23" ht="15.75" customHeight="1" x14ac:dyDescent="0.4">
      <c r="A295" s="293"/>
      <c r="B295" s="65"/>
      <c r="C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</row>
    <row r="296" spans="1:23" ht="15.75" customHeight="1" x14ac:dyDescent="0.4">
      <c r="A296" s="293"/>
      <c r="B296" s="65"/>
      <c r="C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</row>
    <row r="297" spans="1:23" ht="15.75" customHeight="1" x14ac:dyDescent="0.4">
      <c r="A297" s="293"/>
      <c r="B297" s="65"/>
      <c r="C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</row>
    <row r="298" spans="1:23" ht="15.75" customHeight="1" x14ac:dyDescent="0.4">
      <c r="A298" s="293"/>
      <c r="B298" s="65"/>
      <c r="C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</row>
    <row r="299" spans="1:23" ht="15.75" customHeight="1" x14ac:dyDescent="0.4">
      <c r="A299" s="293"/>
      <c r="B299" s="65"/>
      <c r="C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</row>
    <row r="300" spans="1:23" ht="15.75" customHeight="1" x14ac:dyDescent="0.4">
      <c r="A300" s="293"/>
      <c r="B300" s="65"/>
      <c r="C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</row>
    <row r="301" spans="1:23" ht="15.75" customHeight="1" x14ac:dyDescent="0.4">
      <c r="A301" s="293"/>
      <c r="B301" s="65"/>
      <c r="C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</row>
    <row r="302" spans="1:23" ht="15.75" customHeight="1" x14ac:dyDescent="0.4">
      <c r="A302" s="293"/>
      <c r="B302" s="65"/>
      <c r="C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</row>
    <row r="303" spans="1:23" ht="15.75" customHeight="1" x14ac:dyDescent="0.4">
      <c r="A303" s="293"/>
      <c r="B303" s="65"/>
      <c r="C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</row>
    <row r="304" spans="1:23" ht="15.75" customHeight="1" x14ac:dyDescent="0.4">
      <c r="A304" s="293"/>
      <c r="B304" s="65"/>
      <c r="C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</row>
    <row r="305" spans="1:23" ht="15.75" customHeight="1" x14ac:dyDescent="0.4">
      <c r="A305" s="293"/>
      <c r="B305" s="65"/>
      <c r="C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</row>
    <row r="306" spans="1:23" ht="15.75" customHeight="1" x14ac:dyDescent="0.4">
      <c r="A306" s="293"/>
      <c r="B306" s="65"/>
      <c r="C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</row>
    <row r="307" spans="1:23" ht="15.75" customHeight="1" x14ac:dyDescent="0.4">
      <c r="A307" s="293"/>
      <c r="B307" s="65"/>
      <c r="C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</row>
    <row r="308" spans="1:23" ht="15.75" customHeight="1" x14ac:dyDescent="0.4">
      <c r="A308" s="293"/>
      <c r="B308" s="65"/>
      <c r="C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</row>
    <row r="309" spans="1:23" ht="15.75" customHeight="1" x14ac:dyDescent="0.4">
      <c r="A309" s="293"/>
      <c r="B309" s="65"/>
      <c r="C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</row>
    <row r="310" spans="1:23" ht="15.75" customHeight="1" x14ac:dyDescent="0.4">
      <c r="A310" s="293"/>
      <c r="B310" s="65"/>
      <c r="C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</row>
    <row r="311" spans="1:23" ht="15.75" customHeight="1" x14ac:dyDescent="0.4">
      <c r="A311" s="293"/>
      <c r="B311" s="65"/>
      <c r="C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</row>
    <row r="312" spans="1:23" ht="15.75" customHeight="1" x14ac:dyDescent="0.4">
      <c r="A312" s="293"/>
      <c r="B312" s="65"/>
      <c r="C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</row>
    <row r="313" spans="1:23" ht="15.75" customHeight="1" x14ac:dyDescent="0.4">
      <c r="A313" s="293"/>
      <c r="B313" s="65"/>
      <c r="C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</row>
    <row r="314" spans="1:23" ht="15.75" customHeight="1" x14ac:dyDescent="0.4">
      <c r="A314" s="293"/>
      <c r="B314" s="65"/>
      <c r="C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</row>
    <row r="315" spans="1:23" ht="15.75" customHeight="1" x14ac:dyDescent="0.4">
      <c r="A315" s="293"/>
      <c r="B315" s="65"/>
      <c r="C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</row>
    <row r="316" spans="1:23" ht="15.75" customHeight="1" x14ac:dyDescent="0.4">
      <c r="A316" s="293"/>
      <c r="B316" s="65"/>
      <c r="C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</row>
    <row r="317" spans="1:23" ht="15.75" customHeight="1" x14ac:dyDescent="0.4">
      <c r="A317" s="293"/>
      <c r="B317" s="65"/>
      <c r="C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</row>
    <row r="318" spans="1:23" ht="15.75" customHeight="1" x14ac:dyDescent="0.4">
      <c r="A318" s="293"/>
      <c r="B318" s="65"/>
      <c r="C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</row>
    <row r="319" spans="1:23" ht="15.75" customHeight="1" x14ac:dyDescent="0.4">
      <c r="A319" s="293"/>
      <c r="B319" s="65"/>
      <c r="C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</row>
    <row r="320" spans="1:23" ht="15.75" customHeight="1" x14ac:dyDescent="0.4">
      <c r="A320" s="293"/>
      <c r="B320" s="65"/>
      <c r="C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</row>
    <row r="321" spans="1:23" ht="15.75" customHeight="1" x14ac:dyDescent="0.4">
      <c r="A321" s="293"/>
      <c r="B321" s="65"/>
      <c r="C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</row>
    <row r="322" spans="1:23" ht="15.75" customHeight="1" x14ac:dyDescent="0.4">
      <c r="A322" s="293"/>
      <c r="B322" s="65"/>
      <c r="C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</row>
    <row r="323" spans="1:23" ht="15.75" customHeight="1" x14ac:dyDescent="0.4">
      <c r="A323" s="293"/>
      <c r="B323" s="65"/>
      <c r="C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</row>
    <row r="324" spans="1:23" ht="15.75" customHeight="1" x14ac:dyDescent="0.4">
      <c r="A324" s="293"/>
      <c r="B324" s="65"/>
      <c r="C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</row>
    <row r="325" spans="1:23" ht="15.75" customHeight="1" x14ac:dyDescent="0.4">
      <c r="A325" s="293"/>
      <c r="B325" s="65"/>
      <c r="C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</row>
    <row r="326" spans="1:23" ht="15.75" customHeight="1" x14ac:dyDescent="0.4">
      <c r="A326" s="293"/>
      <c r="B326" s="65"/>
      <c r="C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</row>
    <row r="327" spans="1:23" ht="15.75" customHeight="1" x14ac:dyDescent="0.4">
      <c r="A327" s="293"/>
      <c r="B327" s="65"/>
      <c r="C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</row>
    <row r="328" spans="1:23" ht="15.75" customHeight="1" x14ac:dyDescent="0.4">
      <c r="A328" s="293"/>
      <c r="B328" s="65"/>
      <c r="C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</row>
    <row r="329" spans="1:23" ht="15.75" customHeight="1" x14ac:dyDescent="0.4">
      <c r="A329" s="293"/>
      <c r="B329" s="65"/>
      <c r="C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</row>
    <row r="330" spans="1:23" ht="15.75" customHeight="1" x14ac:dyDescent="0.4">
      <c r="A330" s="293"/>
      <c r="B330" s="65"/>
      <c r="C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</row>
    <row r="331" spans="1:23" ht="15.75" customHeight="1" x14ac:dyDescent="0.4">
      <c r="A331" s="293"/>
      <c r="B331" s="65"/>
      <c r="C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</row>
    <row r="332" spans="1:23" ht="15.75" customHeight="1" x14ac:dyDescent="0.4">
      <c r="A332" s="293"/>
      <c r="B332" s="65"/>
      <c r="C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</row>
    <row r="333" spans="1:23" ht="15.75" customHeight="1" x14ac:dyDescent="0.4">
      <c r="A333" s="293"/>
      <c r="B333" s="65"/>
      <c r="C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</row>
    <row r="334" spans="1:23" ht="15.75" customHeight="1" x14ac:dyDescent="0.4">
      <c r="A334" s="293"/>
      <c r="B334" s="65"/>
      <c r="C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</row>
    <row r="335" spans="1:23" ht="15.75" customHeight="1" x14ac:dyDescent="0.4">
      <c r="A335" s="293"/>
      <c r="B335" s="65"/>
      <c r="C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</row>
    <row r="336" spans="1:23" ht="15.75" customHeight="1" x14ac:dyDescent="0.4">
      <c r="A336" s="293"/>
      <c r="B336" s="65"/>
      <c r="C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</row>
    <row r="337" spans="1:23" ht="15.75" customHeight="1" x14ac:dyDescent="0.4">
      <c r="A337" s="293"/>
      <c r="B337" s="65"/>
      <c r="C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</row>
    <row r="338" spans="1:23" ht="15.75" customHeight="1" x14ac:dyDescent="0.4">
      <c r="A338" s="293"/>
      <c r="B338" s="65"/>
      <c r="C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</row>
    <row r="339" spans="1:23" ht="15.75" customHeight="1" x14ac:dyDescent="0.4">
      <c r="A339" s="293"/>
      <c r="B339" s="65"/>
      <c r="C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</row>
    <row r="340" spans="1:23" ht="15.75" customHeight="1" x14ac:dyDescent="0.4">
      <c r="A340" s="293"/>
      <c r="B340" s="65"/>
      <c r="C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</row>
    <row r="341" spans="1:23" ht="15.75" customHeight="1" x14ac:dyDescent="0.4">
      <c r="A341" s="293"/>
      <c r="B341" s="65"/>
      <c r="C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</row>
    <row r="342" spans="1:23" ht="15.75" customHeight="1" x14ac:dyDescent="0.4">
      <c r="A342" s="293"/>
      <c r="B342" s="65"/>
      <c r="C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</row>
    <row r="343" spans="1:23" ht="15.75" customHeight="1" x14ac:dyDescent="0.4">
      <c r="A343" s="293"/>
      <c r="B343" s="65"/>
      <c r="C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</row>
    <row r="344" spans="1:23" ht="15.75" customHeight="1" x14ac:dyDescent="0.4">
      <c r="A344" s="293"/>
      <c r="B344" s="65"/>
      <c r="C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</row>
    <row r="345" spans="1:23" ht="15.75" customHeight="1" x14ac:dyDescent="0.4">
      <c r="A345" s="293"/>
      <c r="B345" s="65"/>
      <c r="C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</row>
    <row r="346" spans="1:23" ht="15.75" customHeight="1" x14ac:dyDescent="0.4">
      <c r="A346" s="293"/>
      <c r="B346" s="65"/>
      <c r="C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</row>
    <row r="347" spans="1:23" ht="15.75" customHeight="1" x14ac:dyDescent="0.4">
      <c r="A347" s="293"/>
      <c r="B347" s="65"/>
      <c r="C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</row>
    <row r="348" spans="1:23" ht="15.75" customHeight="1" x14ac:dyDescent="0.4">
      <c r="A348" s="293"/>
      <c r="B348" s="65"/>
      <c r="C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</row>
    <row r="349" spans="1:23" ht="15.75" customHeight="1" x14ac:dyDescent="0.4">
      <c r="A349" s="293"/>
      <c r="B349" s="65"/>
      <c r="C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</row>
    <row r="350" spans="1:23" ht="15.75" customHeight="1" x14ac:dyDescent="0.4">
      <c r="A350" s="293"/>
      <c r="B350" s="65"/>
      <c r="C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</row>
    <row r="351" spans="1:23" ht="15.75" customHeight="1" x14ac:dyDescent="0.4">
      <c r="A351" s="293"/>
      <c r="B351" s="65"/>
      <c r="C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</row>
    <row r="352" spans="1:23" ht="15.75" customHeight="1" x14ac:dyDescent="0.4">
      <c r="A352" s="293"/>
      <c r="B352" s="65"/>
      <c r="C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</row>
    <row r="353" spans="1:23" ht="15.75" customHeight="1" x14ac:dyDescent="0.4">
      <c r="A353" s="293"/>
      <c r="B353" s="65"/>
      <c r="C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</row>
    <row r="354" spans="1:23" ht="15.75" customHeight="1" x14ac:dyDescent="0.4">
      <c r="A354" s="293"/>
      <c r="B354" s="65"/>
      <c r="C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</row>
    <row r="355" spans="1:23" ht="15.75" customHeight="1" x14ac:dyDescent="0.4">
      <c r="A355" s="293"/>
      <c r="B355" s="65"/>
      <c r="C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</row>
    <row r="356" spans="1:23" ht="15.75" customHeight="1" x14ac:dyDescent="0.4">
      <c r="A356" s="293"/>
      <c r="B356" s="65"/>
      <c r="C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</row>
    <row r="357" spans="1:23" ht="15.75" customHeight="1" x14ac:dyDescent="0.4">
      <c r="A357" s="293"/>
      <c r="B357" s="65"/>
      <c r="C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</row>
    <row r="358" spans="1:23" ht="15.75" customHeight="1" x14ac:dyDescent="0.4">
      <c r="A358" s="293"/>
      <c r="B358" s="65"/>
      <c r="C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</row>
    <row r="359" spans="1:23" ht="15.75" customHeight="1" x14ac:dyDescent="0.4">
      <c r="A359" s="293"/>
      <c r="B359" s="65"/>
      <c r="C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</row>
    <row r="360" spans="1:23" ht="15.75" customHeight="1" x14ac:dyDescent="0.4">
      <c r="A360" s="293"/>
      <c r="B360" s="65"/>
      <c r="C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</row>
    <row r="361" spans="1:23" ht="15.75" customHeight="1" x14ac:dyDescent="0.4">
      <c r="A361" s="293"/>
      <c r="B361" s="65"/>
      <c r="C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</row>
    <row r="362" spans="1:23" ht="15.75" customHeight="1" x14ac:dyDescent="0.4">
      <c r="A362" s="293"/>
      <c r="B362" s="65"/>
      <c r="C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</row>
    <row r="363" spans="1:23" ht="15.75" customHeight="1" x14ac:dyDescent="0.4">
      <c r="A363" s="293"/>
      <c r="B363" s="65"/>
      <c r="C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</row>
    <row r="364" spans="1:23" ht="15.75" customHeight="1" x14ac:dyDescent="0.4">
      <c r="A364" s="293"/>
      <c r="B364" s="65"/>
      <c r="C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</row>
    <row r="365" spans="1:23" ht="15.75" customHeight="1" x14ac:dyDescent="0.4">
      <c r="A365" s="293"/>
      <c r="B365" s="65"/>
      <c r="C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</row>
    <row r="366" spans="1:23" ht="15.75" customHeight="1" x14ac:dyDescent="0.4">
      <c r="A366" s="293"/>
      <c r="B366" s="65"/>
      <c r="C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</row>
    <row r="367" spans="1:23" ht="15.75" customHeight="1" x14ac:dyDescent="0.4">
      <c r="A367" s="293"/>
      <c r="B367" s="65"/>
      <c r="C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</row>
    <row r="368" spans="1:23" ht="15.75" customHeight="1" x14ac:dyDescent="0.4">
      <c r="A368" s="293"/>
      <c r="B368" s="65"/>
      <c r="C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</row>
    <row r="369" spans="1:23" ht="15.75" customHeight="1" x14ac:dyDescent="0.4">
      <c r="A369" s="293"/>
      <c r="B369" s="65"/>
      <c r="C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</row>
    <row r="370" spans="1:23" ht="15.75" customHeight="1" x14ac:dyDescent="0.4">
      <c r="A370" s="293"/>
      <c r="B370" s="65"/>
      <c r="C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</row>
    <row r="371" spans="1:23" ht="15.75" customHeight="1" x14ac:dyDescent="0.4">
      <c r="A371" s="293"/>
      <c r="B371" s="65"/>
      <c r="C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</row>
    <row r="372" spans="1:23" ht="15.75" customHeight="1" x14ac:dyDescent="0.4">
      <c r="A372" s="293"/>
      <c r="B372" s="65"/>
      <c r="C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</row>
    <row r="373" spans="1:23" ht="15.75" customHeight="1" x14ac:dyDescent="0.4">
      <c r="A373" s="293"/>
      <c r="B373" s="65"/>
      <c r="C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</row>
    <row r="374" spans="1:23" ht="15.75" customHeight="1" x14ac:dyDescent="0.4">
      <c r="A374" s="293"/>
      <c r="B374" s="65"/>
      <c r="C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</row>
    <row r="375" spans="1:23" ht="15.75" customHeight="1" x14ac:dyDescent="0.4">
      <c r="A375" s="293"/>
      <c r="B375" s="65"/>
      <c r="C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</row>
    <row r="376" spans="1:23" ht="15.75" customHeight="1" x14ac:dyDescent="0.4">
      <c r="A376" s="293"/>
      <c r="B376" s="65"/>
      <c r="C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</row>
    <row r="377" spans="1:23" ht="15.75" customHeight="1" x14ac:dyDescent="0.4">
      <c r="A377" s="293"/>
      <c r="B377" s="65"/>
      <c r="C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</row>
    <row r="378" spans="1:23" ht="15.75" customHeight="1" x14ac:dyDescent="0.4">
      <c r="A378" s="293"/>
      <c r="B378" s="65"/>
      <c r="C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</row>
    <row r="379" spans="1:23" ht="15.75" customHeight="1" x14ac:dyDescent="0.4">
      <c r="A379" s="293"/>
      <c r="B379" s="65"/>
      <c r="C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</row>
    <row r="380" spans="1:23" ht="15.75" customHeight="1" x14ac:dyDescent="0.4">
      <c r="A380" s="293"/>
      <c r="B380" s="65"/>
      <c r="C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</row>
    <row r="381" spans="1:23" ht="15.75" customHeight="1" x14ac:dyDescent="0.4">
      <c r="A381" s="293"/>
      <c r="B381" s="65"/>
      <c r="C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</row>
    <row r="382" spans="1:23" ht="15.75" customHeight="1" x14ac:dyDescent="0.4">
      <c r="A382" s="293"/>
      <c r="B382" s="65"/>
      <c r="C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</row>
    <row r="383" spans="1:23" ht="15.75" customHeight="1" x14ac:dyDescent="0.4">
      <c r="A383" s="293"/>
      <c r="B383" s="65"/>
      <c r="C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</row>
    <row r="384" spans="1:23" ht="15.75" customHeight="1" x14ac:dyDescent="0.4">
      <c r="A384" s="293"/>
      <c r="B384" s="65"/>
      <c r="C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</row>
    <row r="385" spans="1:23" ht="15.75" customHeight="1" x14ac:dyDescent="0.4">
      <c r="A385" s="293"/>
      <c r="B385" s="65"/>
      <c r="C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</row>
    <row r="386" spans="1:23" ht="15.75" customHeight="1" x14ac:dyDescent="0.4">
      <c r="A386" s="293"/>
      <c r="B386" s="65"/>
      <c r="C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</row>
    <row r="387" spans="1:23" ht="15.75" customHeight="1" x14ac:dyDescent="0.4">
      <c r="A387" s="293"/>
      <c r="B387" s="65"/>
      <c r="C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</row>
    <row r="388" spans="1:23" ht="15.75" customHeight="1" x14ac:dyDescent="0.4">
      <c r="A388" s="293"/>
      <c r="B388" s="65"/>
      <c r="C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</row>
    <row r="389" spans="1:23" ht="15.75" customHeight="1" x14ac:dyDescent="0.4">
      <c r="A389" s="293"/>
      <c r="B389" s="65"/>
      <c r="C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</row>
    <row r="390" spans="1:23" ht="15.75" customHeight="1" x14ac:dyDescent="0.4">
      <c r="A390" s="293"/>
      <c r="B390" s="65"/>
      <c r="C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</row>
    <row r="391" spans="1:23" ht="15.75" customHeight="1" x14ac:dyDescent="0.4">
      <c r="A391" s="293"/>
      <c r="B391" s="65"/>
      <c r="C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</row>
    <row r="392" spans="1:23" ht="15.75" customHeight="1" x14ac:dyDescent="0.4">
      <c r="A392" s="293"/>
      <c r="B392" s="65"/>
      <c r="C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</row>
    <row r="393" spans="1:23" ht="15.75" customHeight="1" x14ac:dyDescent="0.4">
      <c r="A393" s="293"/>
      <c r="B393" s="65"/>
      <c r="C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</row>
    <row r="394" spans="1:23" ht="15.75" customHeight="1" x14ac:dyDescent="0.4">
      <c r="A394" s="293"/>
      <c r="B394" s="65"/>
      <c r="C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</row>
    <row r="395" spans="1:23" ht="15.75" customHeight="1" x14ac:dyDescent="0.4">
      <c r="A395" s="293"/>
      <c r="B395" s="65"/>
      <c r="C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</row>
    <row r="396" spans="1:23" ht="15.75" customHeight="1" x14ac:dyDescent="0.4">
      <c r="A396" s="293"/>
      <c r="B396" s="65"/>
      <c r="C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</row>
    <row r="397" spans="1:23" ht="15.75" customHeight="1" x14ac:dyDescent="0.4">
      <c r="A397" s="293"/>
      <c r="B397" s="65"/>
      <c r="C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</row>
    <row r="398" spans="1:23" ht="15.75" customHeight="1" x14ac:dyDescent="0.4">
      <c r="A398" s="293"/>
      <c r="B398" s="65"/>
      <c r="C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</row>
    <row r="399" spans="1:23" ht="15.75" customHeight="1" x14ac:dyDescent="0.4">
      <c r="A399" s="293"/>
      <c r="B399" s="65"/>
      <c r="C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</row>
    <row r="400" spans="1:23" ht="15.75" customHeight="1" x14ac:dyDescent="0.4">
      <c r="A400" s="293"/>
      <c r="B400" s="65"/>
      <c r="C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</row>
    <row r="401" spans="1:23" ht="15.75" customHeight="1" x14ac:dyDescent="0.4">
      <c r="A401" s="293"/>
      <c r="B401" s="65"/>
      <c r="C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</row>
    <row r="402" spans="1:23" ht="15.75" customHeight="1" x14ac:dyDescent="0.4">
      <c r="A402" s="293"/>
      <c r="B402" s="65"/>
      <c r="C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</row>
    <row r="403" spans="1:23" ht="15.75" customHeight="1" x14ac:dyDescent="0.4">
      <c r="A403" s="293"/>
      <c r="B403" s="65"/>
      <c r="C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</row>
    <row r="404" spans="1:23" ht="15.75" customHeight="1" x14ac:dyDescent="0.4">
      <c r="A404" s="293"/>
      <c r="B404" s="65"/>
      <c r="C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</row>
    <row r="405" spans="1:23" ht="15.75" customHeight="1" x14ac:dyDescent="0.4">
      <c r="A405" s="293"/>
      <c r="B405" s="65"/>
      <c r="C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</row>
    <row r="406" spans="1:23" ht="15.75" customHeight="1" x14ac:dyDescent="0.4">
      <c r="A406" s="293"/>
      <c r="B406" s="65"/>
      <c r="C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</row>
    <row r="407" spans="1:23" ht="15.75" customHeight="1" x14ac:dyDescent="0.4">
      <c r="A407" s="293"/>
      <c r="B407" s="65"/>
      <c r="C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</row>
    <row r="408" spans="1:23" ht="15.75" customHeight="1" x14ac:dyDescent="0.4">
      <c r="A408" s="293"/>
      <c r="B408" s="65"/>
      <c r="C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</row>
    <row r="409" spans="1:23" ht="15.75" customHeight="1" x14ac:dyDescent="0.4">
      <c r="A409" s="293"/>
      <c r="B409" s="65"/>
      <c r="C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</row>
    <row r="410" spans="1:23" ht="15.75" customHeight="1" x14ac:dyDescent="0.4">
      <c r="A410" s="293"/>
      <c r="B410" s="65"/>
      <c r="C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</row>
    <row r="411" spans="1:23" ht="15.75" customHeight="1" x14ac:dyDescent="0.4">
      <c r="A411" s="293"/>
      <c r="B411" s="65"/>
      <c r="C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</row>
    <row r="412" spans="1:23" ht="15.75" customHeight="1" x14ac:dyDescent="0.4">
      <c r="A412" s="293"/>
      <c r="B412" s="65"/>
      <c r="C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</row>
    <row r="413" spans="1:23" ht="15.75" customHeight="1" x14ac:dyDescent="0.4">
      <c r="A413" s="293"/>
      <c r="B413" s="65"/>
      <c r="C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</row>
    <row r="414" spans="1:23" ht="15.75" customHeight="1" x14ac:dyDescent="0.4">
      <c r="A414" s="293"/>
      <c r="B414" s="65"/>
      <c r="C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</row>
    <row r="415" spans="1:23" ht="15.75" customHeight="1" x14ac:dyDescent="0.4">
      <c r="A415" s="293"/>
      <c r="B415" s="65"/>
      <c r="C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</row>
    <row r="416" spans="1:23" ht="15.75" customHeight="1" x14ac:dyDescent="0.4">
      <c r="A416" s="293"/>
      <c r="B416" s="65"/>
      <c r="C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</row>
    <row r="417" spans="1:23" ht="15.75" customHeight="1" x14ac:dyDescent="0.4">
      <c r="A417" s="293"/>
      <c r="B417" s="65"/>
      <c r="C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</row>
    <row r="418" spans="1:23" ht="15.75" customHeight="1" x14ac:dyDescent="0.4">
      <c r="A418" s="293"/>
      <c r="B418" s="65"/>
      <c r="C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</row>
    <row r="419" spans="1:23" ht="15.75" customHeight="1" x14ac:dyDescent="0.4">
      <c r="A419" s="293"/>
      <c r="B419" s="65"/>
      <c r="C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</row>
    <row r="420" spans="1:23" ht="15.75" customHeight="1" x14ac:dyDescent="0.4">
      <c r="A420" s="293"/>
      <c r="B420" s="65"/>
      <c r="C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</row>
    <row r="421" spans="1:23" ht="15.75" customHeight="1" x14ac:dyDescent="0.4">
      <c r="A421" s="293"/>
      <c r="B421" s="65"/>
      <c r="C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</row>
    <row r="422" spans="1:23" ht="15.75" customHeight="1" x14ac:dyDescent="0.4">
      <c r="A422" s="293"/>
      <c r="B422" s="65"/>
      <c r="C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</row>
    <row r="423" spans="1:23" ht="15.75" customHeight="1" x14ac:dyDescent="0.4">
      <c r="A423" s="293"/>
      <c r="B423" s="65"/>
      <c r="C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</row>
    <row r="424" spans="1:23" ht="15.75" customHeight="1" x14ac:dyDescent="0.4">
      <c r="A424" s="293"/>
      <c r="B424" s="65"/>
      <c r="C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</row>
    <row r="425" spans="1:23" ht="15.75" customHeight="1" x14ac:dyDescent="0.4">
      <c r="A425" s="293"/>
      <c r="B425" s="65"/>
      <c r="C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</row>
    <row r="426" spans="1:23" ht="15.75" customHeight="1" x14ac:dyDescent="0.4">
      <c r="A426" s="293"/>
      <c r="B426" s="65"/>
      <c r="C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</row>
    <row r="427" spans="1:23" ht="15.75" customHeight="1" x14ac:dyDescent="0.4">
      <c r="A427" s="293"/>
      <c r="B427" s="65"/>
      <c r="C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</row>
    <row r="428" spans="1:23" ht="15.75" customHeight="1" x14ac:dyDescent="0.4">
      <c r="A428" s="293"/>
      <c r="B428" s="65"/>
      <c r="C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</row>
    <row r="429" spans="1:23" ht="15.75" customHeight="1" x14ac:dyDescent="0.4">
      <c r="A429" s="293"/>
      <c r="B429" s="65"/>
      <c r="C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</row>
    <row r="430" spans="1:23" ht="15.75" customHeight="1" x14ac:dyDescent="0.4">
      <c r="A430" s="293"/>
      <c r="B430" s="65"/>
      <c r="C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</row>
    <row r="431" spans="1:23" ht="15.75" customHeight="1" x14ac:dyDescent="0.4">
      <c r="A431" s="293"/>
      <c r="B431" s="65"/>
      <c r="C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</row>
    <row r="432" spans="1:23" ht="15.75" customHeight="1" x14ac:dyDescent="0.4">
      <c r="A432" s="293"/>
      <c r="B432" s="65"/>
      <c r="C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</row>
    <row r="433" spans="1:23" ht="15.75" customHeight="1" x14ac:dyDescent="0.4">
      <c r="A433" s="293"/>
      <c r="B433" s="65"/>
      <c r="C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</row>
    <row r="434" spans="1:23" ht="15.75" customHeight="1" x14ac:dyDescent="0.4">
      <c r="A434" s="293"/>
      <c r="B434" s="65"/>
      <c r="C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</row>
    <row r="435" spans="1:23" ht="15.75" customHeight="1" x14ac:dyDescent="0.4">
      <c r="A435" s="293"/>
      <c r="B435" s="65"/>
      <c r="C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</row>
    <row r="436" spans="1:23" ht="15.75" customHeight="1" x14ac:dyDescent="0.4">
      <c r="A436" s="293"/>
      <c r="B436" s="65"/>
      <c r="C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</row>
    <row r="437" spans="1:23" ht="15.75" customHeight="1" x14ac:dyDescent="0.4">
      <c r="A437" s="293"/>
      <c r="B437" s="65"/>
      <c r="C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</row>
    <row r="438" spans="1:23" ht="15.75" customHeight="1" x14ac:dyDescent="0.4">
      <c r="A438" s="293"/>
      <c r="B438" s="65"/>
      <c r="C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</row>
    <row r="439" spans="1:23" ht="15.75" customHeight="1" x14ac:dyDescent="0.4">
      <c r="A439" s="293"/>
      <c r="B439" s="65"/>
      <c r="C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</row>
    <row r="440" spans="1:23" ht="15.75" customHeight="1" x14ac:dyDescent="0.4">
      <c r="A440" s="293"/>
      <c r="B440" s="65"/>
      <c r="C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</row>
    <row r="441" spans="1:23" ht="15.75" customHeight="1" x14ac:dyDescent="0.4">
      <c r="A441" s="293"/>
      <c r="B441" s="65"/>
      <c r="C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</row>
    <row r="442" spans="1:23" ht="15.75" customHeight="1" x14ac:dyDescent="0.4">
      <c r="A442" s="293"/>
      <c r="B442" s="65"/>
      <c r="C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</row>
    <row r="443" spans="1:23" ht="15.75" customHeight="1" x14ac:dyDescent="0.4">
      <c r="A443" s="293"/>
      <c r="B443" s="65"/>
      <c r="C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</row>
    <row r="444" spans="1:23" ht="15.75" customHeight="1" x14ac:dyDescent="0.4">
      <c r="A444" s="293"/>
      <c r="B444" s="65"/>
      <c r="C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</row>
    <row r="445" spans="1:23" ht="15.75" customHeight="1" x14ac:dyDescent="0.4">
      <c r="A445" s="293"/>
      <c r="B445" s="65"/>
      <c r="C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</row>
    <row r="446" spans="1:23" ht="15.75" customHeight="1" x14ac:dyDescent="0.4">
      <c r="A446" s="293"/>
      <c r="B446" s="65"/>
      <c r="C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</row>
    <row r="447" spans="1:23" ht="15.75" customHeight="1" x14ac:dyDescent="0.4">
      <c r="A447" s="293"/>
      <c r="B447" s="65"/>
      <c r="C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</row>
    <row r="448" spans="1:23" ht="15.75" customHeight="1" x14ac:dyDescent="0.4">
      <c r="A448" s="293"/>
      <c r="B448" s="65"/>
      <c r="C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</row>
    <row r="449" spans="1:23" ht="15.75" customHeight="1" x14ac:dyDescent="0.4">
      <c r="A449" s="293"/>
      <c r="B449" s="65"/>
      <c r="C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</row>
    <row r="450" spans="1:23" ht="15.75" customHeight="1" x14ac:dyDescent="0.4">
      <c r="A450" s="293"/>
      <c r="B450" s="65"/>
      <c r="C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</row>
    <row r="451" spans="1:23" ht="15.75" customHeight="1" x14ac:dyDescent="0.4">
      <c r="A451" s="293"/>
      <c r="B451" s="65"/>
      <c r="C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</row>
    <row r="452" spans="1:23" ht="15.75" customHeight="1" x14ac:dyDescent="0.4">
      <c r="A452" s="293"/>
      <c r="B452" s="65"/>
      <c r="C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</row>
    <row r="453" spans="1:23" ht="15.75" customHeight="1" x14ac:dyDescent="0.4">
      <c r="A453" s="293"/>
      <c r="B453" s="65"/>
      <c r="C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</row>
    <row r="454" spans="1:23" ht="15.75" customHeight="1" x14ac:dyDescent="0.4">
      <c r="A454" s="293"/>
      <c r="B454" s="65"/>
      <c r="C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</row>
    <row r="455" spans="1:23" ht="15.75" customHeight="1" x14ac:dyDescent="0.4">
      <c r="A455" s="293"/>
      <c r="B455" s="65"/>
      <c r="C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</row>
    <row r="456" spans="1:23" ht="15.75" customHeight="1" x14ac:dyDescent="0.4">
      <c r="A456" s="293"/>
      <c r="B456" s="65"/>
      <c r="C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</row>
    <row r="457" spans="1:23" ht="15.75" customHeight="1" x14ac:dyDescent="0.4">
      <c r="A457" s="293"/>
      <c r="B457" s="65"/>
      <c r="C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</row>
    <row r="458" spans="1:23" ht="15.75" customHeight="1" x14ac:dyDescent="0.4">
      <c r="A458" s="293"/>
      <c r="B458" s="65"/>
      <c r="C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</row>
    <row r="459" spans="1:23" ht="15.75" customHeight="1" x14ac:dyDescent="0.4">
      <c r="A459" s="293"/>
      <c r="B459" s="65"/>
      <c r="C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</row>
    <row r="460" spans="1:23" ht="15.75" customHeight="1" x14ac:dyDescent="0.4">
      <c r="A460" s="293"/>
      <c r="B460" s="65"/>
      <c r="C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</row>
    <row r="461" spans="1:23" ht="15.75" customHeight="1" x14ac:dyDescent="0.4">
      <c r="A461" s="293"/>
      <c r="B461" s="65"/>
      <c r="C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</row>
    <row r="462" spans="1:23" ht="15.75" customHeight="1" x14ac:dyDescent="0.4">
      <c r="A462" s="293"/>
      <c r="B462" s="65"/>
      <c r="C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</row>
    <row r="463" spans="1:23" ht="15.75" customHeight="1" x14ac:dyDescent="0.4">
      <c r="A463" s="293"/>
      <c r="B463" s="65"/>
      <c r="C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</row>
    <row r="464" spans="1:23" ht="15.75" customHeight="1" x14ac:dyDescent="0.4">
      <c r="A464" s="293"/>
      <c r="B464" s="65"/>
      <c r="C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</row>
    <row r="465" spans="1:23" ht="15.75" customHeight="1" x14ac:dyDescent="0.4">
      <c r="A465" s="293"/>
      <c r="B465" s="65"/>
      <c r="C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</row>
    <row r="466" spans="1:23" ht="15.75" customHeight="1" x14ac:dyDescent="0.4">
      <c r="A466" s="293"/>
      <c r="B466" s="65"/>
      <c r="C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</row>
    <row r="467" spans="1:23" ht="15.75" customHeight="1" x14ac:dyDescent="0.4">
      <c r="A467" s="293"/>
      <c r="B467" s="65"/>
      <c r="C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</row>
    <row r="468" spans="1:23" ht="15.75" customHeight="1" x14ac:dyDescent="0.4">
      <c r="A468" s="293"/>
      <c r="B468" s="65"/>
      <c r="C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</row>
    <row r="469" spans="1:23" ht="15.75" customHeight="1" x14ac:dyDescent="0.4">
      <c r="A469" s="293"/>
      <c r="B469" s="65"/>
      <c r="C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</row>
    <row r="470" spans="1:23" ht="15.75" customHeight="1" x14ac:dyDescent="0.4">
      <c r="A470" s="293"/>
      <c r="B470" s="65"/>
      <c r="C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</row>
    <row r="471" spans="1:23" ht="15.75" customHeight="1" x14ac:dyDescent="0.4">
      <c r="A471" s="293"/>
      <c r="B471" s="65"/>
      <c r="C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</row>
    <row r="472" spans="1:23" ht="15.75" customHeight="1" x14ac:dyDescent="0.4">
      <c r="A472" s="293"/>
      <c r="B472" s="65"/>
      <c r="C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</row>
    <row r="473" spans="1:23" ht="15.75" customHeight="1" x14ac:dyDescent="0.4">
      <c r="A473" s="293"/>
      <c r="B473" s="65"/>
      <c r="C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</row>
    <row r="474" spans="1:23" ht="15.75" customHeight="1" x14ac:dyDescent="0.4">
      <c r="A474" s="293"/>
      <c r="B474" s="65"/>
      <c r="C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</row>
    <row r="475" spans="1:23" ht="15.75" customHeight="1" x14ac:dyDescent="0.4">
      <c r="A475" s="293"/>
      <c r="B475" s="65"/>
      <c r="C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</row>
    <row r="476" spans="1:23" ht="15.75" customHeight="1" x14ac:dyDescent="0.4">
      <c r="A476" s="293"/>
      <c r="B476" s="65"/>
      <c r="C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</row>
    <row r="477" spans="1:23" ht="15.75" customHeight="1" x14ac:dyDescent="0.4">
      <c r="A477" s="293"/>
      <c r="B477" s="65"/>
      <c r="C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</row>
    <row r="478" spans="1:23" ht="15.75" customHeight="1" x14ac:dyDescent="0.4">
      <c r="A478" s="293"/>
      <c r="B478" s="65"/>
      <c r="C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</row>
    <row r="479" spans="1:23" ht="15.75" customHeight="1" x14ac:dyDescent="0.4">
      <c r="A479" s="293"/>
      <c r="B479" s="65"/>
      <c r="C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</row>
    <row r="480" spans="1:23" ht="15.75" customHeight="1" x14ac:dyDescent="0.4">
      <c r="A480" s="293"/>
      <c r="B480" s="65"/>
      <c r="C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</row>
    <row r="481" spans="1:23" ht="15.75" customHeight="1" x14ac:dyDescent="0.4">
      <c r="A481" s="293"/>
      <c r="B481" s="65"/>
      <c r="C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</row>
    <row r="482" spans="1:23" ht="15.75" customHeight="1" x14ac:dyDescent="0.4">
      <c r="A482" s="293"/>
      <c r="B482" s="65"/>
      <c r="C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</row>
    <row r="483" spans="1:23" ht="15.75" customHeight="1" x14ac:dyDescent="0.4">
      <c r="A483" s="293"/>
      <c r="B483" s="65"/>
      <c r="C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</row>
    <row r="484" spans="1:23" ht="15.75" customHeight="1" x14ac:dyDescent="0.4">
      <c r="A484" s="293"/>
      <c r="B484" s="65"/>
      <c r="C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</row>
    <row r="485" spans="1:23" ht="15.75" customHeight="1" x14ac:dyDescent="0.4">
      <c r="A485" s="293"/>
      <c r="B485" s="65"/>
      <c r="C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</row>
    <row r="486" spans="1:23" ht="15.75" customHeight="1" x14ac:dyDescent="0.4">
      <c r="A486" s="293"/>
      <c r="B486" s="65"/>
      <c r="C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</row>
    <row r="487" spans="1:23" ht="15.75" customHeight="1" x14ac:dyDescent="0.4">
      <c r="A487" s="293"/>
      <c r="B487" s="65"/>
      <c r="C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</row>
    <row r="488" spans="1:23" ht="15.75" customHeight="1" x14ac:dyDescent="0.4">
      <c r="A488" s="293"/>
      <c r="B488" s="65"/>
      <c r="C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</row>
    <row r="489" spans="1:23" ht="15.75" customHeight="1" x14ac:dyDescent="0.4">
      <c r="A489" s="293"/>
      <c r="B489" s="65"/>
      <c r="C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</row>
    <row r="490" spans="1:23" ht="15.75" customHeight="1" x14ac:dyDescent="0.4">
      <c r="A490" s="293"/>
      <c r="B490" s="65"/>
      <c r="C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</row>
    <row r="491" spans="1:23" ht="15.75" customHeight="1" x14ac:dyDescent="0.4">
      <c r="A491" s="293"/>
      <c r="B491" s="65"/>
      <c r="C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</row>
    <row r="492" spans="1:23" ht="15.75" customHeight="1" x14ac:dyDescent="0.4">
      <c r="A492" s="293"/>
      <c r="B492" s="65"/>
      <c r="C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</row>
    <row r="493" spans="1:23" ht="15.75" customHeight="1" x14ac:dyDescent="0.4">
      <c r="A493" s="293"/>
      <c r="B493" s="65"/>
      <c r="C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</row>
    <row r="494" spans="1:23" ht="15.75" customHeight="1" x14ac:dyDescent="0.4">
      <c r="A494" s="293"/>
      <c r="B494" s="65"/>
      <c r="C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</row>
    <row r="495" spans="1:23" ht="15.75" customHeight="1" x14ac:dyDescent="0.4">
      <c r="A495" s="293"/>
      <c r="B495" s="65"/>
      <c r="C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</row>
    <row r="496" spans="1:23" ht="15.75" customHeight="1" x14ac:dyDescent="0.4">
      <c r="A496" s="293"/>
      <c r="B496" s="65"/>
      <c r="C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</row>
    <row r="497" spans="1:23" ht="15.75" customHeight="1" x14ac:dyDescent="0.4">
      <c r="A497" s="293"/>
      <c r="B497" s="65"/>
      <c r="C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</row>
    <row r="498" spans="1:23" ht="15.75" customHeight="1" x14ac:dyDescent="0.4">
      <c r="A498" s="293"/>
      <c r="B498" s="65"/>
      <c r="C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</row>
    <row r="499" spans="1:23" ht="15.75" customHeight="1" x14ac:dyDescent="0.4">
      <c r="A499" s="293"/>
      <c r="B499" s="65"/>
      <c r="C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</row>
    <row r="500" spans="1:23" ht="15.75" customHeight="1" x14ac:dyDescent="0.4">
      <c r="A500" s="293"/>
      <c r="B500" s="65"/>
      <c r="C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</row>
    <row r="501" spans="1:23" ht="15.75" customHeight="1" x14ac:dyDescent="0.4">
      <c r="A501" s="293"/>
      <c r="B501" s="65"/>
      <c r="C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  <c r="U501" s="65"/>
      <c r="V501" s="65"/>
      <c r="W501" s="65"/>
    </row>
    <row r="502" spans="1:23" ht="15.75" customHeight="1" x14ac:dyDescent="0.4">
      <c r="A502" s="293"/>
      <c r="B502" s="65"/>
      <c r="C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  <c r="U502" s="65"/>
      <c r="V502" s="65"/>
      <c r="W502" s="65"/>
    </row>
    <row r="503" spans="1:23" ht="15.75" customHeight="1" x14ac:dyDescent="0.4">
      <c r="A503" s="293"/>
      <c r="B503" s="65"/>
      <c r="C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  <c r="U503" s="65"/>
      <c r="V503" s="65"/>
      <c r="W503" s="65"/>
    </row>
    <row r="504" spans="1:23" ht="15.75" customHeight="1" x14ac:dyDescent="0.4">
      <c r="A504" s="293"/>
      <c r="B504" s="65"/>
      <c r="C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  <c r="U504" s="65"/>
      <c r="V504" s="65"/>
      <c r="W504" s="65"/>
    </row>
    <row r="505" spans="1:23" ht="15.75" customHeight="1" x14ac:dyDescent="0.4">
      <c r="A505" s="293"/>
      <c r="B505" s="65"/>
      <c r="C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  <c r="U505" s="65"/>
      <c r="V505" s="65"/>
      <c r="W505" s="65"/>
    </row>
    <row r="506" spans="1:23" ht="15.75" customHeight="1" x14ac:dyDescent="0.4">
      <c r="A506" s="293"/>
      <c r="B506" s="65"/>
      <c r="C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  <c r="U506" s="65"/>
      <c r="V506" s="65"/>
      <c r="W506" s="65"/>
    </row>
    <row r="507" spans="1:23" ht="15.75" customHeight="1" x14ac:dyDescent="0.4">
      <c r="A507" s="293"/>
      <c r="B507" s="65"/>
      <c r="C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  <c r="U507" s="65"/>
      <c r="V507" s="65"/>
      <c r="W507" s="65"/>
    </row>
    <row r="508" spans="1:23" ht="15.75" customHeight="1" x14ac:dyDescent="0.4">
      <c r="A508" s="293"/>
      <c r="B508" s="65"/>
      <c r="C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  <c r="U508" s="65"/>
      <c r="V508" s="65"/>
      <c r="W508" s="65"/>
    </row>
    <row r="509" spans="1:23" ht="15.75" customHeight="1" x14ac:dyDescent="0.4">
      <c r="A509" s="293"/>
      <c r="B509" s="65"/>
      <c r="C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  <c r="U509" s="65"/>
      <c r="V509" s="65"/>
      <c r="W509" s="65"/>
    </row>
    <row r="510" spans="1:23" ht="15.75" customHeight="1" x14ac:dyDescent="0.4">
      <c r="A510" s="293"/>
      <c r="B510" s="65"/>
      <c r="C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  <c r="U510" s="65"/>
      <c r="V510" s="65"/>
      <c r="W510" s="65"/>
    </row>
    <row r="511" spans="1:23" ht="15.75" customHeight="1" x14ac:dyDescent="0.4">
      <c r="A511" s="293"/>
      <c r="B511" s="65"/>
      <c r="C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  <c r="U511" s="65"/>
      <c r="V511" s="65"/>
      <c r="W511" s="65"/>
    </row>
    <row r="512" spans="1:23" ht="15.75" customHeight="1" x14ac:dyDescent="0.4">
      <c r="A512" s="293"/>
      <c r="B512" s="65"/>
      <c r="C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  <c r="U512" s="65"/>
      <c r="V512" s="65"/>
      <c r="W512" s="65"/>
    </row>
    <row r="513" spans="1:23" ht="15.75" customHeight="1" x14ac:dyDescent="0.4">
      <c r="A513" s="293"/>
      <c r="B513" s="65"/>
      <c r="C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  <c r="U513" s="65"/>
      <c r="V513" s="65"/>
      <c r="W513" s="65"/>
    </row>
    <row r="514" spans="1:23" ht="15.75" customHeight="1" x14ac:dyDescent="0.4">
      <c r="A514" s="293"/>
      <c r="B514" s="65"/>
      <c r="C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  <c r="U514" s="65"/>
      <c r="V514" s="65"/>
      <c r="W514" s="65"/>
    </row>
    <row r="515" spans="1:23" ht="15.75" customHeight="1" x14ac:dyDescent="0.4">
      <c r="A515" s="293"/>
      <c r="B515" s="65"/>
      <c r="C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  <c r="U515" s="65"/>
      <c r="V515" s="65"/>
      <c r="W515" s="65"/>
    </row>
    <row r="516" spans="1:23" ht="15.75" customHeight="1" x14ac:dyDescent="0.4">
      <c r="A516" s="293"/>
      <c r="B516" s="65"/>
      <c r="C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  <c r="U516" s="65"/>
      <c r="V516" s="65"/>
      <c r="W516" s="65"/>
    </row>
    <row r="517" spans="1:23" ht="15.75" customHeight="1" x14ac:dyDescent="0.4">
      <c r="A517" s="293"/>
      <c r="B517" s="65"/>
      <c r="C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  <c r="U517" s="65"/>
      <c r="V517" s="65"/>
      <c r="W517" s="65"/>
    </row>
    <row r="518" spans="1:23" ht="15.75" customHeight="1" x14ac:dyDescent="0.4">
      <c r="A518" s="293"/>
      <c r="B518" s="65"/>
      <c r="C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  <c r="U518" s="65"/>
      <c r="V518" s="65"/>
      <c r="W518" s="65"/>
    </row>
    <row r="519" spans="1:23" ht="15.75" customHeight="1" x14ac:dyDescent="0.4">
      <c r="A519" s="293"/>
      <c r="B519" s="65"/>
      <c r="C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  <c r="U519" s="65"/>
      <c r="V519" s="65"/>
      <c r="W519" s="65"/>
    </row>
    <row r="520" spans="1:23" ht="15.75" customHeight="1" x14ac:dyDescent="0.4">
      <c r="A520" s="293"/>
      <c r="B520" s="65"/>
      <c r="C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  <c r="U520" s="65"/>
      <c r="V520" s="65"/>
      <c r="W520" s="65"/>
    </row>
    <row r="521" spans="1:23" ht="15.75" customHeight="1" x14ac:dyDescent="0.4">
      <c r="A521" s="293"/>
      <c r="B521" s="65"/>
      <c r="C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  <c r="U521" s="65"/>
      <c r="V521" s="65"/>
      <c r="W521" s="65"/>
    </row>
    <row r="522" spans="1:23" ht="15.75" customHeight="1" x14ac:dyDescent="0.4">
      <c r="A522" s="293"/>
      <c r="B522" s="65"/>
      <c r="C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  <c r="U522" s="65"/>
      <c r="V522" s="65"/>
      <c r="W522" s="65"/>
    </row>
    <row r="523" spans="1:23" ht="15.75" customHeight="1" x14ac:dyDescent="0.4">
      <c r="A523" s="293"/>
      <c r="B523" s="65"/>
      <c r="C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  <c r="U523" s="65"/>
      <c r="V523" s="65"/>
      <c r="W523" s="65"/>
    </row>
    <row r="524" spans="1:23" ht="15.75" customHeight="1" x14ac:dyDescent="0.4">
      <c r="A524" s="293"/>
      <c r="B524" s="65"/>
      <c r="C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  <c r="U524" s="65"/>
      <c r="V524" s="65"/>
      <c r="W524" s="65"/>
    </row>
    <row r="525" spans="1:23" ht="15.75" customHeight="1" x14ac:dyDescent="0.4">
      <c r="A525" s="293"/>
      <c r="B525" s="65"/>
      <c r="C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  <c r="U525" s="65"/>
      <c r="V525" s="65"/>
      <c r="W525" s="65"/>
    </row>
    <row r="526" spans="1:23" ht="15.75" customHeight="1" x14ac:dyDescent="0.4">
      <c r="A526" s="293"/>
      <c r="B526" s="65"/>
      <c r="C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  <c r="U526" s="65"/>
      <c r="V526" s="65"/>
      <c r="W526" s="65"/>
    </row>
    <row r="527" spans="1:23" ht="15.75" customHeight="1" x14ac:dyDescent="0.4">
      <c r="A527" s="293"/>
      <c r="B527" s="65"/>
      <c r="C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  <c r="U527" s="65"/>
      <c r="V527" s="65"/>
      <c r="W527" s="65"/>
    </row>
    <row r="528" spans="1:23" ht="15.75" customHeight="1" x14ac:dyDescent="0.4">
      <c r="A528" s="293"/>
      <c r="B528" s="65"/>
      <c r="C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  <c r="U528" s="65"/>
      <c r="V528" s="65"/>
      <c r="W528" s="65"/>
    </row>
    <row r="529" spans="1:23" ht="15.75" customHeight="1" x14ac:dyDescent="0.4">
      <c r="A529" s="293"/>
      <c r="B529" s="65"/>
      <c r="C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  <c r="U529" s="65"/>
      <c r="V529" s="65"/>
      <c r="W529" s="65"/>
    </row>
    <row r="530" spans="1:23" ht="15.75" customHeight="1" x14ac:dyDescent="0.4">
      <c r="A530" s="293"/>
      <c r="B530" s="65"/>
      <c r="C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  <c r="U530" s="65"/>
      <c r="V530" s="65"/>
      <c r="W530" s="65"/>
    </row>
    <row r="531" spans="1:23" ht="15.75" customHeight="1" x14ac:dyDescent="0.4">
      <c r="A531" s="293"/>
      <c r="B531" s="65"/>
      <c r="C531" s="65"/>
      <c r="J531" s="65"/>
      <c r="K531" s="65"/>
      <c r="L531" s="65"/>
      <c r="M531" s="65"/>
      <c r="N531" s="65"/>
      <c r="O531" s="65"/>
      <c r="P531" s="65"/>
      <c r="Q531" s="65"/>
      <c r="R531" s="65"/>
      <c r="S531" s="65"/>
      <c r="T531" s="65"/>
      <c r="U531" s="65"/>
      <c r="V531" s="65"/>
      <c r="W531" s="65"/>
    </row>
    <row r="532" spans="1:23" ht="15.75" customHeight="1" x14ac:dyDescent="0.4">
      <c r="A532" s="293"/>
      <c r="B532" s="65"/>
      <c r="C532" s="65"/>
      <c r="J532" s="65"/>
      <c r="K532" s="65"/>
      <c r="L532" s="65"/>
      <c r="M532" s="65"/>
      <c r="N532" s="65"/>
      <c r="O532" s="65"/>
      <c r="P532" s="65"/>
      <c r="Q532" s="65"/>
      <c r="R532" s="65"/>
      <c r="S532" s="65"/>
      <c r="T532" s="65"/>
      <c r="U532" s="65"/>
      <c r="V532" s="65"/>
      <c r="W532" s="65"/>
    </row>
    <row r="533" spans="1:23" ht="15.75" customHeight="1" x14ac:dyDescent="0.4">
      <c r="A533" s="293"/>
      <c r="B533" s="65"/>
      <c r="C533" s="65"/>
      <c r="J533" s="65"/>
      <c r="K533" s="65"/>
      <c r="L533" s="65"/>
      <c r="M533" s="65"/>
      <c r="N533" s="65"/>
      <c r="O533" s="65"/>
      <c r="P533" s="65"/>
      <c r="Q533" s="65"/>
      <c r="R533" s="65"/>
      <c r="S533" s="65"/>
      <c r="T533" s="65"/>
      <c r="U533" s="65"/>
      <c r="V533" s="65"/>
      <c r="W533" s="65"/>
    </row>
    <row r="534" spans="1:23" ht="15.75" customHeight="1" x14ac:dyDescent="0.4">
      <c r="A534" s="293"/>
      <c r="B534" s="65"/>
      <c r="C534" s="65"/>
      <c r="J534" s="65"/>
      <c r="K534" s="65"/>
      <c r="L534" s="65"/>
      <c r="M534" s="65"/>
      <c r="N534" s="65"/>
      <c r="O534" s="65"/>
      <c r="P534" s="65"/>
      <c r="Q534" s="65"/>
      <c r="R534" s="65"/>
      <c r="S534" s="65"/>
      <c r="T534" s="65"/>
      <c r="U534" s="65"/>
      <c r="V534" s="65"/>
      <c r="W534" s="65"/>
    </row>
    <row r="535" spans="1:23" ht="15.75" customHeight="1" x14ac:dyDescent="0.4">
      <c r="A535" s="293"/>
      <c r="B535" s="65"/>
      <c r="C535" s="65"/>
      <c r="J535" s="65"/>
      <c r="K535" s="65"/>
      <c r="L535" s="65"/>
      <c r="M535" s="65"/>
      <c r="N535" s="65"/>
      <c r="O535" s="65"/>
      <c r="P535" s="65"/>
      <c r="Q535" s="65"/>
      <c r="R535" s="65"/>
      <c r="S535" s="65"/>
      <c r="T535" s="65"/>
      <c r="U535" s="65"/>
      <c r="V535" s="65"/>
      <c r="W535" s="65"/>
    </row>
    <row r="536" spans="1:23" ht="15.75" customHeight="1" x14ac:dyDescent="0.4">
      <c r="A536" s="293"/>
      <c r="B536" s="65"/>
      <c r="C536" s="65"/>
      <c r="J536" s="65"/>
      <c r="K536" s="65"/>
      <c r="L536" s="65"/>
      <c r="M536" s="65"/>
      <c r="N536" s="65"/>
      <c r="O536" s="65"/>
      <c r="P536" s="65"/>
      <c r="Q536" s="65"/>
      <c r="R536" s="65"/>
      <c r="S536" s="65"/>
      <c r="T536" s="65"/>
      <c r="U536" s="65"/>
      <c r="V536" s="65"/>
      <c r="W536" s="65"/>
    </row>
    <row r="537" spans="1:23" ht="15.75" customHeight="1" x14ac:dyDescent="0.4">
      <c r="A537" s="293"/>
      <c r="B537" s="65"/>
      <c r="C537" s="65"/>
      <c r="J537" s="65"/>
      <c r="K537" s="65"/>
      <c r="L537" s="65"/>
      <c r="M537" s="65"/>
      <c r="N537" s="65"/>
      <c r="O537" s="65"/>
      <c r="P537" s="65"/>
      <c r="Q537" s="65"/>
      <c r="R537" s="65"/>
      <c r="S537" s="65"/>
      <c r="T537" s="65"/>
      <c r="U537" s="65"/>
      <c r="V537" s="65"/>
      <c r="W537" s="65"/>
    </row>
    <row r="538" spans="1:23" ht="15.75" customHeight="1" x14ac:dyDescent="0.4">
      <c r="A538" s="293"/>
      <c r="B538" s="65"/>
      <c r="C538" s="65"/>
      <c r="J538" s="65"/>
      <c r="K538" s="65"/>
      <c r="L538" s="65"/>
      <c r="M538" s="65"/>
      <c r="N538" s="65"/>
      <c r="O538" s="65"/>
      <c r="P538" s="65"/>
      <c r="Q538" s="65"/>
      <c r="R538" s="65"/>
      <c r="S538" s="65"/>
      <c r="T538" s="65"/>
      <c r="U538" s="65"/>
      <c r="V538" s="65"/>
      <c r="W538" s="65"/>
    </row>
    <row r="539" spans="1:23" ht="15.75" customHeight="1" x14ac:dyDescent="0.4">
      <c r="A539" s="293"/>
      <c r="B539" s="65"/>
      <c r="C539" s="65"/>
      <c r="J539" s="65"/>
      <c r="K539" s="65"/>
      <c r="L539" s="65"/>
      <c r="M539" s="65"/>
      <c r="N539" s="65"/>
      <c r="O539" s="65"/>
      <c r="P539" s="65"/>
      <c r="Q539" s="65"/>
      <c r="R539" s="65"/>
      <c r="S539" s="65"/>
      <c r="T539" s="65"/>
      <c r="U539" s="65"/>
      <c r="V539" s="65"/>
      <c r="W539" s="65"/>
    </row>
    <row r="540" spans="1:23" ht="15.75" customHeight="1" x14ac:dyDescent="0.4">
      <c r="A540" s="293"/>
      <c r="B540" s="65"/>
      <c r="C540" s="65"/>
      <c r="J540" s="65"/>
      <c r="K540" s="65"/>
      <c r="L540" s="65"/>
      <c r="M540" s="65"/>
      <c r="N540" s="65"/>
      <c r="O540" s="65"/>
      <c r="P540" s="65"/>
      <c r="Q540" s="65"/>
      <c r="R540" s="65"/>
      <c r="S540" s="65"/>
      <c r="T540" s="65"/>
      <c r="U540" s="65"/>
      <c r="V540" s="65"/>
      <c r="W540" s="65"/>
    </row>
    <row r="541" spans="1:23" ht="15.75" customHeight="1" x14ac:dyDescent="0.4">
      <c r="A541" s="293"/>
      <c r="B541" s="65"/>
      <c r="C541" s="65"/>
      <c r="J541" s="65"/>
      <c r="K541" s="65"/>
      <c r="L541" s="65"/>
      <c r="M541" s="65"/>
      <c r="N541" s="65"/>
      <c r="O541" s="65"/>
      <c r="P541" s="65"/>
      <c r="Q541" s="65"/>
      <c r="R541" s="65"/>
      <c r="S541" s="65"/>
      <c r="T541" s="65"/>
      <c r="U541" s="65"/>
      <c r="V541" s="65"/>
      <c r="W541" s="65"/>
    </row>
    <row r="542" spans="1:23" ht="15.75" customHeight="1" x14ac:dyDescent="0.4">
      <c r="A542" s="293"/>
      <c r="B542" s="65"/>
      <c r="C542" s="65"/>
      <c r="J542" s="65"/>
      <c r="K542" s="65"/>
      <c r="L542" s="65"/>
      <c r="M542" s="65"/>
      <c r="N542" s="65"/>
      <c r="O542" s="65"/>
      <c r="P542" s="65"/>
      <c r="Q542" s="65"/>
      <c r="R542" s="65"/>
      <c r="S542" s="65"/>
      <c r="T542" s="65"/>
      <c r="U542" s="65"/>
      <c r="V542" s="65"/>
      <c r="W542" s="65"/>
    </row>
    <row r="543" spans="1:23" ht="15.75" customHeight="1" x14ac:dyDescent="0.4">
      <c r="A543" s="293"/>
      <c r="B543" s="65"/>
      <c r="C543" s="65"/>
      <c r="J543" s="65"/>
      <c r="K543" s="65"/>
      <c r="L543" s="65"/>
      <c r="M543" s="65"/>
      <c r="N543" s="65"/>
      <c r="O543" s="65"/>
      <c r="P543" s="65"/>
      <c r="Q543" s="65"/>
      <c r="R543" s="65"/>
      <c r="S543" s="65"/>
      <c r="T543" s="65"/>
      <c r="U543" s="65"/>
      <c r="V543" s="65"/>
      <c r="W543" s="65"/>
    </row>
    <row r="544" spans="1:23" ht="15.75" customHeight="1" x14ac:dyDescent="0.4">
      <c r="A544" s="293"/>
      <c r="B544" s="65"/>
      <c r="C544" s="65"/>
      <c r="J544" s="65"/>
      <c r="K544" s="65"/>
      <c r="L544" s="65"/>
      <c r="M544" s="65"/>
      <c r="N544" s="65"/>
      <c r="O544" s="65"/>
      <c r="P544" s="65"/>
      <c r="Q544" s="65"/>
      <c r="R544" s="65"/>
      <c r="S544" s="65"/>
      <c r="T544" s="65"/>
      <c r="U544" s="65"/>
      <c r="V544" s="65"/>
      <c r="W544" s="65"/>
    </row>
    <row r="545" spans="1:23" ht="15.75" customHeight="1" x14ac:dyDescent="0.4">
      <c r="A545" s="293"/>
      <c r="B545" s="65"/>
      <c r="C545" s="65"/>
      <c r="J545" s="65"/>
      <c r="K545" s="65"/>
      <c r="L545" s="65"/>
      <c r="M545" s="65"/>
      <c r="N545" s="65"/>
      <c r="O545" s="65"/>
      <c r="P545" s="65"/>
      <c r="Q545" s="65"/>
      <c r="R545" s="65"/>
      <c r="S545" s="65"/>
      <c r="T545" s="65"/>
      <c r="U545" s="65"/>
      <c r="V545" s="65"/>
      <c r="W545" s="65"/>
    </row>
    <row r="546" spans="1:23" ht="15.75" customHeight="1" x14ac:dyDescent="0.4">
      <c r="A546" s="293"/>
      <c r="B546" s="65"/>
      <c r="C546" s="65"/>
      <c r="J546" s="65"/>
      <c r="K546" s="65"/>
      <c r="L546" s="65"/>
      <c r="M546" s="65"/>
      <c r="N546" s="65"/>
      <c r="O546" s="65"/>
      <c r="P546" s="65"/>
      <c r="Q546" s="65"/>
      <c r="R546" s="65"/>
      <c r="S546" s="65"/>
      <c r="T546" s="65"/>
      <c r="U546" s="65"/>
      <c r="V546" s="65"/>
      <c r="W546" s="65"/>
    </row>
    <row r="547" spans="1:23" ht="15.75" customHeight="1" x14ac:dyDescent="0.4">
      <c r="A547" s="293"/>
      <c r="B547" s="65"/>
      <c r="C547" s="65"/>
      <c r="J547" s="65"/>
      <c r="K547" s="65"/>
      <c r="L547" s="65"/>
      <c r="M547" s="65"/>
      <c r="N547" s="65"/>
      <c r="O547" s="65"/>
      <c r="P547" s="65"/>
      <c r="Q547" s="65"/>
      <c r="R547" s="65"/>
      <c r="S547" s="65"/>
      <c r="T547" s="65"/>
      <c r="U547" s="65"/>
      <c r="V547" s="65"/>
      <c r="W547" s="65"/>
    </row>
    <row r="548" spans="1:23" ht="15.75" customHeight="1" x14ac:dyDescent="0.4">
      <c r="A548" s="293"/>
      <c r="B548" s="65"/>
      <c r="C548" s="65"/>
      <c r="J548" s="65"/>
      <c r="K548" s="65"/>
      <c r="L548" s="65"/>
      <c r="M548" s="65"/>
      <c r="N548" s="65"/>
      <c r="O548" s="65"/>
      <c r="P548" s="65"/>
      <c r="Q548" s="65"/>
      <c r="R548" s="65"/>
      <c r="S548" s="65"/>
      <c r="T548" s="65"/>
      <c r="U548" s="65"/>
      <c r="V548" s="65"/>
      <c r="W548" s="65"/>
    </row>
    <row r="549" spans="1:23" ht="15.75" customHeight="1" x14ac:dyDescent="0.4">
      <c r="A549" s="293"/>
      <c r="B549" s="65"/>
      <c r="C549" s="65"/>
      <c r="J549" s="65"/>
      <c r="K549" s="65"/>
      <c r="L549" s="65"/>
      <c r="M549" s="65"/>
      <c r="N549" s="65"/>
      <c r="O549" s="65"/>
      <c r="P549" s="65"/>
      <c r="Q549" s="65"/>
      <c r="R549" s="65"/>
      <c r="S549" s="65"/>
      <c r="T549" s="65"/>
      <c r="U549" s="65"/>
      <c r="V549" s="65"/>
      <c r="W549" s="65"/>
    </row>
    <row r="550" spans="1:23" ht="15.75" customHeight="1" x14ac:dyDescent="0.4">
      <c r="A550" s="293"/>
      <c r="B550" s="65"/>
      <c r="C550" s="65"/>
      <c r="J550" s="65"/>
      <c r="K550" s="65"/>
      <c r="L550" s="65"/>
      <c r="M550" s="65"/>
      <c r="N550" s="65"/>
      <c r="O550" s="65"/>
      <c r="P550" s="65"/>
      <c r="Q550" s="65"/>
      <c r="R550" s="65"/>
      <c r="S550" s="65"/>
      <c r="T550" s="65"/>
      <c r="U550" s="65"/>
      <c r="V550" s="65"/>
      <c r="W550" s="65"/>
    </row>
    <row r="551" spans="1:23" ht="15.75" customHeight="1" x14ac:dyDescent="0.4">
      <c r="A551" s="293"/>
      <c r="B551" s="65"/>
      <c r="C551" s="65"/>
      <c r="J551" s="65"/>
      <c r="K551" s="65"/>
      <c r="L551" s="65"/>
      <c r="M551" s="65"/>
      <c r="N551" s="65"/>
      <c r="O551" s="65"/>
      <c r="P551" s="65"/>
      <c r="Q551" s="65"/>
      <c r="R551" s="65"/>
      <c r="S551" s="65"/>
      <c r="T551" s="65"/>
      <c r="U551" s="65"/>
      <c r="V551" s="65"/>
      <c r="W551" s="65"/>
    </row>
    <row r="552" spans="1:23" ht="15.75" customHeight="1" x14ac:dyDescent="0.4">
      <c r="A552" s="293"/>
      <c r="B552" s="65"/>
      <c r="C552" s="65"/>
      <c r="J552" s="65"/>
      <c r="K552" s="65"/>
      <c r="L552" s="65"/>
      <c r="M552" s="65"/>
      <c r="N552" s="65"/>
      <c r="O552" s="65"/>
      <c r="P552" s="65"/>
      <c r="Q552" s="65"/>
      <c r="R552" s="65"/>
      <c r="S552" s="65"/>
      <c r="T552" s="65"/>
      <c r="U552" s="65"/>
      <c r="V552" s="65"/>
      <c r="W552" s="65"/>
    </row>
    <row r="553" spans="1:23" ht="15.75" customHeight="1" x14ac:dyDescent="0.4">
      <c r="A553" s="293"/>
      <c r="B553" s="65"/>
      <c r="C553" s="65"/>
      <c r="J553" s="65"/>
      <c r="K553" s="65"/>
      <c r="L553" s="65"/>
      <c r="M553" s="65"/>
      <c r="N553" s="65"/>
      <c r="O553" s="65"/>
      <c r="P553" s="65"/>
      <c r="Q553" s="65"/>
      <c r="R553" s="65"/>
      <c r="S553" s="65"/>
      <c r="T553" s="65"/>
      <c r="U553" s="65"/>
      <c r="V553" s="65"/>
      <c r="W553" s="65"/>
    </row>
    <row r="554" spans="1:23" ht="15.75" customHeight="1" x14ac:dyDescent="0.4">
      <c r="A554" s="293"/>
      <c r="B554" s="65"/>
      <c r="C554" s="65"/>
      <c r="J554" s="65"/>
      <c r="K554" s="65"/>
      <c r="L554" s="65"/>
      <c r="M554" s="65"/>
      <c r="N554" s="65"/>
      <c r="O554" s="65"/>
      <c r="P554" s="65"/>
      <c r="Q554" s="65"/>
      <c r="R554" s="65"/>
      <c r="S554" s="65"/>
      <c r="T554" s="65"/>
      <c r="U554" s="65"/>
      <c r="V554" s="65"/>
      <c r="W554" s="65"/>
    </row>
    <row r="555" spans="1:23" ht="15.75" customHeight="1" x14ac:dyDescent="0.4">
      <c r="A555" s="293"/>
      <c r="B555" s="65"/>
      <c r="C555" s="65"/>
      <c r="J555" s="65"/>
      <c r="K555" s="65"/>
      <c r="L555" s="65"/>
      <c r="M555" s="65"/>
      <c r="N555" s="65"/>
      <c r="O555" s="65"/>
      <c r="P555" s="65"/>
      <c r="Q555" s="65"/>
      <c r="R555" s="65"/>
      <c r="S555" s="65"/>
      <c r="T555" s="65"/>
      <c r="U555" s="65"/>
      <c r="V555" s="65"/>
      <c r="W555" s="65"/>
    </row>
    <row r="556" spans="1:23" ht="15.75" customHeight="1" x14ac:dyDescent="0.4">
      <c r="A556" s="293"/>
      <c r="B556" s="65"/>
      <c r="C556" s="65"/>
      <c r="J556" s="65"/>
      <c r="K556" s="65"/>
      <c r="L556" s="65"/>
      <c r="M556" s="65"/>
      <c r="N556" s="65"/>
      <c r="O556" s="65"/>
      <c r="P556" s="65"/>
      <c r="Q556" s="65"/>
      <c r="R556" s="65"/>
      <c r="S556" s="65"/>
      <c r="T556" s="65"/>
      <c r="U556" s="65"/>
      <c r="V556" s="65"/>
      <c r="W556" s="65"/>
    </row>
    <row r="557" spans="1:23" ht="15.75" customHeight="1" x14ac:dyDescent="0.4">
      <c r="A557" s="293"/>
      <c r="B557" s="65"/>
      <c r="C557" s="65"/>
      <c r="J557" s="65"/>
      <c r="K557" s="65"/>
      <c r="L557" s="65"/>
      <c r="M557" s="65"/>
      <c r="N557" s="65"/>
      <c r="O557" s="65"/>
      <c r="P557" s="65"/>
      <c r="Q557" s="65"/>
      <c r="R557" s="65"/>
      <c r="S557" s="65"/>
      <c r="T557" s="65"/>
      <c r="U557" s="65"/>
      <c r="V557" s="65"/>
      <c r="W557" s="65"/>
    </row>
    <row r="558" spans="1:23" ht="15.75" customHeight="1" x14ac:dyDescent="0.4">
      <c r="A558" s="293"/>
      <c r="B558" s="65"/>
      <c r="C558" s="65"/>
      <c r="J558" s="65"/>
      <c r="K558" s="65"/>
      <c r="L558" s="65"/>
      <c r="M558" s="65"/>
      <c r="N558" s="65"/>
      <c r="O558" s="65"/>
      <c r="P558" s="65"/>
      <c r="Q558" s="65"/>
      <c r="R558" s="65"/>
      <c r="S558" s="65"/>
      <c r="T558" s="65"/>
      <c r="U558" s="65"/>
      <c r="V558" s="65"/>
      <c r="W558" s="65"/>
    </row>
    <row r="559" spans="1:23" ht="15.75" customHeight="1" x14ac:dyDescent="0.4">
      <c r="A559" s="293"/>
      <c r="B559" s="65"/>
      <c r="C559" s="65"/>
      <c r="J559" s="65"/>
      <c r="K559" s="65"/>
      <c r="L559" s="65"/>
      <c r="M559" s="65"/>
      <c r="N559" s="65"/>
      <c r="O559" s="65"/>
      <c r="P559" s="65"/>
      <c r="Q559" s="65"/>
      <c r="R559" s="65"/>
      <c r="S559" s="65"/>
      <c r="T559" s="65"/>
      <c r="U559" s="65"/>
      <c r="V559" s="65"/>
      <c r="W559" s="65"/>
    </row>
    <row r="560" spans="1:23" ht="15.75" customHeight="1" x14ac:dyDescent="0.4">
      <c r="A560" s="293"/>
      <c r="B560" s="65"/>
      <c r="C560" s="65"/>
      <c r="J560" s="65"/>
      <c r="K560" s="65"/>
      <c r="L560" s="65"/>
      <c r="M560" s="65"/>
      <c r="N560" s="65"/>
      <c r="O560" s="65"/>
      <c r="P560" s="65"/>
      <c r="Q560" s="65"/>
      <c r="R560" s="65"/>
      <c r="S560" s="65"/>
      <c r="T560" s="65"/>
      <c r="U560" s="65"/>
      <c r="V560" s="65"/>
      <c r="W560" s="65"/>
    </row>
    <row r="561" spans="1:23" ht="15.75" customHeight="1" x14ac:dyDescent="0.4">
      <c r="A561" s="293"/>
      <c r="B561" s="65"/>
      <c r="C561" s="65"/>
      <c r="J561" s="65"/>
      <c r="K561" s="65"/>
      <c r="L561" s="65"/>
      <c r="M561" s="65"/>
      <c r="N561" s="65"/>
      <c r="O561" s="65"/>
      <c r="P561" s="65"/>
      <c r="Q561" s="65"/>
      <c r="R561" s="65"/>
      <c r="S561" s="65"/>
      <c r="T561" s="65"/>
      <c r="U561" s="65"/>
      <c r="V561" s="65"/>
      <c r="W561" s="65"/>
    </row>
    <row r="562" spans="1:23" ht="15.75" customHeight="1" x14ac:dyDescent="0.4">
      <c r="A562" s="293"/>
      <c r="B562" s="65"/>
      <c r="C562" s="65"/>
      <c r="J562" s="65"/>
      <c r="K562" s="65"/>
      <c r="L562" s="65"/>
      <c r="M562" s="65"/>
      <c r="N562" s="65"/>
      <c r="O562" s="65"/>
      <c r="P562" s="65"/>
      <c r="Q562" s="65"/>
      <c r="R562" s="65"/>
      <c r="S562" s="65"/>
      <c r="T562" s="65"/>
      <c r="U562" s="65"/>
      <c r="V562" s="65"/>
      <c r="W562" s="65"/>
    </row>
    <row r="563" spans="1:23" ht="15.75" customHeight="1" x14ac:dyDescent="0.4">
      <c r="A563" s="293"/>
      <c r="B563" s="65"/>
      <c r="C563" s="65"/>
      <c r="J563" s="65"/>
      <c r="K563" s="65"/>
      <c r="L563" s="65"/>
      <c r="M563" s="65"/>
      <c r="N563" s="65"/>
      <c r="O563" s="65"/>
      <c r="P563" s="65"/>
      <c r="Q563" s="65"/>
      <c r="R563" s="65"/>
      <c r="S563" s="65"/>
      <c r="T563" s="65"/>
      <c r="U563" s="65"/>
      <c r="V563" s="65"/>
      <c r="W563" s="65"/>
    </row>
    <row r="564" spans="1:23" ht="15.75" customHeight="1" x14ac:dyDescent="0.4">
      <c r="A564" s="293"/>
      <c r="B564" s="65"/>
      <c r="C564" s="65"/>
      <c r="J564" s="65"/>
      <c r="K564" s="65"/>
      <c r="L564" s="65"/>
      <c r="M564" s="65"/>
      <c r="N564" s="65"/>
      <c r="O564" s="65"/>
      <c r="P564" s="65"/>
      <c r="Q564" s="65"/>
      <c r="R564" s="65"/>
      <c r="S564" s="65"/>
      <c r="T564" s="65"/>
      <c r="U564" s="65"/>
      <c r="V564" s="65"/>
      <c r="W564" s="65"/>
    </row>
    <row r="565" spans="1:23" ht="15.75" customHeight="1" x14ac:dyDescent="0.4">
      <c r="A565" s="293"/>
      <c r="B565" s="65"/>
      <c r="C565" s="65"/>
      <c r="J565" s="65"/>
      <c r="K565" s="65"/>
      <c r="L565" s="65"/>
      <c r="M565" s="65"/>
      <c r="N565" s="65"/>
      <c r="O565" s="65"/>
      <c r="P565" s="65"/>
      <c r="Q565" s="65"/>
      <c r="R565" s="65"/>
      <c r="S565" s="65"/>
      <c r="T565" s="65"/>
      <c r="U565" s="65"/>
      <c r="V565" s="65"/>
      <c r="W565" s="65"/>
    </row>
    <row r="566" spans="1:23" ht="15.75" customHeight="1" x14ac:dyDescent="0.4">
      <c r="A566" s="293"/>
      <c r="B566" s="65"/>
      <c r="C566" s="65"/>
      <c r="J566" s="65"/>
      <c r="K566" s="65"/>
      <c r="L566" s="65"/>
      <c r="M566" s="65"/>
      <c r="N566" s="65"/>
      <c r="O566" s="65"/>
      <c r="P566" s="65"/>
      <c r="Q566" s="65"/>
      <c r="R566" s="65"/>
      <c r="S566" s="65"/>
      <c r="T566" s="65"/>
      <c r="U566" s="65"/>
      <c r="V566" s="65"/>
      <c r="W566" s="65"/>
    </row>
    <row r="567" spans="1:23" ht="15.75" customHeight="1" x14ac:dyDescent="0.4">
      <c r="A567" s="293"/>
      <c r="B567" s="65"/>
      <c r="C567" s="65"/>
      <c r="J567" s="65"/>
      <c r="K567" s="65"/>
      <c r="L567" s="65"/>
      <c r="M567" s="65"/>
      <c r="N567" s="65"/>
      <c r="O567" s="65"/>
      <c r="P567" s="65"/>
      <c r="Q567" s="65"/>
      <c r="R567" s="65"/>
      <c r="S567" s="65"/>
      <c r="T567" s="65"/>
      <c r="U567" s="65"/>
      <c r="V567" s="65"/>
      <c r="W567" s="65"/>
    </row>
    <row r="568" spans="1:23" ht="15.75" customHeight="1" x14ac:dyDescent="0.4">
      <c r="A568" s="293"/>
      <c r="B568" s="65"/>
      <c r="C568" s="65"/>
      <c r="J568" s="65"/>
      <c r="K568" s="65"/>
      <c r="L568" s="65"/>
      <c r="M568" s="65"/>
      <c r="N568" s="65"/>
      <c r="O568" s="65"/>
      <c r="P568" s="65"/>
      <c r="Q568" s="65"/>
      <c r="R568" s="65"/>
      <c r="S568" s="65"/>
      <c r="T568" s="65"/>
      <c r="U568" s="65"/>
      <c r="V568" s="65"/>
      <c r="W568" s="65"/>
    </row>
    <row r="569" spans="1:23" ht="15.75" customHeight="1" x14ac:dyDescent="0.4">
      <c r="A569" s="293"/>
      <c r="B569" s="65"/>
      <c r="C569" s="65"/>
      <c r="J569" s="65"/>
      <c r="K569" s="65"/>
      <c r="L569" s="65"/>
      <c r="M569" s="65"/>
      <c r="N569" s="65"/>
      <c r="O569" s="65"/>
      <c r="P569" s="65"/>
      <c r="Q569" s="65"/>
      <c r="R569" s="65"/>
      <c r="S569" s="65"/>
      <c r="T569" s="65"/>
      <c r="U569" s="65"/>
      <c r="V569" s="65"/>
      <c r="W569" s="65"/>
    </row>
    <row r="570" spans="1:23" ht="15.75" customHeight="1" x14ac:dyDescent="0.4">
      <c r="A570" s="293"/>
      <c r="B570" s="65"/>
      <c r="C570" s="65"/>
      <c r="J570" s="65"/>
      <c r="K570" s="65"/>
      <c r="L570" s="65"/>
      <c r="M570" s="65"/>
      <c r="N570" s="65"/>
      <c r="O570" s="65"/>
      <c r="P570" s="65"/>
      <c r="Q570" s="65"/>
      <c r="R570" s="65"/>
      <c r="S570" s="65"/>
      <c r="T570" s="65"/>
      <c r="U570" s="65"/>
      <c r="V570" s="65"/>
      <c r="W570" s="65"/>
    </row>
    <row r="571" spans="1:23" ht="15.75" customHeight="1" x14ac:dyDescent="0.4">
      <c r="A571" s="293"/>
      <c r="B571" s="65"/>
      <c r="C571" s="65"/>
      <c r="J571" s="65"/>
      <c r="K571" s="65"/>
      <c r="L571" s="65"/>
      <c r="M571" s="65"/>
      <c r="N571" s="65"/>
      <c r="O571" s="65"/>
      <c r="P571" s="65"/>
      <c r="Q571" s="65"/>
      <c r="R571" s="65"/>
      <c r="S571" s="65"/>
      <c r="T571" s="65"/>
      <c r="U571" s="65"/>
      <c r="V571" s="65"/>
      <c r="W571" s="65"/>
    </row>
    <row r="572" spans="1:23" ht="15.75" customHeight="1" x14ac:dyDescent="0.4">
      <c r="A572" s="293"/>
      <c r="B572" s="65"/>
      <c r="C572" s="65"/>
      <c r="J572" s="65"/>
      <c r="K572" s="65"/>
      <c r="L572" s="65"/>
      <c r="M572" s="65"/>
      <c r="N572" s="65"/>
      <c r="O572" s="65"/>
      <c r="P572" s="65"/>
      <c r="Q572" s="65"/>
      <c r="R572" s="65"/>
      <c r="S572" s="65"/>
      <c r="T572" s="65"/>
      <c r="U572" s="65"/>
      <c r="V572" s="65"/>
      <c r="W572" s="65"/>
    </row>
    <row r="573" spans="1:23" ht="15.75" customHeight="1" x14ac:dyDescent="0.4">
      <c r="A573" s="293"/>
      <c r="B573" s="65"/>
      <c r="C573" s="65"/>
      <c r="J573" s="65"/>
      <c r="K573" s="65"/>
      <c r="L573" s="65"/>
      <c r="M573" s="65"/>
      <c r="N573" s="65"/>
      <c r="O573" s="65"/>
      <c r="P573" s="65"/>
      <c r="Q573" s="65"/>
      <c r="R573" s="65"/>
      <c r="S573" s="65"/>
      <c r="T573" s="65"/>
      <c r="U573" s="65"/>
      <c r="V573" s="65"/>
      <c r="W573" s="65"/>
    </row>
    <row r="574" spans="1:23" ht="15.75" customHeight="1" x14ac:dyDescent="0.4">
      <c r="A574" s="293"/>
      <c r="B574" s="65"/>
      <c r="C574" s="65"/>
      <c r="J574" s="65"/>
      <c r="K574" s="65"/>
      <c r="L574" s="65"/>
      <c r="M574" s="65"/>
      <c r="N574" s="65"/>
      <c r="O574" s="65"/>
      <c r="P574" s="65"/>
      <c r="Q574" s="65"/>
      <c r="R574" s="65"/>
      <c r="S574" s="65"/>
      <c r="T574" s="65"/>
      <c r="U574" s="65"/>
      <c r="V574" s="65"/>
      <c r="W574" s="65"/>
    </row>
    <row r="575" spans="1:23" ht="15.75" customHeight="1" x14ac:dyDescent="0.4">
      <c r="A575" s="293"/>
      <c r="B575" s="65"/>
      <c r="C575" s="65"/>
      <c r="J575" s="65"/>
      <c r="K575" s="65"/>
      <c r="L575" s="65"/>
      <c r="M575" s="65"/>
      <c r="N575" s="65"/>
      <c r="O575" s="65"/>
      <c r="P575" s="65"/>
      <c r="Q575" s="65"/>
      <c r="R575" s="65"/>
      <c r="S575" s="65"/>
      <c r="T575" s="65"/>
      <c r="U575" s="65"/>
      <c r="V575" s="65"/>
      <c r="W575" s="65"/>
    </row>
    <row r="576" spans="1:23" ht="15.75" customHeight="1" x14ac:dyDescent="0.4">
      <c r="A576" s="293"/>
      <c r="B576" s="65"/>
      <c r="C576" s="65"/>
      <c r="J576" s="65"/>
      <c r="K576" s="65"/>
      <c r="L576" s="65"/>
      <c r="M576" s="65"/>
      <c r="N576" s="65"/>
      <c r="O576" s="65"/>
      <c r="P576" s="65"/>
      <c r="Q576" s="65"/>
      <c r="R576" s="65"/>
      <c r="S576" s="65"/>
      <c r="T576" s="65"/>
      <c r="U576" s="65"/>
      <c r="V576" s="65"/>
      <c r="W576" s="65"/>
    </row>
    <row r="577" spans="1:23" ht="15.75" customHeight="1" x14ac:dyDescent="0.4">
      <c r="A577" s="293"/>
      <c r="B577" s="65"/>
      <c r="C577" s="65"/>
      <c r="J577" s="65"/>
      <c r="K577" s="65"/>
      <c r="L577" s="65"/>
      <c r="M577" s="65"/>
      <c r="N577" s="65"/>
      <c r="O577" s="65"/>
      <c r="P577" s="65"/>
      <c r="Q577" s="65"/>
      <c r="R577" s="65"/>
      <c r="S577" s="65"/>
      <c r="T577" s="65"/>
      <c r="U577" s="65"/>
      <c r="V577" s="65"/>
      <c r="W577" s="65"/>
    </row>
    <row r="578" spans="1:23" ht="15.75" customHeight="1" x14ac:dyDescent="0.4">
      <c r="A578" s="293"/>
      <c r="B578" s="65"/>
      <c r="C578" s="65"/>
      <c r="J578" s="65"/>
      <c r="K578" s="65"/>
      <c r="L578" s="65"/>
      <c r="M578" s="65"/>
      <c r="N578" s="65"/>
      <c r="O578" s="65"/>
      <c r="P578" s="65"/>
      <c r="Q578" s="65"/>
      <c r="R578" s="65"/>
      <c r="S578" s="65"/>
      <c r="T578" s="65"/>
      <c r="U578" s="65"/>
      <c r="V578" s="65"/>
      <c r="W578" s="65"/>
    </row>
    <row r="579" spans="1:23" ht="15.75" customHeight="1" x14ac:dyDescent="0.4">
      <c r="A579" s="293"/>
      <c r="B579" s="65"/>
      <c r="C579" s="65"/>
      <c r="J579" s="65"/>
      <c r="K579" s="65"/>
      <c r="L579" s="65"/>
      <c r="M579" s="65"/>
      <c r="N579" s="65"/>
      <c r="O579" s="65"/>
      <c r="P579" s="65"/>
      <c r="Q579" s="65"/>
      <c r="R579" s="65"/>
      <c r="S579" s="65"/>
      <c r="T579" s="65"/>
      <c r="U579" s="65"/>
      <c r="V579" s="65"/>
      <c r="W579" s="65"/>
    </row>
    <row r="580" spans="1:23" ht="15.75" customHeight="1" x14ac:dyDescent="0.4">
      <c r="A580" s="293"/>
      <c r="B580" s="65"/>
      <c r="C580" s="65"/>
      <c r="J580" s="65"/>
      <c r="K580" s="65"/>
      <c r="L580" s="65"/>
      <c r="M580" s="65"/>
      <c r="N580" s="65"/>
      <c r="O580" s="65"/>
      <c r="P580" s="65"/>
      <c r="Q580" s="65"/>
      <c r="R580" s="65"/>
      <c r="S580" s="65"/>
      <c r="T580" s="65"/>
      <c r="U580" s="65"/>
      <c r="V580" s="65"/>
      <c r="W580" s="65"/>
    </row>
    <row r="581" spans="1:23" ht="15.75" customHeight="1" x14ac:dyDescent="0.4">
      <c r="A581" s="293"/>
      <c r="B581" s="65"/>
      <c r="C581" s="65"/>
      <c r="J581" s="65"/>
      <c r="K581" s="65"/>
      <c r="L581" s="65"/>
      <c r="M581" s="65"/>
      <c r="N581" s="65"/>
      <c r="O581" s="65"/>
      <c r="P581" s="65"/>
      <c r="Q581" s="65"/>
      <c r="R581" s="65"/>
      <c r="S581" s="65"/>
      <c r="T581" s="65"/>
      <c r="U581" s="65"/>
      <c r="V581" s="65"/>
      <c r="W581" s="65"/>
    </row>
    <row r="582" spans="1:23" ht="15.75" customHeight="1" x14ac:dyDescent="0.4">
      <c r="A582" s="293"/>
      <c r="B582" s="65"/>
      <c r="C582" s="65"/>
      <c r="J582" s="65"/>
      <c r="K582" s="65"/>
      <c r="L582" s="65"/>
      <c r="M582" s="65"/>
      <c r="N582" s="65"/>
      <c r="O582" s="65"/>
      <c r="P582" s="65"/>
      <c r="Q582" s="65"/>
      <c r="R582" s="65"/>
      <c r="S582" s="65"/>
      <c r="T582" s="65"/>
      <c r="U582" s="65"/>
      <c r="V582" s="65"/>
      <c r="W582" s="65"/>
    </row>
    <row r="583" spans="1:23" ht="15.75" customHeight="1" x14ac:dyDescent="0.4">
      <c r="A583" s="293"/>
      <c r="B583" s="65"/>
      <c r="C583" s="65"/>
      <c r="J583" s="65"/>
      <c r="K583" s="65"/>
      <c r="L583" s="65"/>
      <c r="M583" s="65"/>
      <c r="N583" s="65"/>
      <c r="O583" s="65"/>
      <c r="P583" s="65"/>
      <c r="Q583" s="65"/>
      <c r="R583" s="65"/>
      <c r="S583" s="65"/>
      <c r="T583" s="65"/>
      <c r="U583" s="65"/>
      <c r="V583" s="65"/>
      <c r="W583" s="65"/>
    </row>
    <row r="584" spans="1:23" ht="15.75" customHeight="1" x14ac:dyDescent="0.4">
      <c r="A584" s="293"/>
      <c r="B584" s="65"/>
      <c r="C584" s="65"/>
      <c r="J584" s="65"/>
      <c r="K584" s="65"/>
      <c r="L584" s="65"/>
      <c r="M584" s="65"/>
      <c r="N584" s="65"/>
      <c r="O584" s="65"/>
      <c r="P584" s="65"/>
      <c r="Q584" s="65"/>
      <c r="R584" s="65"/>
      <c r="S584" s="65"/>
      <c r="T584" s="65"/>
      <c r="U584" s="65"/>
      <c r="V584" s="65"/>
      <c r="W584" s="65"/>
    </row>
    <row r="585" spans="1:23" ht="15.75" customHeight="1" x14ac:dyDescent="0.4">
      <c r="A585" s="293"/>
      <c r="B585" s="65"/>
      <c r="C585" s="65"/>
      <c r="J585" s="65"/>
      <c r="K585" s="65"/>
      <c r="L585" s="65"/>
      <c r="M585" s="65"/>
      <c r="N585" s="65"/>
      <c r="O585" s="65"/>
      <c r="P585" s="65"/>
      <c r="Q585" s="65"/>
      <c r="R585" s="65"/>
      <c r="S585" s="65"/>
      <c r="T585" s="65"/>
      <c r="U585" s="65"/>
      <c r="V585" s="65"/>
      <c r="W585" s="65"/>
    </row>
    <row r="586" spans="1:23" ht="15.75" customHeight="1" x14ac:dyDescent="0.4">
      <c r="A586" s="293"/>
      <c r="B586" s="65"/>
      <c r="C586" s="65"/>
      <c r="J586" s="65"/>
      <c r="K586" s="65"/>
      <c r="L586" s="65"/>
      <c r="M586" s="65"/>
      <c r="N586" s="65"/>
      <c r="O586" s="65"/>
      <c r="P586" s="65"/>
      <c r="Q586" s="65"/>
      <c r="R586" s="65"/>
      <c r="S586" s="65"/>
      <c r="T586" s="65"/>
      <c r="U586" s="65"/>
      <c r="V586" s="65"/>
      <c r="W586" s="65"/>
    </row>
    <row r="587" spans="1:23" ht="15.75" customHeight="1" x14ac:dyDescent="0.4">
      <c r="A587" s="293"/>
      <c r="B587" s="65"/>
      <c r="C587" s="65"/>
      <c r="J587" s="65"/>
      <c r="K587" s="65"/>
      <c r="L587" s="65"/>
      <c r="M587" s="65"/>
      <c r="N587" s="65"/>
      <c r="O587" s="65"/>
      <c r="P587" s="65"/>
      <c r="Q587" s="65"/>
      <c r="R587" s="65"/>
      <c r="S587" s="65"/>
      <c r="T587" s="65"/>
      <c r="U587" s="65"/>
      <c r="V587" s="65"/>
      <c r="W587" s="65"/>
    </row>
    <row r="588" spans="1:23" ht="15.75" customHeight="1" x14ac:dyDescent="0.4">
      <c r="A588" s="293"/>
      <c r="B588" s="65"/>
      <c r="C588" s="65"/>
      <c r="J588" s="65"/>
      <c r="K588" s="65"/>
      <c r="L588" s="65"/>
      <c r="M588" s="65"/>
      <c r="N588" s="65"/>
      <c r="O588" s="65"/>
      <c r="P588" s="65"/>
      <c r="Q588" s="65"/>
      <c r="R588" s="65"/>
      <c r="S588" s="65"/>
      <c r="T588" s="65"/>
      <c r="U588" s="65"/>
      <c r="V588" s="65"/>
      <c r="W588" s="65"/>
    </row>
    <row r="589" spans="1:23" ht="15.75" customHeight="1" x14ac:dyDescent="0.4">
      <c r="A589" s="293"/>
      <c r="B589" s="65"/>
      <c r="C589" s="65"/>
      <c r="J589" s="65"/>
      <c r="K589" s="65"/>
      <c r="L589" s="65"/>
      <c r="M589" s="65"/>
      <c r="N589" s="65"/>
      <c r="O589" s="65"/>
      <c r="P589" s="65"/>
      <c r="Q589" s="65"/>
      <c r="R589" s="65"/>
      <c r="S589" s="65"/>
      <c r="T589" s="65"/>
      <c r="U589" s="65"/>
      <c r="V589" s="65"/>
      <c r="W589" s="65"/>
    </row>
    <row r="590" spans="1:23" ht="15.75" customHeight="1" x14ac:dyDescent="0.4">
      <c r="A590" s="293"/>
      <c r="B590" s="65"/>
      <c r="C590" s="65"/>
      <c r="J590" s="65"/>
      <c r="K590" s="65"/>
      <c r="L590" s="65"/>
      <c r="M590" s="65"/>
      <c r="N590" s="65"/>
      <c r="O590" s="65"/>
      <c r="P590" s="65"/>
      <c r="Q590" s="65"/>
      <c r="R590" s="65"/>
      <c r="S590" s="65"/>
      <c r="T590" s="65"/>
      <c r="U590" s="65"/>
      <c r="V590" s="65"/>
      <c r="W590" s="65"/>
    </row>
    <row r="591" spans="1:23" ht="15.75" customHeight="1" x14ac:dyDescent="0.4">
      <c r="A591" s="293"/>
      <c r="B591" s="65"/>
      <c r="C591" s="65"/>
      <c r="J591" s="65"/>
      <c r="K591" s="65"/>
      <c r="L591" s="65"/>
      <c r="M591" s="65"/>
      <c r="N591" s="65"/>
      <c r="O591" s="65"/>
      <c r="P591" s="65"/>
      <c r="Q591" s="65"/>
      <c r="R591" s="65"/>
      <c r="S591" s="65"/>
      <c r="T591" s="65"/>
      <c r="U591" s="65"/>
      <c r="V591" s="65"/>
      <c r="W591" s="65"/>
    </row>
    <row r="592" spans="1:23" ht="15.75" customHeight="1" x14ac:dyDescent="0.4">
      <c r="A592" s="293"/>
      <c r="B592" s="65"/>
      <c r="C592" s="65"/>
      <c r="J592" s="65"/>
      <c r="K592" s="65"/>
      <c r="L592" s="65"/>
      <c r="M592" s="65"/>
      <c r="N592" s="65"/>
      <c r="O592" s="65"/>
      <c r="P592" s="65"/>
      <c r="Q592" s="65"/>
      <c r="R592" s="65"/>
      <c r="S592" s="65"/>
      <c r="T592" s="65"/>
      <c r="U592" s="65"/>
      <c r="V592" s="65"/>
      <c r="W592" s="65"/>
    </row>
    <row r="593" spans="1:23" ht="15.75" customHeight="1" x14ac:dyDescent="0.4">
      <c r="A593" s="293"/>
      <c r="B593" s="65"/>
      <c r="C593" s="65"/>
      <c r="J593" s="65"/>
      <c r="K593" s="65"/>
      <c r="L593" s="65"/>
      <c r="M593" s="65"/>
      <c r="N593" s="65"/>
      <c r="O593" s="65"/>
      <c r="P593" s="65"/>
      <c r="Q593" s="65"/>
      <c r="R593" s="65"/>
      <c r="S593" s="65"/>
      <c r="T593" s="65"/>
      <c r="U593" s="65"/>
      <c r="V593" s="65"/>
      <c r="W593" s="65"/>
    </row>
    <row r="594" spans="1:23" ht="15.75" customHeight="1" x14ac:dyDescent="0.4">
      <c r="A594" s="293"/>
      <c r="B594" s="65"/>
      <c r="C594" s="65"/>
      <c r="J594" s="65"/>
      <c r="K594" s="65"/>
      <c r="L594" s="65"/>
      <c r="M594" s="65"/>
      <c r="N594" s="65"/>
      <c r="O594" s="65"/>
      <c r="P594" s="65"/>
      <c r="Q594" s="65"/>
      <c r="R594" s="65"/>
      <c r="S594" s="65"/>
      <c r="T594" s="65"/>
      <c r="U594" s="65"/>
      <c r="V594" s="65"/>
      <c r="W594" s="65"/>
    </row>
    <row r="595" spans="1:23" ht="15.75" customHeight="1" x14ac:dyDescent="0.4">
      <c r="A595" s="293"/>
      <c r="B595" s="65"/>
      <c r="C595" s="65"/>
      <c r="J595" s="65"/>
      <c r="K595" s="65"/>
      <c r="L595" s="65"/>
      <c r="M595" s="65"/>
      <c r="N595" s="65"/>
      <c r="O595" s="65"/>
      <c r="P595" s="65"/>
      <c r="Q595" s="65"/>
      <c r="R595" s="65"/>
      <c r="S595" s="65"/>
      <c r="T595" s="65"/>
      <c r="U595" s="65"/>
      <c r="V595" s="65"/>
      <c r="W595" s="65"/>
    </row>
    <row r="596" spans="1:23" ht="15.75" customHeight="1" x14ac:dyDescent="0.4">
      <c r="A596" s="293"/>
      <c r="B596" s="65"/>
      <c r="C596" s="65"/>
      <c r="J596" s="65"/>
      <c r="K596" s="65"/>
      <c r="L596" s="65"/>
      <c r="M596" s="65"/>
      <c r="N596" s="65"/>
      <c r="O596" s="65"/>
      <c r="P596" s="65"/>
      <c r="Q596" s="65"/>
      <c r="R596" s="65"/>
      <c r="S596" s="65"/>
      <c r="T596" s="65"/>
      <c r="U596" s="65"/>
      <c r="V596" s="65"/>
      <c r="W596" s="65"/>
    </row>
    <row r="597" spans="1:23" ht="15.75" customHeight="1" x14ac:dyDescent="0.4">
      <c r="A597" s="293"/>
      <c r="B597" s="65"/>
      <c r="C597" s="65"/>
      <c r="J597" s="65"/>
      <c r="K597" s="65"/>
      <c r="L597" s="65"/>
      <c r="M597" s="65"/>
      <c r="N597" s="65"/>
      <c r="O597" s="65"/>
      <c r="P597" s="65"/>
      <c r="Q597" s="65"/>
      <c r="R597" s="65"/>
      <c r="S597" s="65"/>
      <c r="T597" s="65"/>
      <c r="U597" s="65"/>
      <c r="V597" s="65"/>
      <c r="W597" s="65"/>
    </row>
    <row r="598" spans="1:23" ht="15.75" customHeight="1" x14ac:dyDescent="0.4">
      <c r="A598" s="293"/>
      <c r="B598" s="65"/>
      <c r="C598" s="65"/>
      <c r="J598" s="65"/>
      <c r="K598" s="65"/>
      <c r="L598" s="65"/>
      <c r="M598" s="65"/>
      <c r="N598" s="65"/>
      <c r="O598" s="65"/>
      <c r="P598" s="65"/>
      <c r="Q598" s="65"/>
      <c r="R598" s="65"/>
      <c r="S598" s="65"/>
      <c r="T598" s="65"/>
      <c r="U598" s="65"/>
      <c r="V598" s="65"/>
      <c r="W598" s="65"/>
    </row>
    <row r="599" spans="1:23" ht="15.75" customHeight="1" x14ac:dyDescent="0.4">
      <c r="A599" s="293"/>
      <c r="B599" s="65"/>
      <c r="C599" s="65"/>
      <c r="J599" s="65"/>
      <c r="K599" s="65"/>
      <c r="L599" s="65"/>
      <c r="M599" s="65"/>
      <c r="N599" s="65"/>
      <c r="O599" s="65"/>
      <c r="P599" s="65"/>
      <c r="Q599" s="65"/>
      <c r="R599" s="65"/>
      <c r="S599" s="65"/>
      <c r="T599" s="65"/>
      <c r="U599" s="65"/>
      <c r="V599" s="65"/>
      <c r="W599" s="65"/>
    </row>
    <row r="600" spans="1:23" ht="15.75" customHeight="1" x14ac:dyDescent="0.4">
      <c r="A600" s="293"/>
      <c r="B600" s="65"/>
      <c r="C600" s="65"/>
      <c r="J600" s="65"/>
      <c r="K600" s="65"/>
      <c r="L600" s="65"/>
      <c r="M600" s="65"/>
      <c r="N600" s="65"/>
      <c r="O600" s="65"/>
      <c r="P600" s="65"/>
      <c r="Q600" s="65"/>
      <c r="R600" s="65"/>
      <c r="S600" s="65"/>
      <c r="T600" s="65"/>
      <c r="U600" s="65"/>
      <c r="V600" s="65"/>
      <c r="W600" s="65"/>
    </row>
    <row r="601" spans="1:23" ht="15.75" customHeight="1" x14ac:dyDescent="0.4">
      <c r="A601" s="293"/>
      <c r="B601" s="65"/>
      <c r="C601" s="65"/>
      <c r="J601" s="65"/>
      <c r="K601" s="65"/>
      <c r="L601" s="65"/>
      <c r="M601" s="65"/>
      <c r="N601" s="65"/>
      <c r="O601" s="65"/>
      <c r="P601" s="65"/>
      <c r="Q601" s="65"/>
      <c r="R601" s="65"/>
      <c r="S601" s="65"/>
      <c r="T601" s="65"/>
      <c r="U601" s="65"/>
      <c r="V601" s="65"/>
      <c r="W601" s="65"/>
    </row>
    <row r="602" spans="1:23" ht="15.75" customHeight="1" x14ac:dyDescent="0.4">
      <c r="A602" s="293"/>
      <c r="B602" s="65"/>
      <c r="C602" s="65"/>
      <c r="J602" s="65"/>
      <c r="K602" s="65"/>
      <c r="L602" s="65"/>
      <c r="M602" s="65"/>
      <c r="N602" s="65"/>
      <c r="O602" s="65"/>
      <c r="P602" s="65"/>
      <c r="Q602" s="65"/>
      <c r="R602" s="65"/>
      <c r="S602" s="65"/>
      <c r="T602" s="65"/>
      <c r="U602" s="65"/>
      <c r="V602" s="65"/>
      <c r="W602" s="65"/>
    </row>
    <row r="603" spans="1:23" ht="15.75" customHeight="1" x14ac:dyDescent="0.4">
      <c r="A603" s="293"/>
      <c r="B603" s="65"/>
      <c r="C603" s="65"/>
      <c r="J603" s="65"/>
      <c r="K603" s="65"/>
      <c r="L603" s="65"/>
      <c r="M603" s="65"/>
      <c r="N603" s="65"/>
      <c r="O603" s="65"/>
      <c r="P603" s="65"/>
      <c r="Q603" s="65"/>
      <c r="R603" s="65"/>
      <c r="S603" s="65"/>
      <c r="T603" s="65"/>
      <c r="U603" s="65"/>
      <c r="V603" s="65"/>
      <c r="W603" s="65"/>
    </row>
    <row r="604" spans="1:23" ht="15.75" customHeight="1" x14ac:dyDescent="0.4">
      <c r="A604" s="293"/>
      <c r="B604" s="65"/>
      <c r="C604" s="65"/>
      <c r="J604" s="65"/>
      <c r="K604" s="65"/>
      <c r="L604" s="65"/>
      <c r="M604" s="65"/>
      <c r="N604" s="65"/>
      <c r="O604" s="65"/>
      <c r="P604" s="65"/>
      <c r="Q604" s="65"/>
      <c r="R604" s="65"/>
      <c r="S604" s="65"/>
      <c r="T604" s="65"/>
      <c r="U604" s="65"/>
      <c r="V604" s="65"/>
      <c r="W604" s="65"/>
    </row>
    <row r="605" spans="1:23" ht="15.75" customHeight="1" x14ac:dyDescent="0.4">
      <c r="A605" s="293"/>
      <c r="B605" s="65"/>
      <c r="C605" s="65"/>
      <c r="J605" s="65"/>
      <c r="K605" s="65"/>
      <c r="L605" s="65"/>
      <c r="M605" s="65"/>
      <c r="N605" s="65"/>
      <c r="O605" s="65"/>
      <c r="P605" s="65"/>
      <c r="Q605" s="65"/>
      <c r="R605" s="65"/>
      <c r="S605" s="65"/>
      <c r="T605" s="65"/>
      <c r="U605" s="65"/>
      <c r="V605" s="65"/>
      <c r="W605" s="65"/>
    </row>
    <row r="606" spans="1:23" ht="15.75" customHeight="1" x14ac:dyDescent="0.4">
      <c r="A606" s="293"/>
      <c r="B606" s="65"/>
      <c r="C606" s="65"/>
      <c r="J606" s="65"/>
      <c r="K606" s="65"/>
      <c r="L606" s="65"/>
      <c r="M606" s="65"/>
      <c r="N606" s="65"/>
      <c r="O606" s="65"/>
      <c r="P606" s="65"/>
      <c r="Q606" s="65"/>
      <c r="R606" s="65"/>
      <c r="S606" s="65"/>
      <c r="T606" s="65"/>
      <c r="U606" s="65"/>
      <c r="V606" s="65"/>
      <c r="W606" s="65"/>
    </row>
    <row r="607" spans="1:23" ht="15.75" customHeight="1" x14ac:dyDescent="0.4">
      <c r="A607" s="293"/>
      <c r="B607" s="65"/>
      <c r="C607" s="65"/>
      <c r="J607" s="65"/>
      <c r="K607" s="65"/>
      <c r="L607" s="65"/>
      <c r="M607" s="65"/>
      <c r="N607" s="65"/>
      <c r="O607" s="65"/>
      <c r="P607" s="65"/>
      <c r="Q607" s="65"/>
      <c r="R607" s="65"/>
      <c r="S607" s="65"/>
      <c r="T607" s="65"/>
      <c r="U607" s="65"/>
      <c r="V607" s="65"/>
      <c r="W607" s="65"/>
    </row>
    <row r="608" spans="1:23" ht="15.75" customHeight="1" x14ac:dyDescent="0.4">
      <c r="A608" s="293"/>
      <c r="B608" s="65"/>
      <c r="C608" s="65"/>
      <c r="J608" s="65"/>
      <c r="K608" s="65"/>
      <c r="L608" s="65"/>
      <c r="M608" s="65"/>
      <c r="N608" s="65"/>
      <c r="O608" s="65"/>
      <c r="P608" s="65"/>
      <c r="Q608" s="65"/>
      <c r="R608" s="65"/>
      <c r="S608" s="65"/>
      <c r="T608" s="65"/>
      <c r="U608" s="65"/>
      <c r="V608" s="65"/>
      <c r="W608" s="65"/>
    </row>
    <row r="609" spans="1:23" ht="15.75" customHeight="1" x14ac:dyDescent="0.4">
      <c r="A609" s="293"/>
      <c r="B609" s="65"/>
      <c r="C609" s="65"/>
      <c r="J609" s="65"/>
      <c r="K609" s="65"/>
      <c r="L609" s="65"/>
      <c r="M609" s="65"/>
      <c r="N609" s="65"/>
      <c r="O609" s="65"/>
      <c r="P609" s="65"/>
      <c r="Q609" s="65"/>
      <c r="R609" s="65"/>
      <c r="S609" s="65"/>
      <c r="T609" s="65"/>
      <c r="U609" s="65"/>
      <c r="V609" s="65"/>
      <c r="W609" s="65"/>
    </row>
    <row r="610" spans="1:23" ht="15.75" customHeight="1" x14ac:dyDescent="0.4">
      <c r="A610" s="293"/>
      <c r="B610" s="65"/>
      <c r="C610" s="65"/>
      <c r="J610" s="65"/>
      <c r="K610" s="65"/>
      <c r="L610" s="65"/>
      <c r="M610" s="65"/>
      <c r="N610" s="65"/>
      <c r="O610" s="65"/>
      <c r="P610" s="65"/>
      <c r="Q610" s="65"/>
      <c r="R610" s="65"/>
      <c r="S610" s="65"/>
      <c r="T610" s="65"/>
      <c r="U610" s="65"/>
      <c r="V610" s="65"/>
      <c r="W610" s="65"/>
    </row>
    <row r="611" spans="1:23" ht="15.75" customHeight="1" x14ac:dyDescent="0.4">
      <c r="A611" s="293"/>
      <c r="B611" s="65"/>
      <c r="C611" s="65"/>
      <c r="J611" s="65"/>
      <c r="K611" s="65"/>
      <c r="L611" s="65"/>
      <c r="M611" s="65"/>
      <c r="N611" s="65"/>
      <c r="O611" s="65"/>
      <c r="P611" s="65"/>
      <c r="Q611" s="65"/>
      <c r="R611" s="65"/>
      <c r="S611" s="65"/>
      <c r="T611" s="65"/>
      <c r="U611" s="65"/>
      <c r="V611" s="65"/>
      <c r="W611" s="65"/>
    </row>
    <row r="612" spans="1:23" ht="15.75" customHeight="1" x14ac:dyDescent="0.4">
      <c r="A612" s="293"/>
      <c r="B612" s="65"/>
      <c r="C612" s="65"/>
      <c r="J612" s="65"/>
      <c r="K612" s="65"/>
      <c r="L612" s="65"/>
      <c r="M612" s="65"/>
      <c r="N612" s="65"/>
      <c r="O612" s="65"/>
      <c r="P612" s="65"/>
      <c r="Q612" s="65"/>
      <c r="R612" s="65"/>
      <c r="S612" s="65"/>
      <c r="T612" s="65"/>
      <c r="U612" s="65"/>
      <c r="V612" s="65"/>
      <c r="W612" s="65"/>
    </row>
    <row r="613" spans="1:23" ht="15.75" customHeight="1" x14ac:dyDescent="0.4">
      <c r="A613" s="293"/>
      <c r="B613" s="65"/>
      <c r="C613" s="65"/>
      <c r="J613" s="65"/>
      <c r="K613" s="65"/>
      <c r="L613" s="65"/>
      <c r="M613" s="65"/>
      <c r="N613" s="65"/>
      <c r="O613" s="65"/>
      <c r="P613" s="65"/>
      <c r="Q613" s="65"/>
      <c r="R613" s="65"/>
      <c r="S613" s="65"/>
      <c r="T613" s="65"/>
      <c r="U613" s="65"/>
      <c r="V613" s="65"/>
      <c r="W613" s="65"/>
    </row>
    <row r="614" spans="1:23" ht="15.75" customHeight="1" x14ac:dyDescent="0.4">
      <c r="A614" s="293"/>
      <c r="B614" s="65"/>
      <c r="C614" s="65"/>
      <c r="J614" s="65"/>
      <c r="K614" s="65"/>
      <c r="L614" s="65"/>
      <c r="M614" s="65"/>
      <c r="N614" s="65"/>
      <c r="O614" s="65"/>
      <c r="P614" s="65"/>
      <c r="Q614" s="65"/>
      <c r="R614" s="65"/>
      <c r="S614" s="65"/>
      <c r="T614" s="65"/>
      <c r="U614" s="65"/>
      <c r="V614" s="65"/>
      <c r="W614" s="65"/>
    </row>
    <row r="615" spans="1:23" ht="15.75" customHeight="1" x14ac:dyDescent="0.4">
      <c r="A615" s="293"/>
      <c r="B615" s="65"/>
      <c r="C615" s="65"/>
      <c r="J615" s="65"/>
      <c r="K615" s="65"/>
      <c r="L615" s="65"/>
      <c r="M615" s="65"/>
      <c r="N615" s="65"/>
      <c r="O615" s="65"/>
      <c r="P615" s="65"/>
      <c r="Q615" s="65"/>
      <c r="R615" s="65"/>
      <c r="S615" s="65"/>
      <c r="T615" s="65"/>
      <c r="U615" s="65"/>
      <c r="V615" s="65"/>
      <c r="W615" s="65"/>
    </row>
    <row r="616" spans="1:23" ht="15.75" customHeight="1" x14ac:dyDescent="0.4">
      <c r="A616" s="293"/>
      <c r="B616" s="65"/>
      <c r="C616" s="65"/>
      <c r="J616" s="65"/>
      <c r="K616" s="65"/>
      <c r="L616" s="65"/>
      <c r="M616" s="65"/>
      <c r="N616" s="65"/>
      <c r="O616" s="65"/>
      <c r="P616" s="65"/>
      <c r="Q616" s="65"/>
      <c r="R616" s="65"/>
      <c r="S616" s="65"/>
      <c r="T616" s="65"/>
      <c r="U616" s="65"/>
      <c r="V616" s="65"/>
      <c r="W616" s="65"/>
    </row>
    <row r="617" spans="1:23" ht="15.75" customHeight="1" x14ac:dyDescent="0.4">
      <c r="A617" s="293"/>
      <c r="B617" s="65"/>
      <c r="C617" s="65"/>
      <c r="J617" s="65"/>
      <c r="K617" s="65"/>
      <c r="L617" s="65"/>
      <c r="M617" s="65"/>
      <c r="N617" s="65"/>
      <c r="O617" s="65"/>
      <c r="P617" s="65"/>
      <c r="Q617" s="65"/>
      <c r="R617" s="65"/>
      <c r="S617" s="65"/>
      <c r="T617" s="65"/>
      <c r="U617" s="65"/>
      <c r="V617" s="65"/>
      <c r="W617" s="65"/>
    </row>
    <row r="618" spans="1:23" ht="15.75" customHeight="1" x14ac:dyDescent="0.4">
      <c r="A618" s="293"/>
      <c r="B618" s="65"/>
      <c r="C618" s="65"/>
      <c r="J618" s="65"/>
      <c r="K618" s="65"/>
      <c r="L618" s="65"/>
      <c r="M618" s="65"/>
      <c r="N618" s="65"/>
      <c r="O618" s="65"/>
      <c r="P618" s="65"/>
      <c r="Q618" s="65"/>
      <c r="R618" s="65"/>
      <c r="S618" s="65"/>
      <c r="T618" s="65"/>
      <c r="U618" s="65"/>
      <c r="V618" s="65"/>
      <c r="W618" s="65"/>
    </row>
    <row r="619" spans="1:23" ht="15.75" customHeight="1" x14ac:dyDescent="0.4">
      <c r="A619" s="293"/>
      <c r="B619" s="65"/>
      <c r="C619" s="65"/>
      <c r="J619" s="65"/>
      <c r="K619" s="65"/>
      <c r="L619" s="65"/>
      <c r="M619" s="65"/>
      <c r="N619" s="65"/>
      <c r="O619" s="65"/>
      <c r="P619" s="65"/>
      <c r="Q619" s="65"/>
      <c r="R619" s="65"/>
      <c r="S619" s="65"/>
      <c r="T619" s="65"/>
      <c r="U619" s="65"/>
      <c r="V619" s="65"/>
      <c r="W619" s="65"/>
    </row>
    <row r="620" spans="1:23" ht="15.75" customHeight="1" x14ac:dyDescent="0.4">
      <c r="A620" s="293"/>
      <c r="B620" s="65"/>
      <c r="C620" s="65"/>
      <c r="J620" s="65"/>
      <c r="K620" s="65"/>
      <c r="L620" s="65"/>
      <c r="M620" s="65"/>
      <c r="N620" s="65"/>
      <c r="O620" s="65"/>
      <c r="P620" s="65"/>
      <c r="Q620" s="65"/>
      <c r="R620" s="65"/>
      <c r="S620" s="65"/>
      <c r="T620" s="65"/>
      <c r="U620" s="65"/>
      <c r="V620" s="65"/>
      <c r="W620" s="65"/>
    </row>
    <row r="621" spans="1:23" ht="15.75" customHeight="1" x14ac:dyDescent="0.4">
      <c r="A621" s="293"/>
      <c r="B621" s="65"/>
      <c r="C621" s="65"/>
      <c r="J621" s="65"/>
      <c r="K621" s="65"/>
      <c r="L621" s="65"/>
      <c r="M621" s="65"/>
      <c r="N621" s="65"/>
      <c r="O621" s="65"/>
      <c r="P621" s="65"/>
      <c r="Q621" s="65"/>
      <c r="R621" s="65"/>
      <c r="S621" s="65"/>
      <c r="T621" s="65"/>
      <c r="U621" s="65"/>
      <c r="V621" s="65"/>
      <c r="W621" s="65"/>
    </row>
    <row r="622" spans="1:23" ht="15.75" customHeight="1" x14ac:dyDescent="0.4">
      <c r="A622" s="293"/>
      <c r="B622" s="65"/>
      <c r="C622" s="65"/>
      <c r="J622" s="65"/>
      <c r="K622" s="65"/>
      <c r="L622" s="65"/>
      <c r="M622" s="65"/>
      <c r="N622" s="65"/>
      <c r="O622" s="65"/>
      <c r="P622" s="65"/>
      <c r="Q622" s="65"/>
      <c r="R622" s="65"/>
      <c r="S622" s="65"/>
      <c r="T622" s="65"/>
      <c r="U622" s="65"/>
      <c r="V622" s="65"/>
      <c r="W622" s="65"/>
    </row>
    <row r="623" spans="1:23" ht="15.75" customHeight="1" x14ac:dyDescent="0.4">
      <c r="A623" s="293"/>
      <c r="B623" s="65"/>
      <c r="C623" s="65"/>
      <c r="J623" s="65"/>
      <c r="K623" s="65"/>
      <c r="L623" s="65"/>
      <c r="M623" s="65"/>
      <c r="N623" s="65"/>
      <c r="O623" s="65"/>
      <c r="P623" s="65"/>
      <c r="Q623" s="65"/>
      <c r="R623" s="65"/>
      <c r="S623" s="65"/>
      <c r="T623" s="65"/>
      <c r="U623" s="65"/>
      <c r="V623" s="65"/>
      <c r="W623" s="65"/>
    </row>
    <row r="624" spans="1:23" ht="15.75" customHeight="1" x14ac:dyDescent="0.4">
      <c r="A624" s="293"/>
      <c r="B624" s="65"/>
      <c r="C624" s="65"/>
      <c r="J624" s="65"/>
      <c r="K624" s="65"/>
      <c r="L624" s="65"/>
      <c r="M624" s="65"/>
      <c r="N624" s="65"/>
      <c r="O624" s="65"/>
      <c r="P624" s="65"/>
      <c r="Q624" s="65"/>
      <c r="R624" s="65"/>
      <c r="S624" s="65"/>
      <c r="T624" s="65"/>
      <c r="U624" s="65"/>
      <c r="V624" s="65"/>
      <c r="W624" s="65"/>
    </row>
    <row r="625" spans="1:23" ht="15.75" customHeight="1" x14ac:dyDescent="0.4">
      <c r="A625" s="293"/>
      <c r="B625" s="65"/>
      <c r="C625" s="65"/>
      <c r="J625" s="65"/>
      <c r="K625" s="65"/>
      <c r="L625" s="65"/>
      <c r="M625" s="65"/>
      <c r="N625" s="65"/>
      <c r="O625" s="65"/>
      <c r="P625" s="65"/>
      <c r="Q625" s="65"/>
      <c r="R625" s="65"/>
      <c r="S625" s="65"/>
      <c r="T625" s="65"/>
      <c r="U625" s="65"/>
      <c r="V625" s="65"/>
      <c r="W625" s="65"/>
    </row>
    <row r="626" spans="1:23" ht="15.75" customHeight="1" x14ac:dyDescent="0.4">
      <c r="A626" s="293"/>
      <c r="B626" s="65"/>
      <c r="C626" s="65"/>
      <c r="J626" s="65"/>
      <c r="K626" s="65"/>
      <c r="L626" s="65"/>
      <c r="M626" s="65"/>
      <c r="N626" s="65"/>
      <c r="O626" s="65"/>
      <c r="P626" s="65"/>
      <c r="Q626" s="65"/>
      <c r="R626" s="65"/>
      <c r="S626" s="65"/>
      <c r="T626" s="65"/>
      <c r="U626" s="65"/>
      <c r="V626" s="65"/>
      <c r="W626" s="65"/>
    </row>
    <row r="627" spans="1:23" ht="15.75" customHeight="1" x14ac:dyDescent="0.4">
      <c r="A627" s="293"/>
      <c r="B627" s="65"/>
      <c r="C627" s="65"/>
      <c r="J627" s="65"/>
      <c r="K627" s="65"/>
      <c r="L627" s="65"/>
      <c r="M627" s="65"/>
      <c r="N627" s="65"/>
      <c r="O627" s="65"/>
      <c r="P627" s="65"/>
      <c r="Q627" s="65"/>
      <c r="R627" s="65"/>
      <c r="S627" s="65"/>
      <c r="T627" s="65"/>
      <c r="U627" s="65"/>
      <c r="V627" s="65"/>
      <c r="W627" s="65"/>
    </row>
    <row r="628" spans="1:23" ht="15.75" customHeight="1" x14ac:dyDescent="0.4">
      <c r="A628" s="293"/>
      <c r="B628" s="65"/>
      <c r="C628" s="65"/>
      <c r="J628" s="65"/>
      <c r="K628" s="65"/>
      <c r="L628" s="65"/>
      <c r="M628" s="65"/>
      <c r="N628" s="65"/>
      <c r="O628" s="65"/>
      <c r="P628" s="65"/>
      <c r="Q628" s="65"/>
      <c r="R628" s="65"/>
      <c r="S628" s="65"/>
      <c r="T628" s="65"/>
      <c r="U628" s="65"/>
      <c r="V628" s="65"/>
      <c r="W628" s="65"/>
    </row>
    <row r="629" spans="1:23" ht="15.75" customHeight="1" x14ac:dyDescent="0.4">
      <c r="A629" s="293"/>
      <c r="B629" s="65"/>
      <c r="C629" s="65"/>
      <c r="J629" s="65"/>
      <c r="K629" s="65"/>
      <c r="L629" s="65"/>
      <c r="M629" s="65"/>
      <c r="N629" s="65"/>
      <c r="O629" s="65"/>
      <c r="P629" s="65"/>
      <c r="Q629" s="65"/>
      <c r="R629" s="65"/>
      <c r="S629" s="65"/>
      <c r="T629" s="65"/>
      <c r="U629" s="65"/>
      <c r="V629" s="65"/>
      <c r="W629" s="65"/>
    </row>
    <row r="630" spans="1:23" ht="15.75" customHeight="1" x14ac:dyDescent="0.4">
      <c r="A630" s="293"/>
      <c r="B630" s="65"/>
      <c r="C630" s="65"/>
      <c r="J630" s="65"/>
      <c r="K630" s="65"/>
      <c r="L630" s="65"/>
      <c r="M630" s="65"/>
      <c r="N630" s="65"/>
      <c r="O630" s="65"/>
      <c r="P630" s="65"/>
      <c r="Q630" s="65"/>
      <c r="R630" s="65"/>
      <c r="S630" s="65"/>
      <c r="T630" s="65"/>
      <c r="U630" s="65"/>
      <c r="V630" s="65"/>
      <c r="W630" s="65"/>
    </row>
    <row r="631" spans="1:23" ht="15.75" customHeight="1" x14ac:dyDescent="0.4">
      <c r="A631" s="293"/>
      <c r="B631" s="65"/>
      <c r="C631" s="65"/>
      <c r="J631" s="65"/>
      <c r="K631" s="65"/>
      <c r="L631" s="65"/>
      <c r="M631" s="65"/>
      <c r="N631" s="65"/>
      <c r="O631" s="65"/>
      <c r="P631" s="65"/>
      <c r="Q631" s="65"/>
      <c r="R631" s="65"/>
      <c r="S631" s="65"/>
      <c r="T631" s="65"/>
      <c r="U631" s="65"/>
      <c r="V631" s="65"/>
      <c r="W631" s="65"/>
    </row>
    <row r="632" spans="1:23" ht="15.75" customHeight="1" x14ac:dyDescent="0.4">
      <c r="A632" s="293"/>
      <c r="B632" s="65"/>
      <c r="C632" s="65"/>
      <c r="J632" s="65"/>
      <c r="K632" s="65"/>
      <c r="L632" s="65"/>
      <c r="M632" s="65"/>
      <c r="N632" s="65"/>
      <c r="O632" s="65"/>
      <c r="P632" s="65"/>
      <c r="Q632" s="65"/>
      <c r="R632" s="65"/>
      <c r="S632" s="65"/>
      <c r="T632" s="65"/>
      <c r="U632" s="65"/>
      <c r="V632" s="65"/>
      <c r="W632" s="65"/>
    </row>
    <row r="633" spans="1:23" ht="15.75" customHeight="1" x14ac:dyDescent="0.4">
      <c r="A633" s="293"/>
      <c r="B633" s="65"/>
      <c r="C633" s="65"/>
      <c r="J633" s="65"/>
      <c r="K633" s="65"/>
      <c r="L633" s="65"/>
      <c r="M633" s="65"/>
      <c r="N633" s="65"/>
      <c r="O633" s="65"/>
      <c r="P633" s="65"/>
      <c r="Q633" s="65"/>
      <c r="R633" s="65"/>
      <c r="S633" s="65"/>
      <c r="T633" s="65"/>
      <c r="U633" s="65"/>
      <c r="V633" s="65"/>
      <c r="W633" s="65"/>
    </row>
    <row r="634" spans="1:23" ht="15.75" customHeight="1" x14ac:dyDescent="0.4">
      <c r="A634" s="293"/>
      <c r="B634" s="65"/>
      <c r="C634" s="65"/>
      <c r="J634" s="65"/>
      <c r="K634" s="65"/>
      <c r="L634" s="65"/>
      <c r="M634" s="65"/>
      <c r="N634" s="65"/>
      <c r="O634" s="65"/>
      <c r="P634" s="65"/>
      <c r="Q634" s="65"/>
      <c r="R634" s="65"/>
      <c r="S634" s="65"/>
      <c r="T634" s="65"/>
      <c r="U634" s="65"/>
      <c r="V634" s="65"/>
      <c r="W634" s="65"/>
    </row>
    <row r="635" spans="1:23" ht="15.75" customHeight="1" x14ac:dyDescent="0.4">
      <c r="A635" s="293"/>
      <c r="B635" s="65"/>
      <c r="C635" s="65"/>
      <c r="J635" s="65"/>
      <c r="K635" s="65"/>
      <c r="L635" s="65"/>
      <c r="M635" s="65"/>
      <c r="N635" s="65"/>
      <c r="O635" s="65"/>
      <c r="P635" s="65"/>
      <c r="Q635" s="65"/>
      <c r="R635" s="65"/>
      <c r="S635" s="65"/>
      <c r="T635" s="65"/>
      <c r="U635" s="65"/>
      <c r="V635" s="65"/>
      <c r="W635" s="65"/>
    </row>
    <row r="636" spans="1:23" ht="15.75" customHeight="1" x14ac:dyDescent="0.4">
      <c r="A636" s="293"/>
      <c r="B636" s="65"/>
      <c r="C636" s="65"/>
      <c r="J636" s="65"/>
      <c r="K636" s="65"/>
      <c r="L636" s="65"/>
      <c r="M636" s="65"/>
      <c r="N636" s="65"/>
      <c r="O636" s="65"/>
      <c r="P636" s="65"/>
      <c r="Q636" s="65"/>
      <c r="R636" s="65"/>
      <c r="S636" s="65"/>
      <c r="T636" s="65"/>
      <c r="U636" s="65"/>
      <c r="V636" s="65"/>
      <c r="W636" s="65"/>
    </row>
    <row r="637" spans="1:23" ht="15.75" customHeight="1" x14ac:dyDescent="0.4">
      <c r="A637" s="293"/>
      <c r="B637" s="65"/>
      <c r="C637" s="65"/>
      <c r="J637" s="65"/>
      <c r="K637" s="65"/>
      <c r="L637" s="65"/>
      <c r="M637" s="65"/>
      <c r="N637" s="65"/>
      <c r="O637" s="65"/>
      <c r="P637" s="65"/>
      <c r="Q637" s="65"/>
      <c r="R637" s="65"/>
      <c r="S637" s="65"/>
      <c r="T637" s="65"/>
      <c r="U637" s="65"/>
      <c r="V637" s="65"/>
      <c r="W637" s="65"/>
    </row>
    <row r="638" spans="1:23" ht="15.75" customHeight="1" x14ac:dyDescent="0.4">
      <c r="A638" s="293"/>
      <c r="B638" s="65"/>
      <c r="C638" s="65"/>
      <c r="J638" s="65"/>
      <c r="K638" s="65"/>
      <c r="L638" s="65"/>
      <c r="M638" s="65"/>
      <c r="N638" s="65"/>
      <c r="O638" s="65"/>
      <c r="P638" s="65"/>
      <c r="Q638" s="65"/>
      <c r="R638" s="65"/>
      <c r="S638" s="65"/>
      <c r="T638" s="65"/>
      <c r="U638" s="65"/>
      <c r="V638" s="65"/>
      <c r="W638" s="65"/>
    </row>
    <row r="639" spans="1:23" ht="15.75" customHeight="1" x14ac:dyDescent="0.4">
      <c r="A639" s="293"/>
      <c r="B639" s="65"/>
      <c r="C639" s="65"/>
      <c r="J639" s="65"/>
      <c r="K639" s="65"/>
      <c r="L639" s="65"/>
      <c r="M639" s="65"/>
      <c r="N639" s="65"/>
      <c r="O639" s="65"/>
      <c r="P639" s="65"/>
      <c r="Q639" s="65"/>
      <c r="R639" s="65"/>
      <c r="S639" s="65"/>
      <c r="T639" s="65"/>
      <c r="U639" s="65"/>
      <c r="V639" s="65"/>
      <c r="W639" s="65"/>
    </row>
    <row r="640" spans="1:23" ht="15.75" customHeight="1" x14ac:dyDescent="0.4">
      <c r="A640" s="293"/>
      <c r="B640" s="65"/>
      <c r="C640" s="65"/>
      <c r="J640" s="65"/>
      <c r="K640" s="65"/>
      <c r="L640" s="65"/>
      <c r="M640" s="65"/>
      <c r="N640" s="65"/>
      <c r="O640" s="65"/>
      <c r="P640" s="65"/>
      <c r="Q640" s="65"/>
      <c r="R640" s="65"/>
      <c r="S640" s="65"/>
      <c r="T640" s="65"/>
      <c r="U640" s="65"/>
      <c r="V640" s="65"/>
      <c r="W640" s="65"/>
    </row>
    <row r="641" spans="1:23" ht="15.75" customHeight="1" x14ac:dyDescent="0.4">
      <c r="A641" s="293"/>
      <c r="B641" s="65"/>
      <c r="C641" s="65"/>
      <c r="J641" s="65"/>
      <c r="K641" s="65"/>
      <c r="L641" s="65"/>
      <c r="M641" s="65"/>
      <c r="N641" s="65"/>
      <c r="O641" s="65"/>
      <c r="P641" s="65"/>
      <c r="Q641" s="65"/>
      <c r="R641" s="65"/>
      <c r="S641" s="65"/>
      <c r="T641" s="65"/>
      <c r="U641" s="65"/>
      <c r="V641" s="65"/>
      <c r="W641" s="65"/>
    </row>
    <row r="642" spans="1:23" ht="15.75" customHeight="1" x14ac:dyDescent="0.4">
      <c r="A642" s="293"/>
      <c r="B642" s="65"/>
      <c r="C642" s="65"/>
      <c r="J642" s="65"/>
      <c r="K642" s="65"/>
      <c r="L642" s="65"/>
      <c r="M642" s="65"/>
      <c r="N642" s="65"/>
      <c r="O642" s="65"/>
      <c r="P642" s="65"/>
      <c r="Q642" s="65"/>
      <c r="R642" s="65"/>
      <c r="S642" s="65"/>
      <c r="T642" s="65"/>
      <c r="U642" s="65"/>
      <c r="V642" s="65"/>
      <c r="W642" s="65"/>
    </row>
    <row r="643" spans="1:23" ht="15.75" customHeight="1" x14ac:dyDescent="0.4">
      <c r="A643" s="293"/>
      <c r="B643" s="65"/>
      <c r="C643" s="65"/>
      <c r="J643" s="65"/>
      <c r="K643" s="65"/>
      <c r="L643" s="65"/>
      <c r="M643" s="65"/>
      <c r="N643" s="65"/>
      <c r="O643" s="65"/>
      <c r="P643" s="65"/>
      <c r="Q643" s="65"/>
      <c r="R643" s="65"/>
      <c r="S643" s="65"/>
      <c r="T643" s="65"/>
      <c r="U643" s="65"/>
      <c r="V643" s="65"/>
      <c r="W643" s="65"/>
    </row>
    <row r="644" spans="1:23" ht="15.75" customHeight="1" x14ac:dyDescent="0.4">
      <c r="A644" s="293"/>
      <c r="B644" s="65"/>
      <c r="C644" s="65"/>
      <c r="J644" s="65"/>
      <c r="K644" s="65"/>
      <c r="L644" s="65"/>
      <c r="M644" s="65"/>
      <c r="N644" s="65"/>
      <c r="O644" s="65"/>
      <c r="P644" s="65"/>
      <c r="Q644" s="65"/>
      <c r="R644" s="65"/>
      <c r="S644" s="65"/>
      <c r="T644" s="65"/>
      <c r="U644" s="65"/>
      <c r="V644" s="65"/>
      <c r="W644" s="65"/>
    </row>
    <row r="645" spans="1:23" ht="15.75" customHeight="1" x14ac:dyDescent="0.4">
      <c r="A645" s="293"/>
      <c r="B645" s="65"/>
      <c r="C645" s="65"/>
      <c r="J645" s="65"/>
      <c r="K645" s="65"/>
      <c r="L645" s="65"/>
      <c r="M645" s="65"/>
      <c r="N645" s="65"/>
      <c r="O645" s="65"/>
      <c r="P645" s="65"/>
      <c r="Q645" s="65"/>
      <c r="R645" s="65"/>
      <c r="S645" s="65"/>
      <c r="T645" s="65"/>
      <c r="U645" s="65"/>
      <c r="V645" s="65"/>
      <c r="W645" s="65"/>
    </row>
    <row r="646" spans="1:23" ht="15.75" customHeight="1" x14ac:dyDescent="0.4">
      <c r="A646" s="293"/>
      <c r="B646" s="65"/>
      <c r="C646" s="65"/>
      <c r="J646" s="65"/>
      <c r="K646" s="65"/>
      <c r="L646" s="65"/>
      <c r="M646" s="65"/>
      <c r="N646" s="65"/>
      <c r="O646" s="65"/>
      <c r="P646" s="65"/>
      <c r="Q646" s="65"/>
      <c r="R646" s="65"/>
      <c r="S646" s="65"/>
      <c r="T646" s="65"/>
      <c r="U646" s="65"/>
      <c r="V646" s="65"/>
      <c r="W646" s="65"/>
    </row>
    <row r="647" spans="1:23" ht="15.75" customHeight="1" x14ac:dyDescent="0.4">
      <c r="A647" s="293"/>
      <c r="B647" s="65"/>
      <c r="C647" s="65"/>
      <c r="J647" s="65"/>
      <c r="K647" s="65"/>
      <c r="L647" s="65"/>
      <c r="M647" s="65"/>
      <c r="N647" s="65"/>
      <c r="O647" s="65"/>
      <c r="P647" s="65"/>
      <c r="Q647" s="65"/>
      <c r="R647" s="65"/>
      <c r="S647" s="65"/>
      <c r="T647" s="65"/>
      <c r="U647" s="65"/>
      <c r="V647" s="65"/>
      <c r="W647" s="65"/>
    </row>
    <row r="648" spans="1:23" ht="15.75" customHeight="1" x14ac:dyDescent="0.4">
      <c r="A648" s="293"/>
      <c r="B648" s="65"/>
      <c r="C648" s="65"/>
      <c r="J648" s="65"/>
      <c r="K648" s="65"/>
      <c r="L648" s="65"/>
      <c r="M648" s="65"/>
      <c r="N648" s="65"/>
      <c r="O648" s="65"/>
      <c r="P648" s="65"/>
      <c r="Q648" s="65"/>
      <c r="R648" s="65"/>
      <c r="S648" s="65"/>
      <c r="T648" s="65"/>
      <c r="U648" s="65"/>
      <c r="V648" s="65"/>
      <c r="W648" s="65"/>
    </row>
    <row r="649" spans="1:23" ht="15.75" customHeight="1" x14ac:dyDescent="0.4">
      <c r="A649" s="293"/>
      <c r="B649" s="65"/>
      <c r="C649" s="65"/>
      <c r="J649" s="65"/>
      <c r="K649" s="65"/>
      <c r="L649" s="65"/>
      <c r="M649" s="65"/>
      <c r="N649" s="65"/>
      <c r="O649" s="65"/>
      <c r="P649" s="65"/>
      <c r="Q649" s="65"/>
      <c r="R649" s="65"/>
      <c r="S649" s="65"/>
      <c r="T649" s="65"/>
      <c r="U649" s="65"/>
      <c r="V649" s="65"/>
      <c r="W649" s="65"/>
    </row>
    <row r="650" spans="1:23" ht="15.75" customHeight="1" x14ac:dyDescent="0.4">
      <c r="A650" s="293"/>
      <c r="B650" s="65"/>
      <c r="C650" s="65"/>
      <c r="J650" s="65"/>
      <c r="K650" s="65"/>
      <c r="L650" s="65"/>
      <c r="M650" s="65"/>
      <c r="N650" s="65"/>
      <c r="O650" s="65"/>
      <c r="P650" s="65"/>
      <c r="Q650" s="65"/>
      <c r="R650" s="65"/>
      <c r="S650" s="65"/>
      <c r="T650" s="65"/>
      <c r="U650" s="65"/>
      <c r="V650" s="65"/>
      <c r="W650" s="65"/>
    </row>
    <row r="651" spans="1:23" ht="15.75" customHeight="1" x14ac:dyDescent="0.4">
      <c r="A651" s="293"/>
      <c r="B651" s="65"/>
      <c r="C651" s="65"/>
      <c r="J651" s="65"/>
      <c r="K651" s="65"/>
      <c r="L651" s="65"/>
      <c r="M651" s="65"/>
      <c r="N651" s="65"/>
      <c r="O651" s="65"/>
      <c r="P651" s="65"/>
      <c r="Q651" s="65"/>
      <c r="R651" s="65"/>
      <c r="S651" s="65"/>
      <c r="T651" s="65"/>
      <c r="U651" s="65"/>
      <c r="V651" s="65"/>
      <c r="W651" s="65"/>
    </row>
    <row r="652" spans="1:23" ht="15.75" customHeight="1" x14ac:dyDescent="0.4">
      <c r="A652" s="293"/>
      <c r="B652" s="65"/>
      <c r="C652" s="65"/>
      <c r="J652" s="65"/>
      <c r="K652" s="65"/>
      <c r="L652" s="65"/>
      <c r="M652" s="65"/>
      <c r="N652" s="65"/>
      <c r="O652" s="65"/>
      <c r="P652" s="65"/>
      <c r="Q652" s="65"/>
      <c r="R652" s="65"/>
      <c r="S652" s="65"/>
      <c r="T652" s="65"/>
      <c r="U652" s="65"/>
      <c r="V652" s="65"/>
      <c r="W652" s="65"/>
    </row>
    <row r="653" spans="1:23" ht="15.75" customHeight="1" x14ac:dyDescent="0.4">
      <c r="A653" s="293"/>
      <c r="B653" s="65"/>
      <c r="C653" s="65"/>
      <c r="J653" s="65"/>
      <c r="K653" s="65"/>
      <c r="L653" s="65"/>
      <c r="M653" s="65"/>
      <c r="N653" s="65"/>
      <c r="O653" s="65"/>
      <c r="P653" s="65"/>
      <c r="Q653" s="65"/>
      <c r="R653" s="65"/>
      <c r="S653" s="65"/>
      <c r="T653" s="65"/>
      <c r="U653" s="65"/>
      <c r="V653" s="65"/>
      <c r="W653" s="65"/>
    </row>
    <row r="654" spans="1:23" ht="15.75" customHeight="1" x14ac:dyDescent="0.4">
      <c r="A654" s="293"/>
      <c r="B654" s="65"/>
      <c r="C654" s="65"/>
      <c r="J654" s="65"/>
      <c r="K654" s="65"/>
      <c r="L654" s="65"/>
      <c r="M654" s="65"/>
      <c r="N654" s="65"/>
      <c r="O654" s="65"/>
      <c r="P654" s="65"/>
      <c r="Q654" s="65"/>
      <c r="R654" s="65"/>
      <c r="S654" s="65"/>
      <c r="T654" s="65"/>
      <c r="U654" s="65"/>
      <c r="V654" s="65"/>
      <c r="W654" s="65"/>
    </row>
    <row r="655" spans="1:23" ht="15.75" customHeight="1" x14ac:dyDescent="0.4">
      <c r="A655" s="293"/>
      <c r="B655" s="65"/>
      <c r="C655" s="65"/>
      <c r="J655" s="65"/>
      <c r="K655" s="65"/>
      <c r="L655" s="65"/>
      <c r="M655" s="65"/>
      <c r="N655" s="65"/>
      <c r="O655" s="65"/>
      <c r="P655" s="65"/>
      <c r="Q655" s="65"/>
      <c r="R655" s="65"/>
      <c r="S655" s="65"/>
      <c r="T655" s="65"/>
      <c r="U655" s="65"/>
      <c r="V655" s="65"/>
      <c r="W655" s="65"/>
    </row>
    <row r="656" spans="1:23" ht="15.75" customHeight="1" x14ac:dyDescent="0.4">
      <c r="A656" s="293"/>
      <c r="B656" s="65"/>
      <c r="C656" s="65"/>
      <c r="J656" s="65"/>
      <c r="K656" s="65"/>
      <c r="L656" s="65"/>
      <c r="M656" s="65"/>
      <c r="N656" s="65"/>
      <c r="O656" s="65"/>
      <c r="P656" s="65"/>
      <c r="Q656" s="65"/>
      <c r="R656" s="65"/>
      <c r="S656" s="65"/>
      <c r="T656" s="65"/>
      <c r="U656" s="65"/>
      <c r="V656" s="65"/>
      <c r="W656" s="65"/>
    </row>
    <row r="657" spans="1:23" ht="15.75" customHeight="1" x14ac:dyDescent="0.4">
      <c r="A657" s="293"/>
      <c r="B657" s="65"/>
      <c r="C657" s="65"/>
      <c r="J657" s="65"/>
      <c r="K657" s="65"/>
      <c r="L657" s="65"/>
      <c r="M657" s="65"/>
      <c r="N657" s="65"/>
      <c r="O657" s="65"/>
      <c r="P657" s="65"/>
      <c r="Q657" s="65"/>
      <c r="R657" s="65"/>
      <c r="S657" s="65"/>
      <c r="T657" s="65"/>
      <c r="U657" s="65"/>
      <c r="V657" s="65"/>
      <c r="W657" s="65"/>
    </row>
    <row r="658" spans="1:23" ht="15.75" customHeight="1" x14ac:dyDescent="0.4">
      <c r="A658" s="293"/>
      <c r="B658" s="65"/>
      <c r="C658" s="65"/>
      <c r="J658" s="65"/>
      <c r="K658" s="65"/>
      <c r="L658" s="65"/>
      <c r="M658" s="65"/>
      <c r="N658" s="65"/>
      <c r="O658" s="65"/>
      <c r="P658" s="65"/>
      <c r="Q658" s="65"/>
      <c r="R658" s="65"/>
      <c r="S658" s="65"/>
      <c r="T658" s="65"/>
      <c r="U658" s="65"/>
      <c r="V658" s="65"/>
      <c r="W658" s="65"/>
    </row>
    <row r="659" spans="1:23" ht="15.75" customHeight="1" x14ac:dyDescent="0.4">
      <c r="A659" s="293"/>
      <c r="B659" s="65"/>
      <c r="C659" s="65"/>
      <c r="J659" s="65"/>
      <c r="K659" s="65"/>
      <c r="L659" s="65"/>
      <c r="M659" s="65"/>
      <c r="N659" s="65"/>
      <c r="O659" s="65"/>
      <c r="P659" s="65"/>
      <c r="Q659" s="65"/>
      <c r="R659" s="65"/>
      <c r="S659" s="65"/>
      <c r="T659" s="65"/>
      <c r="U659" s="65"/>
      <c r="V659" s="65"/>
      <c r="W659" s="65"/>
    </row>
    <row r="660" spans="1:23" ht="15.75" customHeight="1" x14ac:dyDescent="0.4">
      <c r="A660" s="293"/>
      <c r="B660" s="65"/>
      <c r="C660" s="65"/>
      <c r="J660" s="65"/>
      <c r="K660" s="65"/>
      <c r="L660" s="65"/>
      <c r="M660" s="65"/>
      <c r="N660" s="65"/>
      <c r="O660" s="65"/>
      <c r="P660" s="65"/>
      <c r="Q660" s="65"/>
      <c r="R660" s="65"/>
      <c r="S660" s="65"/>
      <c r="T660" s="65"/>
      <c r="U660" s="65"/>
      <c r="V660" s="65"/>
      <c r="W660" s="65"/>
    </row>
    <row r="661" spans="1:23" ht="15.75" customHeight="1" x14ac:dyDescent="0.4">
      <c r="A661" s="293"/>
      <c r="B661" s="65"/>
      <c r="C661" s="65"/>
      <c r="J661" s="65"/>
      <c r="K661" s="65"/>
      <c r="L661" s="65"/>
      <c r="M661" s="65"/>
      <c r="N661" s="65"/>
      <c r="O661" s="65"/>
      <c r="P661" s="65"/>
      <c r="Q661" s="65"/>
      <c r="R661" s="65"/>
      <c r="S661" s="65"/>
      <c r="T661" s="65"/>
      <c r="U661" s="65"/>
      <c r="V661" s="65"/>
      <c r="W661" s="65"/>
    </row>
    <row r="662" spans="1:23" ht="15.75" customHeight="1" x14ac:dyDescent="0.4">
      <c r="A662" s="293"/>
      <c r="B662" s="65"/>
      <c r="C662" s="65"/>
      <c r="J662" s="65"/>
      <c r="K662" s="65"/>
      <c r="L662" s="65"/>
      <c r="M662" s="65"/>
      <c r="N662" s="65"/>
      <c r="O662" s="65"/>
      <c r="P662" s="65"/>
      <c r="Q662" s="65"/>
      <c r="R662" s="65"/>
      <c r="S662" s="65"/>
      <c r="T662" s="65"/>
      <c r="U662" s="65"/>
      <c r="V662" s="65"/>
      <c r="W662" s="65"/>
    </row>
    <row r="663" spans="1:23" ht="15.75" customHeight="1" x14ac:dyDescent="0.4">
      <c r="A663" s="293"/>
      <c r="B663" s="65"/>
      <c r="C663" s="65"/>
      <c r="J663" s="65"/>
      <c r="K663" s="65"/>
      <c r="L663" s="65"/>
      <c r="M663" s="65"/>
      <c r="N663" s="65"/>
      <c r="O663" s="65"/>
      <c r="P663" s="65"/>
      <c r="Q663" s="65"/>
      <c r="R663" s="65"/>
      <c r="S663" s="65"/>
      <c r="T663" s="65"/>
      <c r="U663" s="65"/>
      <c r="V663" s="65"/>
      <c r="W663" s="65"/>
    </row>
    <row r="664" spans="1:23" ht="15.75" customHeight="1" x14ac:dyDescent="0.4">
      <c r="A664" s="293"/>
      <c r="B664" s="65"/>
      <c r="C664" s="65"/>
      <c r="J664" s="65"/>
      <c r="K664" s="65"/>
      <c r="L664" s="65"/>
      <c r="M664" s="65"/>
      <c r="N664" s="65"/>
      <c r="O664" s="65"/>
      <c r="P664" s="65"/>
      <c r="Q664" s="65"/>
      <c r="R664" s="65"/>
      <c r="S664" s="65"/>
      <c r="T664" s="65"/>
      <c r="U664" s="65"/>
      <c r="V664" s="65"/>
      <c r="W664" s="65"/>
    </row>
    <row r="665" spans="1:23" ht="15.75" customHeight="1" x14ac:dyDescent="0.4">
      <c r="A665" s="293"/>
      <c r="B665" s="65"/>
      <c r="C665" s="65"/>
      <c r="J665" s="65"/>
      <c r="K665" s="65"/>
      <c r="L665" s="65"/>
      <c r="M665" s="65"/>
      <c r="N665" s="65"/>
      <c r="O665" s="65"/>
      <c r="P665" s="65"/>
      <c r="Q665" s="65"/>
      <c r="R665" s="65"/>
      <c r="S665" s="65"/>
      <c r="T665" s="65"/>
      <c r="U665" s="65"/>
      <c r="V665" s="65"/>
      <c r="W665" s="65"/>
    </row>
    <row r="666" spans="1:23" ht="15.75" customHeight="1" x14ac:dyDescent="0.4">
      <c r="A666" s="293"/>
      <c r="B666" s="65"/>
      <c r="C666" s="65"/>
      <c r="J666" s="65"/>
      <c r="K666" s="65"/>
      <c r="L666" s="65"/>
      <c r="M666" s="65"/>
      <c r="N666" s="65"/>
      <c r="O666" s="65"/>
      <c r="P666" s="65"/>
      <c r="Q666" s="65"/>
      <c r="R666" s="65"/>
      <c r="S666" s="65"/>
      <c r="T666" s="65"/>
      <c r="U666" s="65"/>
      <c r="V666" s="65"/>
      <c r="W666" s="65"/>
    </row>
    <row r="667" spans="1:23" ht="15.75" customHeight="1" x14ac:dyDescent="0.4">
      <c r="A667" s="293"/>
      <c r="B667" s="65"/>
      <c r="C667" s="65"/>
      <c r="J667" s="65"/>
      <c r="K667" s="65"/>
      <c r="L667" s="65"/>
      <c r="M667" s="65"/>
      <c r="N667" s="65"/>
      <c r="O667" s="65"/>
      <c r="P667" s="65"/>
      <c r="Q667" s="65"/>
      <c r="R667" s="65"/>
      <c r="S667" s="65"/>
      <c r="T667" s="65"/>
      <c r="U667" s="65"/>
      <c r="V667" s="65"/>
      <c r="W667" s="65"/>
    </row>
    <row r="668" spans="1:23" ht="15.75" customHeight="1" x14ac:dyDescent="0.4">
      <c r="A668" s="293"/>
      <c r="B668" s="65"/>
      <c r="C668" s="65"/>
      <c r="J668" s="65"/>
      <c r="K668" s="65"/>
      <c r="L668" s="65"/>
      <c r="M668" s="65"/>
      <c r="N668" s="65"/>
      <c r="O668" s="65"/>
      <c r="P668" s="65"/>
      <c r="Q668" s="65"/>
      <c r="R668" s="65"/>
      <c r="S668" s="65"/>
      <c r="T668" s="65"/>
      <c r="U668" s="65"/>
      <c r="V668" s="65"/>
      <c r="W668" s="65"/>
    </row>
    <row r="669" spans="1:23" ht="15.75" customHeight="1" x14ac:dyDescent="0.4">
      <c r="A669" s="293"/>
      <c r="B669" s="65"/>
      <c r="C669" s="65"/>
      <c r="J669" s="65"/>
      <c r="K669" s="65"/>
      <c r="L669" s="65"/>
      <c r="M669" s="65"/>
      <c r="N669" s="65"/>
      <c r="O669" s="65"/>
      <c r="P669" s="65"/>
      <c r="Q669" s="65"/>
      <c r="R669" s="65"/>
      <c r="S669" s="65"/>
      <c r="T669" s="65"/>
      <c r="U669" s="65"/>
      <c r="V669" s="65"/>
      <c r="W669" s="65"/>
    </row>
    <row r="670" spans="1:23" ht="15.75" customHeight="1" x14ac:dyDescent="0.4">
      <c r="A670" s="293"/>
      <c r="B670" s="65"/>
      <c r="C670" s="65"/>
      <c r="J670" s="65"/>
      <c r="K670" s="65"/>
      <c r="L670" s="65"/>
      <c r="M670" s="65"/>
      <c r="N670" s="65"/>
      <c r="O670" s="65"/>
      <c r="P670" s="65"/>
      <c r="Q670" s="65"/>
      <c r="R670" s="65"/>
      <c r="S670" s="65"/>
      <c r="T670" s="65"/>
      <c r="U670" s="65"/>
      <c r="V670" s="65"/>
      <c r="W670" s="65"/>
    </row>
    <row r="671" spans="1:23" ht="15.75" customHeight="1" x14ac:dyDescent="0.4">
      <c r="A671" s="293"/>
      <c r="B671" s="65"/>
      <c r="C671" s="65"/>
      <c r="J671" s="65"/>
      <c r="K671" s="65"/>
      <c r="L671" s="65"/>
      <c r="M671" s="65"/>
      <c r="N671" s="65"/>
      <c r="O671" s="65"/>
      <c r="P671" s="65"/>
      <c r="Q671" s="65"/>
      <c r="R671" s="65"/>
      <c r="S671" s="65"/>
      <c r="T671" s="65"/>
      <c r="U671" s="65"/>
      <c r="V671" s="65"/>
      <c r="W671" s="65"/>
    </row>
    <row r="672" spans="1:23" ht="15.75" customHeight="1" x14ac:dyDescent="0.4">
      <c r="A672" s="293"/>
      <c r="B672" s="65"/>
      <c r="C672" s="65"/>
      <c r="J672" s="65"/>
      <c r="K672" s="65"/>
      <c r="L672" s="65"/>
      <c r="M672" s="65"/>
      <c r="N672" s="65"/>
      <c r="O672" s="65"/>
      <c r="P672" s="65"/>
      <c r="Q672" s="65"/>
      <c r="R672" s="65"/>
      <c r="S672" s="65"/>
      <c r="T672" s="65"/>
      <c r="U672" s="65"/>
      <c r="V672" s="65"/>
      <c r="W672" s="65"/>
    </row>
    <row r="673" spans="1:23" ht="15.75" customHeight="1" x14ac:dyDescent="0.4">
      <c r="A673" s="293"/>
      <c r="B673" s="65"/>
      <c r="C673" s="65"/>
      <c r="J673" s="65"/>
      <c r="K673" s="65"/>
      <c r="L673" s="65"/>
      <c r="M673" s="65"/>
      <c r="N673" s="65"/>
      <c r="O673" s="65"/>
      <c r="P673" s="65"/>
      <c r="Q673" s="65"/>
      <c r="R673" s="65"/>
      <c r="S673" s="65"/>
      <c r="T673" s="65"/>
      <c r="U673" s="65"/>
      <c r="V673" s="65"/>
      <c r="W673" s="65"/>
    </row>
    <row r="674" spans="1:23" ht="15.75" customHeight="1" x14ac:dyDescent="0.4">
      <c r="A674" s="293"/>
      <c r="B674" s="65"/>
      <c r="C674" s="65"/>
      <c r="J674" s="65"/>
      <c r="K674" s="65"/>
      <c r="L674" s="65"/>
      <c r="M674" s="65"/>
      <c r="N674" s="65"/>
      <c r="O674" s="65"/>
      <c r="P674" s="65"/>
      <c r="Q674" s="65"/>
      <c r="R674" s="65"/>
      <c r="S674" s="65"/>
      <c r="T674" s="65"/>
      <c r="U674" s="65"/>
      <c r="V674" s="65"/>
      <c r="W674" s="65"/>
    </row>
    <row r="675" spans="1:23" ht="15.75" customHeight="1" x14ac:dyDescent="0.4">
      <c r="A675" s="293"/>
      <c r="B675" s="65"/>
      <c r="C675" s="65"/>
      <c r="J675" s="65"/>
      <c r="K675" s="65"/>
      <c r="L675" s="65"/>
      <c r="M675" s="65"/>
      <c r="N675" s="65"/>
      <c r="O675" s="65"/>
      <c r="P675" s="65"/>
      <c r="Q675" s="65"/>
      <c r="R675" s="65"/>
      <c r="S675" s="65"/>
      <c r="T675" s="65"/>
      <c r="U675" s="65"/>
      <c r="V675" s="65"/>
      <c r="W675" s="65"/>
    </row>
    <row r="676" spans="1:23" ht="15.75" customHeight="1" x14ac:dyDescent="0.4">
      <c r="A676" s="293"/>
      <c r="B676" s="65"/>
      <c r="C676" s="65"/>
      <c r="J676" s="65"/>
      <c r="K676" s="65"/>
      <c r="L676" s="65"/>
      <c r="M676" s="65"/>
      <c r="N676" s="65"/>
      <c r="O676" s="65"/>
      <c r="P676" s="65"/>
      <c r="Q676" s="65"/>
      <c r="R676" s="65"/>
      <c r="S676" s="65"/>
      <c r="T676" s="65"/>
      <c r="U676" s="65"/>
      <c r="V676" s="65"/>
      <c r="W676" s="65"/>
    </row>
    <row r="677" spans="1:23" ht="15.75" customHeight="1" x14ac:dyDescent="0.4">
      <c r="A677" s="293"/>
      <c r="B677" s="65"/>
      <c r="C677" s="65"/>
      <c r="J677" s="65"/>
      <c r="K677" s="65"/>
      <c r="L677" s="65"/>
      <c r="M677" s="65"/>
      <c r="N677" s="65"/>
      <c r="O677" s="65"/>
      <c r="P677" s="65"/>
      <c r="Q677" s="65"/>
      <c r="R677" s="65"/>
      <c r="S677" s="65"/>
      <c r="T677" s="65"/>
      <c r="U677" s="65"/>
      <c r="V677" s="65"/>
      <c r="W677" s="65"/>
    </row>
    <row r="678" spans="1:23" ht="15.75" customHeight="1" x14ac:dyDescent="0.4">
      <c r="A678" s="293"/>
      <c r="B678" s="65"/>
      <c r="C678" s="65"/>
      <c r="J678" s="65"/>
      <c r="K678" s="65"/>
      <c r="L678" s="65"/>
      <c r="M678" s="65"/>
      <c r="N678" s="65"/>
      <c r="O678" s="65"/>
      <c r="P678" s="65"/>
      <c r="Q678" s="65"/>
      <c r="R678" s="65"/>
      <c r="S678" s="65"/>
      <c r="T678" s="65"/>
      <c r="U678" s="65"/>
      <c r="V678" s="65"/>
      <c r="W678" s="65"/>
    </row>
    <row r="679" spans="1:23" ht="15.75" customHeight="1" x14ac:dyDescent="0.4">
      <c r="A679" s="293"/>
      <c r="B679" s="65"/>
      <c r="C679" s="65"/>
      <c r="J679" s="65"/>
      <c r="K679" s="65"/>
      <c r="L679" s="65"/>
      <c r="M679" s="65"/>
      <c r="N679" s="65"/>
      <c r="O679" s="65"/>
      <c r="P679" s="65"/>
      <c r="Q679" s="65"/>
      <c r="R679" s="65"/>
      <c r="S679" s="65"/>
      <c r="T679" s="65"/>
      <c r="U679" s="65"/>
      <c r="V679" s="65"/>
      <c r="W679" s="65"/>
    </row>
    <row r="680" spans="1:23" ht="15.75" customHeight="1" x14ac:dyDescent="0.4">
      <c r="A680" s="293"/>
      <c r="B680" s="65"/>
      <c r="C680" s="65"/>
      <c r="J680" s="65"/>
      <c r="K680" s="65"/>
      <c r="L680" s="65"/>
      <c r="M680" s="65"/>
      <c r="N680" s="65"/>
      <c r="O680" s="65"/>
      <c r="P680" s="65"/>
      <c r="Q680" s="65"/>
      <c r="R680" s="65"/>
      <c r="S680" s="65"/>
      <c r="T680" s="65"/>
      <c r="U680" s="65"/>
      <c r="V680" s="65"/>
      <c r="W680" s="65"/>
    </row>
    <row r="681" spans="1:23" ht="15.75" customHeight="1" x14ac:dyDescent="0.4">
      <c r="A681" s="293"/>
      <c r="B681" s="65"/>
      <c r="C681" s="65"/>
      <c r="J681" s="65"/>
      <c r="K681" s="65"/>
      <c r="L681" s="65"/>
      <c r="M681" s="65"/>
      <c r="N681" s="65"/>
      <c r="O681" s="65"/>
      <c r="P681" s="65"/>
      <c r="Q681" s="65"/>
      <c r="R681" s="65"/>
      <c r="S681" s="65"/>
      <c r="T681" s="65"/>
      <c r="U681" s="65"/>
      <c r="V681" s="65"/>
      <c r="W681" s="65"/>
    </row>
    <row r="682" spans="1:23" ht="15.75" customHeight="1" x14ac:dyDescent="0.4">
      <c r="A682" s="293"/>
      <c r="B682" s="65"/>
      <c r="C682" s="65"/>
      <c r="J682" s="65"/>
      <c r="K682" s="65"/>
      <c r="L682" s="65"/>
      <c r="M682" s="65"/>
      <c r="N682" s="65"/>
      <c r="O682" s="65"/>
      <c r="P682" s="65"/>
      <c r="Q682" s="65"/>
      <c r="R682" s="65"/>
      <c r="S682" s="65"/>
      <c r="T682" s="65"/>
      <c r="U682" s="65"/>
      <c r="V682" s="65"/>
      <c r="W682" s="65"/>
    </row>
    <row r="683" spans="1:23" ht="15.75" customHeight="1" x14ac:dyDescent="0.4">
      <c r="A683" s="293"/>
      <c r="B683" s="65"/>
      <c r="C683" s="65"/>
      <c r="J683" s="65"/>
      <c r="K683" s="65"/>
      <c r="L683" s="65"/>
      <c r="M683" s="65"/>
      <c r="N683" s="65"/>
      <c r="O683" s="65"/>
      <c r="P683" s="65"/>
      <c r="Q683" s="65"/>
      <c r="R683" s="65"/>
      <c r="S683" s="65"/>
      <c r="T683" s="65"/>
      <c r="U683" s="65"/>
      <c r="V683" s="65"/>
      <c r="W683" s="65"/>
    </row>
    <row r="684" spans="1:23" ht="15.75" customHeight="1" x14ac:dyDescent="0.4">
      <c r="A684" s="293"/>
      <c r="B684" s="65"/>
      <c r="C684" s="65"/>
      <c r="J684" s="65"/>
      <c r="K684" s="65"/>
      <c r="L684" s="65"/>
      <c r="M684" s="65"/>
      <c r="N684" s="65"/>
      <c r="O684" s="65"/>
      <c r="P684" s="65"/>
      <c r="Q684" s="65"/>
      <c r="R684" s="65"/>
      <c r="S684" s="65"/>
      <c r="T684" s="65"/>
      <c r="U684" s="65"/>
      <c r="V684" s="65"/>
      <c r="W684" s="65"/>
    </row>
    <row r="685" spans="1:23" ht="15.75" customHeight="1" x14ac:dyDescent="0.4">
      <c r="A685" s="293"/>
      <c r="B685" s="65"/>
      <c r="C685" s="65"/>
      <c r="J685" s="65"/>
      <c r="K685" s="65"/>
      <c r="L685" s="65"/>
      <c r="M685" s="65"/>
      <c r="N685" s="65"/>
      <c r="O685" s="65"/>
      <c r="P685" s="65"/>
      <c r="Q685" s="65"/>
      <c r="R685" s="65"/>
      <c r="S685" s="65"/>
      <c r="T685" s="65"/>
      <c r="U685" s="65"/>
      <c r="V685" s="65"/>
      <c r="W685" s="65"/>
    </row>
    <row r="686" spans="1:23" ht="15.75" customHeight="1" x14ac:dyDescent="0.4">
      <c r="A686" s="293"/>
      <c r="B686" s="65"/>
      <c r="C686" s="65"/>
      <c r="J686" s="65"/>
      <c r="K686" s="65"/>
      <c r="L686" s="65"/>
      <c r="M686" s="65"/>
      <c r="N686" s="65"/>
      <c r="O686" s="65"/>
      <c r="P686" s="65"/>
      <c r="Q686" s="65"/>
      <c r="R686" s="65"/>
      <c r="S686" s="65"/>
      <c r="T686" s="65"/>
      <c r="U686" s="65"/>
      <c r="V686" s="65"/>
      <c r="W686" s="65"/>
    </row>
    <row r="687" spans="1:23" ht="15.75" customHeight="1" x14ac:dyDescent="0.4">
      <c r="A687" s="293"/>
      <c r="B687" s="65"/>
      <c r="C687" s="65"/>
      <c r="J687" s="65"/>
      <c r="K687" s="65"/>
      <c r="L687" s="65"/>
      <c r="M687" s="65"/>
      <c r="N687" s="65"/>
      <c r="O687" s="65"/>
      <c r="P687" s="65"/>
      <c r="Q687" s="65"/>
      <c r="R687" s="65"/>
      <c r="S687" s="65"/>
      <c r="T687" s="65"/>
      <c r="U687" s="65"/>
      <c r="V687" s="65"/>
      <c r="W687" s="65"/>
    </row>
    <row r="688" spans="1:23" ht="15.75" customHeight="1" x14ac:dyDescent="0.4">
      <c r="A688" s="293"/>
      <c r="B688" s="65"/>
      <c r="C688" s="65"/>
      <c r="J688" s="65"/>
      <c r="K688" s="65"/>
      <c r="L688" s="65"/>
      <c r="M688" s="65"/>
      <c r="N688" s="65"/>
      <c r="O688" s="65"/>
      <c r="P688" s="65"/>
      <c r="Q688" s="65"/>
      <c r="R688" s="65"/>
      <c r="S688" s="65"/>
      <c r="T688" s="65"/>
      <c r="U688" s="65"/>
      <c r="V688" s="65"/>
      <c r="W688" s="65"/>
    </row>
    <row r="689" spans="1:23" ht="15.75" customHeight="1" x14ac:dyDescent="0.4">
      <c r="A689" s="293"/>
      <c r="B689" s="65"/>
      <c r="C689" s="65"/>
      <c r="J689" s="65"/>
      <c r="K689" s="65"/>
      <c r="L689" s="65"/>
      <c r="M689" s="65"/>
      <c r="N689" s="65"/>
      <c r="O689" s="65"/>
      <c r="P689" s="65"/>
      <c r="Q689" s="65"/>
      <c r="R689" s="65"/>
      <c r="S689" s="65"/>
      <c r="T689" s="65"/>
      <c r="U689" s="65"/>
      <c r="V689" s="65"/>
      <c r="W689" s="65"/>
    </row>
    <row r="690" spans="1:23" ht="15.75" customHeight="1" x14ac:dyDescent="0.4">
      <c r="A690" s="293"/>
      <c r="B690" s="65"/>
      <c r="C690" s="65"/>
      <c r="J690" s="65"/>
      <c r="K690" s="65"/>
      <c r="L690" s="65"/>
      <c r="M690" s="65"/>
      <c r="N690" s="65"/>
      <c r="O690" s="65"/>
      <c r="P690" s="65"/>
      <c r="Q690" s="65"/>
      <c r="R690" s="65"/>
      <c r="S690" s="65"/>
      <c r="T690" s="65"/>
      <c r="U690" s="65"/>
      <c r="V690" s="65"/>
      <c r="W690" s="65"/>
    </row>
    <row r="691" spans="1:23" ht="15.75" customHeight="1" x14ac:dyDescent="0.4">
      <c r="A691" s="293"/>
      <c r="B691" s="65"/>
      <c r="C691" s="65"/>
      <c r="J691" s="65"/>
      <c r="K691" s="65"/>
      <c r="L691" s="65"/>
      <c r="M691" s="65"/>
      <c r="N691" s="65"/>
      <c r="O691" s="65"/>
      <c r="P691" s="65"/>
      <c r="Q691" s="65"/>
      <c r="R691" s="65"/>
      <c r="S691" s="65"/>
      <c r="T691" s="65"/>
      <c r="U691" s="65"/>
      <c r="V691" s="65"/>
      <c r="W691" s="65"/>
    </row>
    <row r="692" spans="1:23" ht="15.75" customHeight="1" x14ac:dyDescent="0.4">
      <c r="A692" s="293"/>
      <c r="B692" s="65"/>
      <c r="C692" s="65"/>
      <c r="J692" s="65"/>
      <c r="K692" s="65"/>
      <c r="L692" s="65"/>
      <c r="M692" s="65"/>
      <c r="N692" s="65"/>
      <c r="O692" s="65"/>
      <c r="P692" s="65"/>
      <c r="Q692" s="65"/>
      <c r="R692" s="65"/>
      <c r="S692" s="65"/>
      <c r="T692" s="65"/>
      <c r="U692" s="65"/>
      <c r="V692" s="65"/>
      <c r="W692" s="65"/>
    </row>
    <row r="693" spans="1:23" ht="15.75" customHeight="1" x14ac:dyDescent="0.4">
      <c r="A693" s="293"/>
      <c r="B693" s="65"/>
      <c r="C693" s="65"/>
      <c r="J693" s="65"/>
      <c r="K693" s="65"/>
      <c r="L693" s="65"/>
      <c r="M693" s="65"/>
      <c r="N693" s="65"/>
      <c r="O693" s="65"/>
      <c r="P693" s="65"/>
      <c r="Q693" s="65"/>
      <c r="R693" s="65"/>
      <c r="S693" s="65"/>
      <c r="T693" s="65"/>
      <c r="U693" s="65"/>
      <c r="V693" s="65"/>
      <c r="W693" s="65"/>
    </row>
    <row r="694" spans="1:23" ht="15.75" customHeight="1" x14ac:dyDescent="0.4">
      <c r="A694" s="293"/>
      <c r="B694" s="65"/>
      <c r="C694" s="65"/>
      <c r="J694" s="65"/>
      <c r="K694" s="65"/>
      <c r="L694" s="65"/>
      <c r="M694" s="65"/>
      <c r="N694" s="65"/>
      <c r="O694" s="65"/>
      <c r="P694" s="65"/>
      <c r="Q694" s="65"/>
      <c r="R694" s="65"/>
      <c r="S694" s="65"/>
      <c r="T694" s="65"/>
      <c r="U694" s="65"/>
      <c r="V694" s="65"/>
      <c r="W694" s="65"/>
    </row>
    <row r="695" spans="1:23" ht="15.75" customHeight="1" x14ac:dyDescent="0.4">
      <c r="A695" s="293"/>
      <c r="B695" s="65"/>
      <c r="C695" s="65"/>
      <c r="J695" s="65"/>
      <c r="K695" s="65"/>
      <c r="L695" s="65"/>
      <c r="M695" s="65"/>
      <c r="N695" s="65"/>
      <c r="O695" s="65"/>
      <c r="P695" s="65"/>
      <c r="Q695" s="65"/>
      <c r="R695" s="65"/>
      <c r="S695" s="65"/>
      <c r="T695" s="65"/>
      <c r="U695" s="65"/>
      <c r="V695" s="65"/>
      <c r="W695" s="65"/>
    </row>
    <row r="696" spans="1:23" ht="15.75" customHeight="1" x14ac:dyDescent="0.4">
      <c r="A696" s="293"/>
      <c r="B696" s="65"/>
      <c r="C696" s="65"/>
      <c r="J696" s="65"/>
      <c r="K696" s="65"/>
      <c r="L696" s="65"/>
      <c r="M696" s="65"/>
      <c r="N696" s="65"/>
      <c r="O696" s="65"/>
      <c r="P696" s="65"/>
      <c r="Q696" s="65"/>
      <c r="R696" s="65"/>
      <c r="S696" s="65"/>
      <c r="T696" s="65"/>
      <c r="U696" s="65"/>
      <c r="V696" s="65"/>
      <c r="W696" s="65"/>
    </row>
    <row r="697" spans="1:23" ht="15.75" customHeight="1" x14ac:dyDescent="0.4">
      <c r="A697" s="293"/>
      <c r="B697" s="65"/>
      <c r="C697" s="65"/>
      <c r="J697" s="65"/>
      <c r="K697" s="65"/>
      <c r="L697" s="65"/>
      <c r="M697" s="65"/>
      <c r="N697" s="65"/>
      <c r="O697" s="65"/>
      <c r="P697" s="65"/>
      <c r="Q697" s="65"/>
      <c r="R697" s="65"/>
      <c r="S697" s="65"/>
      <c r="T697" s="65"/>
      <c r="U697" s="65"/>
      <c r="V697" s="65"/>
      <c r="W697" s="65"/>
    </row>
    <row r="698" spans="1:23" ht="15.75" customHeight="1" x14ac:dyDescent="0.4">
      <c r="A698" s="293"/>
      <c r="B698" s="65"/>
      <c r="C698" s="65"/>
      <c r="J698" s="65"/>
      <c r="K698" s="65"/>
      <c r="L698" s="65"/>
      <c r="M698" s="65"/>
      <c r="N698" s="65"/>
      <c r="O698" s="65"/>
      <c r="P698" s="65"/>
      <c r="Q698" s="65"/>
      <c r="R698" s="65"/>
      <c r="S698" s="65"/>
      <c r="T698" s="65"/>
      <c r="U698" s="65"/>
      <c r="V698" s="65"/>
      <c r="W698" s="65"/>
    </row>
    <row r="699" spans="1:23" ht="15.75" customHeight="1" x14ac:dyDescent="0.4">
      <c r="A699" s="293"/>
      <c r="B699" s="65"/>
      <c r="C699" s="65"/>
      <c r="J699" s="65"/>
      <c r="K699" s="65"/>
      <c r="L699" s="65"/>
      <c r="M699" s="65"/>
      <c r="N699" s="65"/>
      <c r="O699" s="65"/>
      <c r="P699" s="65"/>
      <c r="Q699" s="65"/>
      <c r="R699" s="65"/>
      <c r="S699" s="65"/>
      <c r="T699" s="65"/>
      <c r="U699" s="65"/>
      <c r="V699" s="65"/>
      <c r="W699" s="65"/>
    </row>
    <row r="700" spans="1:23" ht="15.75" customHeight="1" x14ac:dyDescent="0.4">
      <c r="A700" s="293"/>
      <c r="B700" s="65"/>
      <c r="C700" s="65"/>
      <c r="J700" s="65"/>
      <c r="K700" s="65"/>
      <c r="L700" s="65"/>
      <c r="M700" s="65"/>
      <c r="N700" s="65"/>
      <c r="O700" s="65"/>
      <c r="P700" s="65"/>
      <c r="Q700" s="65"/>
      <c r="R700" s="65"/>
      <c r="S700" s="65"/>
      <c r="T700" s="65"/>
      <c r="U700" s="65"/>
      <c r="V700" s="65"/>
      <c r="W700" s="65"/>
    </row>
    <row r="701" spans="1:23" ht="15.75" customHeight="1" x14ac:dyDescent="0.4">
      <c r="A701" s="293"/>
      <c r="B701" s="65"/>
      <c r="C701" s="65"/>
      <c r="J701" s="65"/>
      <c r="K701" s="65"/>
      <c r="L701" s="65"/>
      <c r="M701" s="65"/>
      <c r="N701" s="65"/>
      <c r="O701" s="65"/>
      <c r="P701" s="65"/>
      <c r="Q701" s="65"/>
      <c r="R701" s="65"/>
      <c r="S701" s="65"/>
      <c r="T701" s="65"/>
      <c r="U701" s="65"/>
      <c r="V701" s="65"/>
      <c r="W701" s="65"/>
    </row>
    <row r="702" spans="1:23" ht="15.75" customHeight="1" x14ac:dyDescent="0.4">
      <c r="A702" s="293"/>
      <c r="B702" s="65"/>
      <c r="C702" s="65"/>
      <c r="J702" s="65"/>
      <c r="K702" s="65"/>
      <c r="L702" s="65"/>
      <c r="M702" s="65"/>
      <c r="N702" s="65"/>
      <c r="O702" s="65"/>
      <c r="P702" s="65"/>
      <c r="Q702" s="65"/>
      <c r="R702" s="65"/>
      <c r="S702" s="65"/>
      <c r="T702" s="65"/>
      <c r="U702" s="65"/>
      <c r="V702" s="65"/>
      <c r="W702" s="65"/>
    </row>
    <row r="703" spans="1:23" ht="15.75" customHeight="1" x14ac:dyDescent="0.4">
      <c r="A703" s="293"/>
      <c r="B703" s="65"/>
      <c r="C703" s="65"/>
      <c r="J703" s="65"/>
      <c r="K703" s="65"/>
      <c r="L703" s="65"/>
      <c r="M703" s="65"/>
      <c r="N703" s="65"/>
      <c r="O703" s="65"/>
      <c r="P703" s="65"/>
      <c r="Q703" s="65"/>
      <c r="R703" s="65"/>
      <c r="S703" s="65"/>
      <c r="T703" s="65"/>
      <c r="U703" s="65"/>
      <c r="V703" s="65"/>
      <c r="W703" s="65"/>
    </row>
    <row r="704" spans="1:23" ht="15.75" customHeight="1" x14ac:dyDescent="0.4">
      <c r="A704" s="293"/>
      <c r="B704" s="65"/>
      <c r="C704" s="65"/>
      <c r="J704" s="65"/>
      <c r="K704" s="65"/>
      <c r="L704" s="65"/>
      <c r="M704" s="65"/>
      <c r="N704" s="65"/>
      <c r="O704" s="65"/>
      <c r="P704" s="65"/>
      <c r="Q704" s="65"/>
      <c r="R704" s="65"/>
      <c r="S704" s="65"/>
      <c r="T704" s="65"/>
      <c r="U704" s="65"/>
      <c r="V704" s="65"/>
      <c r="W704" s="65"/>
    </row>
    <row r="705" spans="1:23" ht="15.75" customHeight="1" x14ac:dyDescent="0.4">
      <c r="A705" s="293"/>
      <c r="B705" s="65"/>
      <c r="C705" s="65"/>
      <c r="J705" s="65"/>
      <c r="K705" s="65"/>
      <c r="L705" s="65"/>
      <c r="M705" s="65"/>
      <c r="N705" s="65"/>
      <c r="O705" s="65"/>
      <c r="P705" s="65"/>
      <c r="Q705" s="65"/>
      <c r="R705" s="65"/>
      <c r="S705" s="65"/>
      <c r="T705" s="65"/>
      <c r="U705" s="65"/>
      <c r="V705" s="65"/>
      <c r="W705" s="65"/>
    </row>
    <row r="706" spans="1:23" ht="15.75" customHeight="1" x14ac:dyDescent="0.4">
      <c r="A706" s="293"/>
      <c r="B706" s="65"/>
      <c r="C706" s="65"/>
      <c r="J706" s="65"/>
      <c r="K706" s="65"/>
      <c r="L706" s="65"/>
      <c r="M706" s="65"/>
      <c r="N706" s="65"/>
      <c r="O706" s="65"/>
      <c r="P706" s="65"/>
      <c r="Q706" s="65"/>
      <c r="R706" s="65"/>
      <c r="S706" s="65"/>
      <c r="T706" s="65"/>
      <c r="U706" s="65"/>
      <c r="V706" s="65"/>
      <c r="W706" s="65"/>
    </row>
    <row r="707" spans="1:23" ht="15.75" customHeight="1" x14ac:dyDescent="0.4">
      <c r="A707" s="293"/>
      <c r="B707" s="65"/>
      <c r="C707" s="65"/>
      <c r="J707" s="65"/>
      <c r="K707" s="65"/>
      <c r="L707" s="65"/>
      <c r="M707" s="65"/>
      <c r="N707" s="65"/>
      <c r="O707" s="65"/>
      <c r="P707" s="65"/>
      <c r="Q707" s="65"/>
      <c r="R707" s="65"/>
      <c r="S707" s="65"/>
      <c r="T707" s="65"/>
      <c r="U707" s="65"/>
      <c r="V707" s="65"/>
      <c r="W707" s="65"/>
    </row>
    <row r="708" spans="1:23" ht="15.75" customHeight="1" x14ac:dyDescent="0.4">
      <c r="A708" s="293"/>
      <c r="B708" s="65"/>
      <c r="C708" s="65"/>
      <c r="J708" s="65"/>
      <c r="K708" s="65"/>
      <c r="L708" s="65"/>
      <c r="M708" s="65"/>
      <c r="N708" s="65"/>
      <c r="O708" s="65"/>
      <c r="P708" s="65"/>
      <c r="Q708" s="65"/>
      <c r="R708" s="65"/>
      <c r="S708" s="65"/>
      <c r="T708" s="65"/>
      <c r="U708" s="65"/>
      <c r="V708" s="65"/>
      <c r="W708" s="65"/>
    </row>
    <row r="709" spans="1:23" ht="15.75" customHeight="1" x14ac:dyDescent="0.4">
      <c r="A709" s="293"/>
      <c r="B709" s="65"/>
      <c r="C709" s="65"/>
      <c r="J709" s="65"/>
      <c r="K709" s="65"/>
      <c r="L709" s="65"/>
      <c r="M709" s="65"/>
      <c r="N709" s="65"/>
      <c r="O709" s="65"/>
      <c r="P709" s="65"/>
      <c r="Q709" s="65"/>
      <c r="R709" s="65"/>
      <c r="S709" s="65"/>
      <c r="T709" s="65"/>
      <c r="U709" s="65"/>
      <c r="V709" s="65"/>
      <c r="W709" s="65"/>
    </row>
    <row r="710" spans="1:23" ht="15.75" customHeight="1" x14ac:dyDescent="0.4">
      <c r="A710" s="293"/>
      <c r="B710" s="65"/>
      <c r="C710" s="65"/>
      <c r="J710" s="65"/>
      <c r="K710" s="65"/>
      <c r="L710" s="65"/>
      <c r="M710" s="65"/>
      <c r="N710" s="65"/>
      <c r="O710" s="65"/>
      <c r="P710" s="65"/>
      <c r="Q710" s="65"/>
      <c r="R710" s="65"/>
      <c r="S710" s="65"/>
      <c r="T710" s="65"/>
      <c r="U710" s="65"/>
      <c r="V710" s="65"/>
      <c r="W710" s="65"/>
    </row>
    <row r="711" spans="1:23" ht="15.75" customHeight="1" x14ac:dyDescent="0.4">
      <c r="A711" s="293"/>
      <c r="B711" s="65"/>
      <c r="C711" s="65"/>
      <c r="J711" s="65"/>
      <c r="K711" s="65"/>
      <c r="L711" s="65"/>
      <c r="M711" s="65"/>
      <c r="N711" s="65"/>
      <c r="O711" s="65"/>
      <c r="P711" s="65"/>
      <c r="Q711" s="65"/>
      <c r="R711" s="65"/>
      <c r="S711" s="65"/>
      <c r="T711" s="65"/>
      <c r="U711" s="65"/>
      <c r="V711" s="65"/>
      <c r="W711" s="65"/>
    </row>
    <row r="712" spans="1:23" ht="15.75" customHeight="1" x14ac:dyDescent="0.4">
      <c r="A712" s="293"/>
      <c r="B712" s="65"/>
      <c r="C712" s="65"/>
      <c r="J712" s="65"/>
      <c r="K712" s="65"/>
      <c r="L712" s="65"/>
      <c r="M712" s="65"/>
      <c r="N712" s="65"/>
      <c r="O712" s="65"/>
      <c r="P712" s="65"/>
      <c r="Q712" s="65"/>
      <c r="R712" s="65"/>
      <c r="S712" s="65"/>
      <c r="T712" s="65"/>
      <c r="U712" s="65"/>
      <c r="V712" s="65"/>
      <c r="W712" s="65"/>
    </row>
    <row r="713" spans="1:23" ht="15.75" customHeight="1" x14ac:dyDescent="0.4">
      <c r="A713" s="293"/>
      <c r="B713" s="65"/>
      <c r="C713" s="65"/>
      <c r="J713" s="65"/>
      <c r="K713" s="65"/>
      <c r="L713" s="65"/>
      <c r="M713" s="65"/>
      <c r="N713" s="65"/>
      <c r="O713" s="65"/>
      <c r="P713" s="65"/>
      <c r="Q713" s="65"/>
      <c r="R713" s="65"/>
      <c r="S713" s="65"/>
      <c r="T713" s="65"/>
      <c r="U713" s="65"/>
      <c r="V713" s="65"/>
      <c r="W713" s="65"/>
    </row>
    <row r="714" spans="1:23" ht="15.75" customHeight="1" x14ac:dyDescent="0.4">
      <c r="A714" s="293"/>
      <c r="B714" s="65"/>
      <c r="C714" s="65"/>
      <c r="J714" s="65"/>
      <c r="K714" s="65"/>
      <c r="L714" s="65"/>
      <c r="M714" s="65"/>
      <c r="N714" s="65"/>
      <c r="O714" s="65"/>
      <c r="P714" s="65"/>
      <c r="Q714" s="65"/>
      <c r="R714" s="65"/>
      <c r="S714" s="65"/>
      <c r="T714" s="65"/>
      <c r="U714" s="65"/>
      <c r="V714" s="65"/>
      <c r="W714" s="65"/>
    </row>
    <row r="715" spans="1:23" ht="15.75" customHeight="1" x14ac:dyDescent="0.4">
      <c r="A715" s="293"/>
      <c r="B715" s="65"/>
      <c r="C715" s="65"/>
      <c r="J715" s="65"/>
      <c r="K715" s="65"/>
      <c r="L715" s="65"/>
      <c r="M715" s="65"/>
      <c r="N715" s="65"/>
      <c r="O715" s="65"/>
      <c r="P715" s="65"/>
      <c r="Q715" s="65"/>
      <c r="R715" s="65"/>
      <c r="S715" s="65"/>
      <c r="T715" s="65"/>
      <c r="U715" s="65"/>
      <c r="V715" s="65"/>
      <c r="W715" s="65"/>
    </row>
    <row r="716" spans="1:23" ht="15.75" customHeight="1" x14ac:dyDescent="0.4">
      <c r="A716" s="293"/>
      <c r="B716" s="65"/>
      <c r="C716" s="65"/>
      <c r="J716" s="65"/>
      <c r="K716" s="65"/>
      <c r="L716" s="65"/>
      <c r="M716" s="65"/>
      <c r="N716" s="65"/>
      <c r="O716" s="65"/>
      <c r="P716" s="65"/>
      <c r="Q716" s="65"/>
      <c r="R716" s="65"/>
      <c r="S716" s="65"/>
      <c r="T716" s="65"/>
      <c r="U716" s="65"/>
      <c r="V716" s="65"/>
      <c r="W716" s="65"/>
    </row>
    <row r="717" spans="1:23" ht="15.75" customHeight="1" x14ac:dyDescent="0.4">
      <c r="A717" s="293"/>
      <c r="B717" s="65"/>
      <c r="C717" s="65"/>
      <c r="J717" s="65"/>
      <c r="K717" s="65"/>
      <c r="L717" s="65"/>
      <c r="M717" s="65"/>
      <c r="N717" s="65"/>
      <c r="O717" s="65"/>
      <c r="P717" s="65"/>
      <c r="Q717" s="65"/>
      <c r="R717" s="65"/>
      <c r="S717" s="65"/>
      <c r="T717" s="65"/>
      <c r="U717" s="65"/>
      <c r="V717" s="65"/>
      <c r="W717" s="65"/>
    </row>
    <row r="718" spans="1:23" ht="15.75" customHeight="1" x14ac:dyDescent="0.4">
      <c r="A718" s="293"/>
      <c r="B718" s="65"/>
      <c r="C718" s="65"/>
      <c r="J718" s="65"/>
      <c r="K718" s="65"/>
      <c r="L718" s="65"/>
      <c r="M718" s="65"/>
      <c r="N718" s="65"/>
      <c r="O718" s="65"/>
      <c r="P718" s="65"/>
      <c r="Q718" s="65"/>
      <c r="R718" s="65"/>
      <c r="S718" s="65"/>
      <c r="T718" s="65"/>
      <c r="U718" s="65"/>
      <c r="V718" s="65"/>
      <c r="W718" s="65"/>
    </row>
    <row r="719" spans="1:23" ht="15.75" customHeight="1" x14ac:dyDescent="0.4">
      <c r="A719" s="293"/>
      <c r="B719" s="65"/>
      <c r="C719" s="65"/>
      <c r="J719" s="65"/>
      <c r="K719" s="65"/>
      <c r="L719" s="65"/>
      <c r="M719" s="65"/>
      <c r="N719" s="65"/>
      <c r="O719" s="65"/>
      <c r="P719" s="65"/>
      <c r="Q719" s="65"/>
      <c r="R719" s="65"/>
      <c r="S719" s="65"/>
      <c r="T719" s="65"/>
      <c r="U719" s="65"/>
      <c r="V719" s="65"/>
      <c r="W719" s="65"/>
    </row>
    <row r="720" spans="1:23" ht="15.75" customHeight="1" x14ac:dyDescent="0.4">
      <c r="A720" s="293"/>
      <c r="B720" s="65"/>
      <c r="C720" s="65"/>
      <c r="J720" s="65"/>
      <c r="K720" s="65"/>
      <c r="L720" s="65"/>
      <c r="M720" s="65"/>
      <c r="N720" s="65"/>
      <c r="O720" s="65"/>
      <c r="P720" s="65"/>
      <c r="Q720" s="65"/>
      <c r="R720" s="65"/>
      <c r="S720" s="65"/>
      <c r="T720" s="65"/>
      <c r="U720" s="65"/>
      <c r="V720" s="65"/>
      <c r="W720" s="65"/>
    </row>
    <row r="721" spans="1:23" ht="15.75" customHeight="1" x14ac:dyDescent="0.4">
      <c r="A721" s="293"/>
      <c r="B721" s="65"/>
      <c r="C721" s="65"/>
      <c r="J721" s="65"/>
      <c r="K721" s="65"/>
      <c r="L721" s="65"/>
      <c r="M721" s="65"/>
      <c r="N721" s="65"/>
      <c r="O721" s="65"/>
      <c r="P721" s="65"/>
      <c r="Q721" s="65"/>
      <c r="R721" s="65"/>
      <c r="S721" s="65"/>
      <c r="T721" s="65"/>
      <c r="U721" s="65"/>
      <c r="V721" s="65"/>
      <c r="W721" s="65"/>
    </row>
    <row r="722" spans="1:23" ht="15.75" customHeight="1" x14ac:dyDescent="0.4">
      <c r="A722" s="293"/>
      <c r="B722" s="65"/>
      <c r="C722" s="65"/>
      <c r="J722" s="65"/>
      <c r="K722" s="65"/>
      <c r="L722" s="65"/>
      <c r="M722" s="65"/>
      <c r="N722" s="65"/>
      <c r="O722" s="65"/>
      <c r="P722" s="65"/>
      <c r="Q722" s="65"/>
      <c r="R722" s="65"/>
      <c r="S722" s="65"/>
      <c r="T722" s="65"/>
      <c r="U722" s="65"/>
      <c r="V722" s="65"/>
      <c r="W722" s="65"/>
    </row>
    <row r="723" spans="1:23" ht="15.75" customHeight="1" x14ac:dyDescent="0.4">
      <c r="A723" s="293"/>
      <c r="B723" s="65"/>
      <c r="C723" s="65"/>
      <c r="J723" s="65"/>
      <c r="K723" s="65"/>
      <c r="L723" s="65"/>
      <c r="M723" s="65"/>
      <c r="N723" s="65"/>
      <c r="O723" s="65"/>
      <c r="P723" s="65"/>
      <c r="Q723" s="65"/>
      <c r="R723" s="65"/>
      <c r="S723" s="65"/>
      <c r="T723" s="65"/>
      <c r="U723" s="65"/>
      <c r="V723" s="65"/>
      <c r="W723" s="65"/>
    </row>
    <row r="724" spans="1:23" ht="15.75" customHeight="1" x14ac:dyDescent="0.4">
      <c r="A724" s="293"/>
      <c r="B724" s="65"/>
      <c r="C724" s="65"/>
      <c r="J724" s="65"/>
      <c r="K724" s="65"/>
      <c r="L724" s="65"/>
      <c r="M724" s="65"/>
      <c r="N724" s="65"/>
      <c r="O724" s="65"/>
      <c r="P724" s="65"/>
      <c r="Q724" s="65"/>
      <c r="R724" s="65"/>
      <c r="S724" s="65"/>
      <c r="T724" s="65"/>
      <c r="U724" s="65"/>
      <c r="V724" s="65"/>
      <c r="W724" s="65"/>
    </row>
    <row r="725" spans="1:23" ht="15.75" customHeight="1" x14ac:dyDescent="0.4">
      <c r="A725" s="293"/>
      <c r="B725" s="65"/>
      <c r="C725" s="65"/>
      <c r="J725" s="65"/>
      <c r="K725" s="65"/>
      <c r="L725" s="65"/>
      <c r="M725" s="65"/>
      <c r="N725" s="65"/>
      <c r="O725" s="65"/>
      <c r="P725" s="65"/>
      <c r="Q725" s="65"/>
      <c r="R725" s="65"/>
      <c r="S725" s="65"/>
      <c r="T725" s="65"/>
      <c r="U725" s="65"/>
      <c r="V725" s="65"/>
      <c r="W725" s="65"/>
    </row>
    <row r="726" spans="1:23" ht="15.75" customHeight="1" x14ac:dyDescent="0.4">
      <c r="A726" s="293"/>
      <c r="B726" s="65"/>
      <c r="C726" s="65"/>
      <c r="J726" s="65"/>
      <c r="K726" s="65"/>
      <c r="L726" s="65"/>
      <c r="M726" s="65"/>
      <c r="N726" s="65"/>
      <c r="O726" s="65"/>
      <c r="P726" s="65"/>
      <c r="Q726" s="65"/>
      <c r="R726" s="65"/>
      <c r="S726" s="65"/>
      <c r="T726" s="65"/>
      <c r="U726" s="65"/>
      <c r="V726" s="65"/>
      <c r="W726" s="65"/>
    </row>
    <row r="727" spans="1:23" ht="15.75" customHeight="1" x14ac:dyDescent="0.4">
      <c r="A727" s="293"/>
      <c r="B727" s="65"/>
      <c r="C727" s="65"/>
      <c r="J727" s="65"/>
      <c r="K727" s="65"/>
      <c r="L727" s="65"/>
      <c r="M727" s="65"/>
      <c r="N727" s="65"/>
      <c r="O727" s="65"/>
      <c r="P727" s="65"/>
      <c r="Q727" s="65"/>
      <c r="R727" s="65"/>
      <c r="S727" s="65"/>
      <c r="T727" s="65"/>
      <c r="U727" s="65"/>
      <c r="V727" s="65"/>
      <c r="W727" s="65"/>
    </row>
    <row r="728" spans="1:23" ht="15.75" customHeight="1" x14ac:dyDescent="0.4">
      <c r="A728" s="293"/>
      <c r="B728" s="65"/>
      <c r="C728" s="65"/>
      <c r="J728" s="65"/>
      <c r="K728" s="65"/>
      <c r="L728" s="65"/>
      <c r="M728" s="65"/>
      <c r="N728" s="65"/>
      <c r="O728" s="65"/>
      <c r="P728" s="65"/>
      <c r="Q728" s="65"/>
      <c r="R728" s="65"/>
      <c r="S728" s="65"/>
      <c r="T728" s="65"/>
      <c r="U728" s="65"/>
      <c r="V728" s="65"/>
      <c r="W728" s="65"/>
    </row>
    <row r="729" spans="1:23" ht="15.75" customHeight="1" x14ac:dyDescent="0.4">
      <c r="A729" s="293"/>
      <c r="B729" s="65"/>
      <c r="C729" s="65"/>
      <c r="J729" s="65"/>
      <c r="K729" s="65"/>
      <c r="L729" s="65"/>
      <c r="M729" s="65"/>
      <c r="N729" s="65"/>
      <c r="O729" s="65"/>
      <c r="P729" s="65"/>
      <c r="Q729" s="65"/>
      <c r="R729" s="65"/>
      <c r="S729" s="65"/>
      <c r="T729" s="65"/>
      <c r="U729" s="65"/>
      <c r="V729" s="65"/>
      <c r="W729" s="65"/>
    </row>
    <row r="730" spans="1:23" ht="15.75" customHeight="1" x14ac:dyDescent="0.4">
      <c r="A730" s="293"/>
      <c r="B730" s="65"/>
      <c r="C730" s="65"/>
      <c r="J730" s="65"/>
      <c r="K730" s="65"/>
      <c r="L730" s="65"/>
      <c r="M730" s="65"/>
      <c r="N730" s="65"/>
      <c r="O730" s="65"/>
      <c r="P730" s="65"/>
      <c r="Q730" s="65"/>
      <c r="R730" s="65"/>
      <c r="S730" s="65"/>
      <c r="T730" s="65"/>
      <c r="U730" s="65"/>
      <c r="V730" s="65"/>
      <c r="W730" s="65"/>
    </row>
    <row r="731" spans="1:23" ht="15.75" customHeight="1" x14ac:dyDescent="0.4">
      <c r="A731" s="293"/>
      <c r="B731" s="65"/>
      <c r="C731" s="65"/>
      <c r="J731" s="65"/>
      <c r="K731" s="65"/>
      <c r="L731" s="65"/>
      <c r="M731" s="65"/>
      <c r="N731" s="65"/>
      <c r="O731" s="65"/>
      <c r="P731" s="65"/>
      <c r="Q731" s="65"/>
      <c r="R731" s="65"/>
      <c r="S731" s="65"/>
      <c r="T731" s="65"/>
      <c r="U731" s="65"/>
      <c r="V731" s="65"/>
      <c r="W731" s="65"/>
    </row>
    <row r="732" spans="1:23" ht="15.75" customHeight="1" x14ac:dyDescent="0.4">
      <c r="A732" s="293"/>
      <c r="B732" s="65"/>
      <c r="C732" s="65"/>
      <c r="J732" s="65"/>
      <c r="K732" s="65"/>
      <c r="L732" s="65"/>
      <c r="M732" s="65"/>
      <c r="N732" s="65"/>
      <c r="O732" s="65"/>
      <c r="P732" s="65"/>
      <c r="Q732" s="65"/>
      <c r="R732" s="65"/>
      <c r="S732" s="65"/>
      <c r="T732" s="65"/>
      <c r="U732" s="65"/>
      <c r="V732" s="65"/>
      <c r="W732" s="65"/>
    </row>
    <row r="733" spans="1:23" ht="15.75" customHeight="1" x14ac:dyDescent="0.4">
      <c r="A733" s="293"/>
      <c r="B733" s="65"/>
      <c r="C733" s="65"/>
      <c r="J733" s="65"/>
      <c r="K733" s="65"/>
      <c r="L733" s="65"/>
      <c r="M733" s="65"/>
      <c r="N733" s="65"/>
      <c r="O733" s="65"/>
      <c r="P733" s="65"/>
      <c r="Q733" s="65"/>
      <c r="R733" s="65"/>
      <c r="S733" s="65"/>
      <c r="T733" s="65"/>
      <c r="U733" s="65"/>
      <c r="V733" s="65"/>
      <c r="W733" s="65"/>
    </row>
    <row r="734" spans="1:23" ht="15.75" customHeight="1" x14ac:dyDescent="0.4">
      <c r="A734" s="293"/>
      <c r="B734" s="65"/>
      <c r="C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65"/>
    </row>
    <row r="735" spans="1:23" ht="15.75" customHeight="1" x14ac:dyDescent="0.4">
      <c r="A735" s="293"/>
      <c r="B735" s="65"/>
      <c r="C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65"/>
    </row>
    <row r="736" spans="1:23" ht="15.75" customHeight="1" x14ac:dyDescent="0.4">
      <c r="A736" s="293"/>
      <c r="B736" s="65"/>
      <c r="C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65"/>
    </row>
    <row r="737" spans="1:23" ht="15.75" customHeight="1" x14ac:dyDescent="0.4">
      <c r="A737" s="293"/>
      <c r="B737" s="65"/>
      <c r="C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65"/>
    </row>
    <row r="738" spans="1:23" ht="15.75" customHeight="1" x14ac:dyDescent="0.4">
      <c r="A738" s="293"/>
      <c r="B738" s="65"/>
      <c r="C738" s="65"/>
      <c r="J738" s="65"/>
      <c r="K738" s="65"/>
      <c r="L738" s="65"/>
      <c r="M738" s="65"/>
      <c r="N738" s="65"/>
      <c r="O738" s="65"/>
      <c r="P738" s="65"/>
      <c r="Q738" s="65"/>
      <c r="R738" s="65"/>
      <c r="S738" s="65"/>
      <c r="T738" s="65"/>
      <c r="U738" s="65"/>
      <c r="V738" s="65"/>
      <c r="W738" s="65"/>
    </row>
    <row r="739" spans="1:23" ht="15.75" customHeight="1" x14ac:dyDescent="0.4">
      <c r="A739" s="293"/>
      <c r="B739" s="65"/>
      <c r="C739" s="65"/>
      <c r="J739" s="65"/>
      <c r="K739" s="65"/>
      <c r="L739" s="65"/>
      <c r="M739" s="65"/>
      <c r="N739" s="65"/>
      <c r="O739" s="65"/>
      <c r="P739" s="65"/>
      <c r="Q739" s="65"/>
      <c r="R739" s="65"/>
      <c r="S739" s="65"/>
      <c r="T739" s="65"/>
      <c r="U739" s="65"/>
      <c r="V739" s="65"/>
      <c r="W739" s="65"/>
    </row>
    <row r="740" spans="1:23" ht="15.75" customHeight="1" x14ac:dyDescent="0.4">
      <c r="A740" s="293"/>
      <c r="B740" s="65"/>
      <c r="C740" s="65"/>
      <c r="J740" s="65"/>
      <c r="K740" s="65"/>
      <c r="L740" s="65"/>
      <c r="M740" s="65"/>
      <c r="N740" s="65"/>
      <c r="O740" s="65"/>
      <c r="P740" s="65"/>
      <c r="Q740" s="65"/>
      <c r="R740" s="65"/>
      <c r="S740" s="65"/>
      <c r="T740" s="65"/>
      <c r="U740" s="65"/>
      <c r="V740" s="65"/>
      <c r="W740" s="65"/>
    </row>
    <row r="741" spans="1:23" ht="15.75" customHeight="1" x14ac:dyDescent="0.4">
      <c r="A741" s="293"/>
      <c r="B741" s="65"/>
      <c r="C741" s="65"/>
      <c r="J741" s="65"/>
      <c r="K741" s="65"/>
      <c r="L741" s="65"/>
      <c r="M741" s="65"/>
      <c r="N741" s="65"/>
      <c r="O741" s="65"/>
      <c r="P741" s="65"/>
      <c r="Q741" s="65"/>
      <c r="R741" s="65"/>
      <c r="S741" s="65"/>
      <c r="T741" s="65"/>
      <c r="U741" s="65"/>
      <c r="V741" s="65"/>
      <c r="W741" s="65"/>
    </row>
    <row r="742" spans="1:23" ht="15.75" customHeight="1" x14ac:dyDescent="0.4">
      <c r="A742" s="293"/>
      <c r="B742" s="65"/>
      <c r="C742" s="65"/>
      <c r="J742" s="65"/>
      <c r="K742" s="65"/>
      <c r="L742" s="65"/>
      <c r="M742" s="65"/>
      <c r="N742" s="65"/>
      <c r="O742" s="65"/>
      <c r="P742" s="65"/>
      <c r="Q742" s="65"/>
      <c r="R742" s="65"/>
      <c r="S742" s="65"/>
      <c r="T742" s="65"/>
      <c r="U742" s="65"/>
      <c r="V742" s="65"/>
      <c r="W742" s="65"/>
    </row>
    <row r="743" spans="1:23" ht="15.75" customHeight="1" x14ac:dyDescent="0.4">
      <c r="A743" s="293"/>
      <c r="B743" s="65"/>
      <c r="C743" s="65"/>
      <c r="J743" s="65"/>
      <c r="K743" s="65"/>
      <c r="L743" s="65"/>
      <c r="M743" s="65"/>
      <c r="N743" s="65"/>
      <c r="O743" s="65"/>
      <c r="P743" s="65"/>
      <c r="Q743" s="65"/>
      <c r="R743" s="65"/>
      <c r="S743" s="65"/>
      <c r="T743" s="65"/>
      <c r="U743" s="65"/>
      <c r="V743" s="65"/>
      <c r="W743" s="65"/>
    </row>
    <row r="744" spans="1:23" ht="15.75" customHeight="1" x14ac:dyDescent="0.4">
      <c r="A744" s="293"/>
      <c r="B744" s="65"/>
      <c r="C744" s="65"/>
      <c r="J744" s="65"/>
      <c r="K744" s="65"/>
      <c r="L744" s="65"/>
      <c r="M744" s="65"/>
      <c r="N744" s="65"/>
      <c r="O744" s="65"/>
      <c r="P744" s="65"/>
      <c r="Q744" s="65"/>
      <c r="R744" s="65"/>
      <c r="S744" s="65"/>
      <c r="T744" s="65"/>
      <c r="U744" s="65"/>
      <c r="V744" s="65"/>
      <c r="W744" s="65"/>
    </row>
    <row r="745" spans="1:23" ht="15.75" customHeight="1" x14ac:dyDescent="0.4">
      <c r="A745" s="293"/>
      <c r="B745" s="65"/>
      <c r="C745" s="65"/>
      <c r="J745" s="65"/>
      <c r="K745" s="65"/>
      <c r="L745" s="65"/>
      <c r="M745" s="65"/>
      <c r="N745" s="65"/>
      <c r="O745" s="65"/>
      <c r="P745" s="65"/>
      <c r="Q745" s="65"/>
      <c r="R745" s="65"/>
      <c r="S745" s="65"/>
      <c r="T745" s="65"/>
      <c r="U745" s="65"/>
      <c r="V745" s="65"/>
      <c r="W745" s="65"/>
    </row>
    <row r="746" spans="1:23" ht="15.75" customHeight="1" x14ac:dyDescent="0.4">
      <c r="A746" s="293"/>
      <c r="B746" s="65"/>
      <c r="C746" s="65"/>
      <c r="J746" s="65"/>
      <c r="K746" s="65"/>
      <c r="L746" s="65"/>
      <c r="M746" s="65"/>
      <c r="N746" s="65"/>
      <c r="O746" s="65"/>
      <c r="P746" s="65"/>
      <c r="Q746" s="65"/>
      <c r="R746" s="65"/>
      <c r="S746" s="65"/>
      <c r="T746" s="65"/>
      <c r="U746" s="65"/>
      <c r="V746" s="65"/>
      <c r="W746" s="65"/>
    </row>
    <row r="747" spans="1:23" ht="15.75" customHeight="1" x14ac:dyDescent="0.4">
      <c r="A747" s="293"/>
      <c r="B747" s="65"/>
      <c r="C747" s="65"/>
      <c r="J747" s="65"/>
      <c r="K747" s="65"/>
      <c r="L747" s="65"/>
      <c r="M747" s="65"/>
      <c r="N747" s="65"/>
      <c r="O747" s="65"/>
      <c r="P747" s="65"/>
      <c r="Q747" s="65"/>
      <c r="R747" s="65"/>
      <c r="S747" s="65"/>
      <c r="T747" s="65"/>
      <c r="U747" s="65"/>
      <c r="V747" s="65"/>
      <c r="W747" s="65"/>
    </row>
    <row r="748" spans="1:23" ht="15.75" customHeight="1" x14ac:dyDescent="0.4">
      <c r="A748" s="293"/>
      <c r="B748" s="65"/>
      <c r="C748" s="65"/>
      <c r="J748" s="65"/>
      <c r="K748" s="65"/>
      <c r="L748" s="65"/>
      <c r="M748" s="65"/>
      <c r="N748" s="65"/>
      <c r="O748" s="65"/>
      <c r="P748" s="65"/>
      <c r="Q748" s="65"/>
      <c r="R748" s="65"/>
      <c r="S748" s="65"/>
      <c r="T748" s="65"/>
      <c r="U748" s="65"/>
      <c r="V748" s="65"/>
      <c r="W748" s="65"/>
    </row>
    <row r="749" spans="1:23" ht="15.75" customHeight="1" x14ac:dyDescent="0.4">
      <c r="A749" s="293"/>
      <c r="B749" s="65"/>
      <c r="C749" s="65"/>
      <c r="J749" s="65"/>
      <c r="K749" s="65"/>
      <c r="L749" s="65"/>
      <c r="M749" s="65"/>
      <c r="N749" s="65"/>
      <c r="O749" s="65"/>
      <c r="P749" s="65"/>
      <c r="Q749" s="65"/>
      <c r="R749" s="65"/>
      <c r="S749" s="65"/>
      <c r="T749" s="65"/>
      <c r="U749" s="65"/>
      <c r="V749" s="65"/>
      <c r="W749" s="65"/>
    </row>
    <row r="750" spans="1:23" ht="15.75" customHeight="1" x14ac:dyDescent="0.4">
      <c r="A750" s="293"/>
      <c r="B750" s="65"/>
      <c r="C750" s="65"/>
      <c r="J750" s="65"/>
      <c r="K750" s="65"/>
      <c r="L750" s="65"/>
      <c r="M750" s="65"/>
      <c r="N750" s="65"/>
      <c r="O750" s="65"/>
      <c r="P750" s="65"/>
      <c r="Q750" s="65"/>
      <c r="R750" s="65"/>
      <c r="S750" s="65"/>
      <c r="T750" s="65"/>
      <c r="U750" s="65"/>
      <c r="V750" s="65"/>
      <c r="W750" s="65"/>
    </row>
    <row r="751" spans="1:23" ht="15.75" customHeight="1" x14ac:dyDescent="0.4">
      <c r="A751" s="293"/>
      <c r="B751" s="65"/>
      <c r="C751" s="65"/>
      <c r="J751" s="65"/>
      <c r="K751" s="65"/>
      <c r="L751" s="65"/>
      <c r="M751" s="65"/>
      <c r="N751" s="65"/>
      <c r="O751" s="65"/>
      <c r="P751" s="65"/>
      <c r="Q751" s="65"/>
      <c r="R751" s="65"/>
      <c r="S751" s="65"/>
      <c r="T751" s="65"/>
      <c r="U751" s="65"/>
      <c r="V751" s="65"/>
      <c r="W751" s="65"/>
    </row>
    <row r="752" spans="1:23" ht="15.75" customHeight="1" x14ac:dyDescent="0.4">
      <c r="A752" s="293"/>
      <c r="B752" s="65"/>
      <c r="C752" s="65"/>
      <c r="J752" s="65"/>
      <c r="K752" s="65"/>
      <c r="L752" s="65"/>
      <c r="M752" s="65"/>
      <c r="N752" s="65"/>
      <c r="O752" s="65"/>
      <c r="P752" s="65"/>
      <c r="Q752" s="65"/>
      <c r="R752" s="65"/>
      <c r="S752" s="65"/>
      <c r="T752" s="65"/>
      <c r="U752" s="65"/>
      <c r="V752" s="65"/>
      <c r="W752" s="65"/>
    </row>
    <row r="753" spans="1:23" ht="15.75" customHeight="1" x14ac:dyDescent="0.4">
      <c r="A753" s="293"/>
      <c r="B753" s="65"/>
      <c r="C753" s="65"/>
      <c r="J753" s="65"/>
      <c r="K753" s="65"/>
      <c r="L753" s="65"/>
      <c r="M753" s="65"/>
      <c r="N753" s="65"/>
      <c r="O753" s="65"/>
      <c r="P753" s="65"/>
      <c r="Q753" s="65"/>
      <c r="R753" s="65"/>
      <c r="S753" s="65"/>
      <c r="T753" s="65"/>
      <c r="U753" s="65"/>
      <c r="V753" s="65"/>
      <c r="W753" s="65"/>
    </row>
    <row r="754" spans="1:23" ht="15.75" customHeight="1" x14ac:dyDescent="0.4">
      <c r="A754" s="293"/>
      <c r="B754" s="65"/>
      <c r="C754" s="65"/>
      <c r="J754" s="65"/>
      <c r="K754" s="65"/>
      <c r="L754" s="65"/>
      <c r="M754" s="65"/>
      <c r="N754" s="65"/>
      <c r="O754" s="65"/>
      <c r="P754" s="65"/>
      <c r="Q754" s="65"/>
      <c r="R754" s="65"/>
      <c r="S754" s="65"/>
      <c r="T754" s="65"/>
      <c r="U754" s="65"/>
      <c r="V754" s="65"/>
      <c r="W754" s="65"/>
    </row>
    <row r="755" spans="1:23" ht="15.75" customHeight="1" x14ac:dyDescent="0.4">
      <c r="A755" s="293"/>
      <c r="B755" s="65"/>
      <c r="C755" s="65"/>
      <c r="J755" s="65"/>
      <c r="K755" s="65"/>
      <c r="L755" s="65"/>
      <c r="M755" s="65"/>
      <c r="N755" s="65"/>
      <c r="O755" s="65"/>
      <c r="P755" s="65"/>
      <c r="Q755" s="65"/>
      <c r="R755" s="65"/>
      <c r="S755" s="65"/>
      <c r="T755" s="65"/>
      <c r="U755" s="65"/>
      <c r="V755" s="65"/>
      <c r="W755" s="65"/>
    </row>
    <row r="756" spans="1:23" ht="15.75" customHeight="1" x14ac:dyDescent="0.4">
      <c r="A756" s="293"/>
      <c r="B756" s="65"/>
      <c r="C756" s="65"/>
      <c r="J756" s="65"/>
      <c r="K756" s="65"/>
      <c r="L756" s="65"/>
      <c r="M756" s="65"/>
      <c r="N756" s="65"/>
      <c r="O756" s="65"/>
      <c r="P756" s="65"/>
      <c r="Q756" s="65"/>
      <c r="R756" s="65"/>
      <c r="S756" s="65"/>
      <c r="T756" s="65"/>
      <c r="U756" s="65"/>
      <c r="V756" s="65"/>
      <c r="W756" s="65"/>
    </row>
    <row r="757" spans="1:23" ht="15.75" customHeight="1" x14ac:dyDescent="0.4">
      <c r="A757" s="293"/>
      <c r="B757" s="65"/>
      <c r="C757" s="65"/>
      <c r="J757" s="65"/>
      <c r="K757" s="65"/>
      <c r="L757" s="65"/>
      <c r="M757" s="65"/>
      <c r="N757" s="65"/>
      <c r="O757" s="65"/>
      <c r="P757" s="65"/>
      <c r="Q757" s="65"/>
      <c r="R757" s="65"/>
      <c r="S757" s="65"/>
      <c r="T757" s="65"/>
      <c r="U757" s="65"/>
      <c r="V757" s="65"/>
      <c r="W757" s="65"/>
    </row>
    <row r="758" spans="1:23" ht="15.75" customHeight="1" x14ac:dyDescent="0.4">
      <c r="A758" s="293"/>
      <c r="B758" s="65"/>
      <c r="C758" s="65"/>
      <c r="J758" s="65"/>
      <c r="K758" s="65"/>
      <c r="L758" s="65"/>
      <c r="M758" s="65"/>
      <c r="N758" s="65"/>
      <c r="O758" s="65"/>
      <c r="P758" s="65"/>
      <c r="Q758" s="65"/>
      <c r="R758" s="65"/>
      <c r="S758" s="65"/>
      <c r="T758" s="65"/>
      <c r="U758" s="65"/>
      <c r="V758" s="65"/>
      <c r="W758" s="65"/>
    </row>
    <row r="759" spans="1:23" ht="15.75" customHeight="1" x14ac:dyDescent="0.4">
      <c r="A759" s="293"/>
      <c r="B759" s="65"/>
      <c r="C759" s="65"/>
      <c r="J759" s="65"/>
      <c r="K759" s="65"/>
      <c r="L759" s="65"/>
      <c r="M759" s="65"/>
      <c r="N759" s="65"/>
      <c r="O759" s="65"/>
      <c r="P759" s="65"/>
      <c r="Q759" s="65"/>
      <c r="R759" s="65"/>
      <c r="S759" s="65"/>
      <c r="T759" s="65"/>
      <c r="U759" s="65"/>
      <c r="V759" s="65"/>
      <c r="W759" s="65"/>
    </row>
    <row r="760" spans="1:23" ht="15.75" customHeight="1" x14ac:dyDescent="0.4">
      <c r="A760" s="293"/>
      <c r="B760" s="65"/>
      <c r="C760" s="65"/>
      <c r="J760" s="65"/>
      <c r="K760" s="65"/>
      <c r="L760" s="65"/>
      <c r="M760" s="65"/>
      <c r="N760" s="65"/>
      <c r="O760" s="65"/>
      <c r="P760" s="65"/>
      <c r="Q760" s="65"/>
      <c r="R760" s="65"/>
      <c r="S760" s="65"/>
      <c r="T760" s="65"/>
      <c r="U760" s="65"/>
      <c r="V760" s="65"/>
      <c r="W760" s="65"/>
    </row>
    <row r="761" spans="1:23" ht="15.75" customHeight="1" x14ac:dyDescent="0.4">
      <c r="A761" s="293"/>
      <c r="B761" s="65"/>
      <c r="C761" s="65"/>
      <c r="J761" s="65"/>
      <c r="K761" s="65"/>
      <c r="L761" s="65"/>
      <c r="M761" s="65"/>
      <c r="N761" s="65"/>
      <c r="O761" s="65"/>
      <c r="P761" s="65"/>
      <c r="Q761" s="65"/>
      <c r="R761" s="65"/>
      <c r="S761" s="65"/>
      <c r="T761" s="65"/>
      <c r="U761" s="65"/>
      <c r="V761" s="65"/>
      <c r="W761" s="65"/>
    </row>
    <row r="762" spans="1:23" ht="15.75" customHeight="1" x14ac:dyDescent="0.4">
      <c r="A762" s="293"/>
      <c r="B762" s="65"/>
      <c r="C762" s="65"/>
      <c r="J762" s="65"/>
      <c r="K762" s="65"/>
      <c r="L762" s="65"/>
      <c r="M762" s="65"/>
      <c r="N762" s="65"/>
      <c r="O762" s="65"/>
      <c r="P762" s="65"/>
      <c r="Q762" s="65"/>
      <c r="R762" s="65"/>
      <c r="S762" s="65"/>
      <c r="T762" s="65"/>
      <c r="U762" s="65"/>
      <c r="V762" s="65"/>
      <c r="W762" s="65"/>
    </row>
    <row r="763" spans="1:23" ht="15.75" customHeight="1" x14ac:dyDescent="0.4">
      <c r="A763" s="293"/>
      <c r="B763" s="65"/>
      <c r="C763" s="65"/>
      <c r="J763" s="65"/>
      <c r="K763" s="65"/>
      <c r="L763" s="65"/>
      <c r="M763" s="65"/>
      <c r="N763" s="65"/>
      <c r="O763" s="65"/>
      <c r="P763" s="65"/>
      <c r="Q763" s="65"/>
      <c r="R763" s="65"/>
      <c r="S763" s="65"/>
      <c r="T763" s="65"/>
      <c r="U763" s="65"/>
      <c r="V763" s="65"/>
      <c r="W763" s="65"/>
    </row>
    <row r="764" spans="1:23" ht="15.75" customHeight="1" x14ac:dyDescent="0.4">
      <c r="A764" s="293"/>
      <c r="B764" s="65"/>
      <c r="C764" s="65"/>
      <c r="J764" s="65"/>
      <c r="K764" s="65"/>
      <c r="L764" s="65"/>
      <c r="M764" s="65"/>
      <c r="N764" s="65"/>
      <c r="O764" s="65"/>
      <c r="P764" s="65"/>
      <c r="Q764" s="65"/>
      <c r="R764" s="65"/>
      <c r="S764" s="65"/>
      <c r="T764" s="65"/>
      <c r="U764" s="65"/>
      <c r="V764" s="65"/>
      <c r="W764" s="65"/>
    </row>
    <row r="765" spans="1:23" ht="15.75" customHeight="1" x14ac:dyDescent="0.4">
      <c r="A765" s="293"/>
      <c r="B765" s="65"/>
      <c r="C765" s="65"/>
      <c r="J765" s="65"/>
      <c r="K765" s="65"/>
      <c r="L765" s="65"/>
      <c r="M765" s="65"/>
      <c r="N765" s="65"/>
      <c r="O765" s="65"/>
      <c r="P765" s="65"/>
      <c r="Q765" s="65"/>
      <c r="R765" s="65"/>
      <c r="S765" s="65"/>
      <c r="T765" s="65"/>
      <c r="U765" s="65"/>
      <c r="V765" s="65"/>
      <c r="W765" s="65"/>
    </row>
    <row r="766" spans="1:23" ht="15.75" customHeight="1" x14ac:dyDescent="0.4">
      <c r="A766" s="293"/>
      <c r="B766" s="65"/>
      <c r="C766" s="65"/>
      <c r="J766" s="65"/>
      <c r="K766" s="65"/>
      <c r="L766" s="65"/>
      <c r="M766" s="65"/>
      <c r="N766" s="65"/>
      <c r="O766" s="65"/>
      <c r="P766" s="65"/>
      <c r="Q766" s="65"/>
      <c r="R766" s="65"/>
      <c r="S766" s="65"/>
      <c r="T766" s="65"/>
      <c r="U766" s="65"/>
      <c r="V766" s="65"/>
      <c r="W766" s="65"/>
    </row>
    <row r="767" spans="1:23" ht="15.75" customHeight="1" x14ac:dyDescent="0.4">
      <c r="A767" s="293"/>
      <c r="B767" s="65"/>
      <c r="C767" s="65"/>
      <c r="J767" s="65"/>
      <c r="K767" s="65"/>
      <c r="L767" s="65"/>
      <c r="M767" s="65"/>
      <c r="N767" s="65"/>
      <c r="O767" s="65"/>
      <c r="P767" s="65"/>
      <c r="Q767" s="65"/>
      <c r="R767" s="65"/>
      <c r="S767" s="65"/>
      <c r="T767" s="65"/>
      <c r="U767" s="65"/>
      <c r="V767" s="65"/>
      <c r="W767" s="65"/>
    </row>
    <row r="768" spans="1:23" ht="15.75" customHeight="1" x14ac:dyDescent="0.4">
      <c r="A768" s="293"/>
      <c r="B768" s="65"/>
      <c r="C768" s="65"/>
      <c r="J768" s="65"/>
      <c r="K768" s="65"/>
      <c r="L768" s="65"/>
      <c r="M768" s="65"/>
      <c r="N768" s="65"/>
      <c r="O768" s="65"/>
      <c r="P768" s="65"/>
      <c r="Q768" s="65"/>
      <c r="R768" s="65"/>
      <c r="S768" s="65"/>
      <c r="T768" s="65"/>
      <c r="U768" s="65"/>
      <c r="V768" s="65"/>
      <c r="W768" s="65"/>
    </row>
    <row r="769" spans="1:23" ht="15.75" customHeight="1" x14ac:dyDescent="0.4">
      <c r="A769" s="293"/>
      <c r="B769" s="65"/>
      <c r="C769" s="65"/>
      <c r="J769" s="65"/>
      <c r="K769" s="65"/>
      <c r="L769" s="65"/>
      <c r="M769" s="65"/>
      <c r="N769" s="65"/>
      <c r="O769" s="65"/>
      <c r="P769" s="65"/>
      <c r="Q769" s="65"/>
      <c r="R769" s="65"/>
      <c r="S769" s="65"/>
      <c r="T769" s="65"/>
      <c r="U769" s="65"/>
      <c r="V769" s="65"/>
      <c r="W769" s="65"/>
    </row>
    <row r="770" spans="1:23" ht="15.75" customHeight="1" x14ac:dyDescent="0.4">
      <c r="A770" s="293"/>
      <c r="B770" s="65"/>
      <c r="C770" s="65"/>
      <c r="J770" s="65"/>
      <c r="K770" s="65"/>
      <c r="L770" s="65"/>
      <c r="M770" s="65"/>
      <c r="N770" s="65"/>
      <c r="O770" s="65"/>
      <c r="P770" s="65"/>
      <c r="Q770" s="65"/>
      <c r="R770" s="65"/>
      <c r="S770" s="65"/>
      <c r="T770" s="65"/>
      <c r="U770" s="65"/>
      <c r="V770" s="65"/>
      <c r="W770" s="65"/>
    </row>
    <row r="771" spans="1:23" ht="15.75" customHeight="1" x14ac:dyDescent="0.4">
      <c r="A771" s="293"/>
      <c r="B771" s="65"/>
      <c r="C771" s="65"/>
      <c r="J771" s="65"/>
      <c r="K771" s="65"/>
      <c r="L771" s="65"/>
      <c r="M771" s="65"/>
      <c r="N771" s="65"/>
      <c r="O771" s="65"/>
      <c r="P771" s="65"/>
      <c r="Q771" s="65"/>
      <c r="R771" s="65"/>
      <c r="S771" s="65"/>
      <c r="T771" s="65"/>
      <c r="U771" s="65"/>
      <c r="V771" s="65"/>
      <c r="W771" s="65"/>
    </row>
    <row r="772" spans="1:23" ht="15.75" customHeight="1" x14ac:dyDescent="0.4">
      <c r="A772" s="293"/>
      <c r="B772" s="65"/>
      <c r="C772" s="65"/>
      <c r="J772" s="65"/>
      <c r="K772" s="65"/>
      <c r="L772" s="65"/>
      <c r="M772" s="65"/>
      <c r="N772" s="65"/>
      <c r="O772" s="65"/>
      <c r="P772" s="65"/>
      <c r="Q772" s="65"/>
      <c r="R772" s="65"/>
      <c r="S772" s="65"/>
      <c r="T772" s="65"/>
      <c r="U772" s="65"/>
      <c r="V772" s="65"/>
      <c r="W772" s="65"/>
    </row>
    <row r="773" spans="1:23" ht="15.75" customHeight="1" x14ac:dyDescent="0.4">
      <c r="A773" s="293"/>
      <c r="B773" s="65"/>
      <c r="C773" s="65"/>
      <c r="J773" s="65"/>
      <c r="K773" s="65"/>
      <c r="L773" s="65"/>
      <c r="M773" s="65"/>
      <c r="N773" s="65"/>
      <c r="O773" s="65"/>
      <c r="P773" s="65"/>
      <c r="Q773" s="65"/>
      <c r="R773" s="65"/>
      <c r="S773" s="65"/>
      <c r="T773" s="65"/>
      <c r="U773" s="65"/>
      <c r="V773" s="65"/>
      <c r="W773" s="65"/>
    </row>
    <row r="774" spans="1:23" ht="15.75" customHeight="1" x14ac:dyDescent="0.4">
      <c r="A774" s="293"/>
      <c r="B774" s="65"/>
      <c r="C774" s="65"/>
      <c r="J774" s="65"/>
      <c r="K774" s="65"/>
      <c r="L774" s="65"/>
      <c r="M774" s="65"/>
      <c r="N774" s="65"/>
      <c r="O774" s="65"/>
      <c r="P774" s="65"/>
      <c r="Q774" s="65"/>
      <c r="R774" s="65"/>
      <c r="S774" s="65"/>
      <c r="T774" s="65"/>
      <c r="U774" s="65"/>
      <c r="V774" s="65"/>
      <c r="W774" s="65"/>
    </row>
    <row r="775" spans="1:23" ht="15.75" customHeight="1" x14ac:dyDescent="0.4">
      <c r="A775" s="293"/>
      <c r="B775" s="65"/>
      <c r="C775" s="65"/>
      <c r="J775" s="65"/>
      <c r="K775" s="65"/>
      <c r="L775" s="65"/>
      <c r="M775" s="65"/>
      <c r="N775" s="65"/>
      <c r="O775" s="65"/>
      <c r="P775" s="65"/>
      <c r="Q775" s="65"/>
      <c r="R775" s="65"/>
      <c r="S775" s="65"/>
      <c r="T775" s="65"/>
      <c r="U775" s="65"/>
      <c r="V775" s="65"/>
      <c r="W775" s="65"/>
    </row>
    <row r="776" spans="1:23" ht="15.75" customHeight="1" x14ac:dyDescent="0.4">
      <c r="A776" s="293"/>
      <c r="B776" s="65"/>
      <c r="C776" s="65"/>
      <c r="J776" s="65"/>
      <c r="K776" s="65"/>
      <c r="L776" s="65"/>
      <c r="M776" s="65"/>
      <c r="N776" s="65"/>
      <c r="O776" s="65"/>
      <c r="P776" s="65"/>
      <c r="Q776" s="65"/>
      <c r="R776" s="65"/>
      <c r="S776" s="65"/>
      <c r="T776" s="65"/>
      <c r="U776" s="65"/>
      <c r="V776" s="65"/>
      <c r="W776" s="65"/>
    </row>
    <row r="777" spans="1:23" ht="15.75" customHeight="1" x14ac:dyDescent="0.4">
      <c r="A777" s="293"/>
      <c r="B777" s="65"/>
      <c r="C777" s="65"/>
      <c r="J777" s="65"/>
      <c r="K777" s="65"/>
      <c r="L777" s="65"/>
      <c r="M777" s="65"/>
      <c r="N777" s="65"/>
      <c r="O777" s="65"/>
      <c r="P777" s="65"/>
      <c r="Q777" s="65"/>
      <c r="R777" s="65"/>
      <c r="S777" s="65"/>
      <c r="T777" s="65"/>
      <c r="U777" s="65"/>
      <c r="V777" s="65"/>
      <c r="W777" s="65"/>
    </row>
    <row r="778" spans="1:23" ht="15.75" customHeight="1" x14ac:dyDescent="0.4">
      <c r="A778" s="293"/>
      <c r="B778" s="65"/>
      <c r="C778" s="65"/>
      <c r="J778" s="65"/>
      <c r="K778" s="65"/>
      <c r="L778" s="65"/>
      <c r="M778" s="65"/>
      <c r="N778" s="65"/>
      <c r="O778" s="65"/>
      <c r="P778" s="65"/>
      <c r="Q778" s="65"/>
      <c r="R778" s="65"/>
      <c r="S778" s="65"/>
      <c r="T778" s="65"/>
      <c r="U778" s="65"/>
      <c r="V778" s="65"/>
      <c r="W778" s="65"/>
    </row>
    <row r="779" spans="1:23" ht="15.75" customHeight="1" x14ac:dyDescent="0.4">
      <c r="A779" s="293"/>
      <c r="B779" s="65"/>
      <c r="C779" s="65"/>
      <c r="J779" s="65"/>
      <c r="K779" s="65"/>
      <c r="L779" s="65"/>
      <c r="M779" s="65"/>
      <c r="N779" s="65"/>
      <c r="O779" s="65"/>
      <c r="P779" s="65"/>
      <c r="Q779" s="65"/>
      <c r="R779" s="65"/>
      <c r="S779" s="65"/>
      <c r="T779" s="65"/>
      <c r="U779" s="65"/>
      <c r="V779" s="65"/>
      <c r="W779" s="65"/>
    </row>
    <row r="780" spans="1:23" ht="15.75" customHeight="1" x14ac:dyDescent="0.4">
      <c r="A780" s="293"/>
      <c r="B780" s="65"/>
      <c r="C780" s="65"/>
      <c r="J780" s="65"/>
      <c r="K780" s="65"/>
      <c r="L780" s="65"/>
      <c r="M780" s="65"/>
      <c r="N780" s="65"/>
      <c r="O780" s="65"/>
      <c r="P780" s="65"/>
      <c r="Q780" s="65"/>
      <c r="R780" s="65"/>
      <c r="S780" s="65"/>
      <c r="T780" s="65"/>
      <c r="U780" s="65"/>
      <c r="V780" s="65"/>
      <c r="W780" s="65"/>
    </row>
    <row r="781" spans="1:23" ht="15.75" customHeight="1" x14ac:dyDescent="0.4">
      <c r="A781" s="293"/>
      <c r="B781" s="65"/>
      <c r="C781" s="65"/>
      <c r="J781" s="65"/>
      <c r="K781" s="65"/>
      <c r="L781" s="65"/>
      <c r="M781" s="65"/>
      <c r="N781" s="65"/>
      <c r="O781" s="65"/>
      <c r="P781" s="65"/>
      <c r="Q781" s="65"/>
      <c r="R781" s="65"/>
      <c r="S781" s="65"/>
      <c r="T781" s="65"/>
      <c r="U781" s="65"/>
      <c r="V781" s="65"/>
      <c r="W781" s="65"/>
    </row>
    <row r="782" spans="1:23" ht="15.75" customHeight="1" x14ac:dyDescent="0.4">
      <c r="A782" s="293"/>
      <c r="B782" s="65"/>
      <c r="C782" s="65"/>
      <c r="J782" s="65"/>
      <c r="K782" s="65"/>
      <c r="L782" s="65"/>
      <c r="M782" s="65"/>
      <c r="N782" s="65"/>
      <c r="O782" s="65"/>
      <c r="P782" s="65"/>
      <c r="Q782" s="65"/>
      <c r="R782" s="65"/>
      <c r="S782" s="65"/>
      <c r="T782" s="65"/>
      <c r="U782" s="65"/>
      <c r="V782" s="65"/>
      <c r="W782" s="65"/>
    </row>
    <row r="783" spans="1:23" ht="15.75" customHeight="1" x14ac:dyDescent="0.4">
      <c r="A783" s="293"/>
      <c r="B783" s="65"/>
      <c r="C783" s="65"/>
      <c r="J783" s="65"/>
      <c r="K783" s="65"/>
      <c r="L783" s="65"/>
      <c r="M783" s="65"/>
      <c r="N783" s="65"/>
      <c r="O783" s="65"/>
      <c r="P783" s="65"/>
      <c r="Q783" s="65"/>
      <c r="R783" s="65"/>
      <c r="S783" s="65"/>
      <c r="T783" s="65"/>
      <c r="U783" s="65"/>
      <c r="V783" s="65"/>
      <c r="W783" s="65"/>
    </row>
    <row r="784" spans="1:23" ht="15.75" customHeight="1" x14ac:dyDescent="0.4">
      <c r="A784" s="293"/>
      <c r="B784" s="65"/>
      <c r="C784" s="65"/>
      <c r="J784" s="65"/>
      <c r="K784" s="65"/>
      <c r="L784" s="65"/>
      <c r="M784" s="65"/>
      <c r="N784" s="65"/>
      <c r="O784" s="65"/>
      <c r="P784" s="65"/>
      <c r="Q784" s="65"/>
      <c r="R784" s="65"/>
      <c r="S784" s="65"/>
      <c r="T784" s="65"/>
      <c r="U784" s="65"/>
      <c r="V784" s="65"/>
      <c r="W784" s="65"/>
    </row>
    <row r="785" spans="1:23" ht="15.75" customHeight="1" x14ac:dyDescent="0.4">
      <c r="A785" s="293"/>
      <c r="B785" s="65"/>
      <c r="C785" s="65"/>
      <c r="J785" s="65"/>
      <c r="K785" s="65"/>
      <c r="L785" s="65"/>
      <c r="M785" s="65"/>
      <c r="N785" s="65"/>
      <c r="O785" s="65"/>
      <c r="P785" s="65"/>
      <c r="Q785" s="65"/>
      <c r="R785" s="65"/>
      <c r="S785" s="65"/>
      <c r="T785" s="65"/>
      <c r="U785" s="65"/>
      <c r="V785" s="65"/>
      <c r="W785" s="65"/>
    </row>
    <row r="786" spans="1:23" ht="15.75" customHeight="1" x14ac:dyDescent="0.4">
      <c r="A786" s="293"/>
      <c r="B786" s="65"/>
      <c r="C786" s="65"/>
      <c r="J786" s="65"/>
      <c r="K786" s="65"/>
      <c r="L786" s="65"/>
      <c r="M786" s="65"/>
      <c r="N786" s="65"/>
      <c r="O786" s="65"/>
      <c r="P786" s="65"/>
      <c r="Q786" s="65"/>
      <c r="R786" s="65"/>
      <c r="S786" s="65"/>
      <c r="T786" s="65"/>
      <c r="U786" s="65"/>
      <c r="V786" s="65"/>
      <c r="W786" s="65"/>
    </row>
    <row r="787" spans="1:23" ht="15.75" customHeight="1" x14ac:dyDescent="0.4">
      <c r="A787" s="293"/>
      <c r="B787" s="65"/>
      <c r="C787" s="65"/>
      <c r="J787" s="65"/>
      <c r="K787" s="65"/>
      <c r="L787" s="65"/>
      <c r="M787" s="65"/>
      <c r="N787" s="65"/>
      <c r="O787" s="65"/>
      <c r="P787" s="65"/>
      <c r="Q787" s="65"/>
      <c r="R787" s="65"/>
      <c r="S787" s="65"/>
      <c r="T787" s="65"/>
      <c r="U787" s="65"/>
      <c r="V787" s="65"/>
      <c r="W787" s="65"/>
    </row>
    <row r="788" spans="1:23" ht="15.75" customHeight="1" x14ac:dyDescent="0.4">
      <c r="A788" s="293"/>
      <c r="B788" s="65"/>
      <c r="C788" s="65"/>
      <c r="J788" s="65"/>
      <c r="K788" s="65"/>
      <c r="L788" s="65"/>
      <c r="M788" s="65"/>
      <c r="N788" s="65"/>
      <c r="O788" s="65"/>
      <c r="P788" s="65"/>
      <c r="Q788" s="65"/>
      <c r="R788" s="65"/>
      <c r="S788" s="65"/>
      <c r="T788" s="65"/>
      <c r="U788" s="65"/>
      <c r="V788" s="65"/>
      <c r="W788" s="65"/>
    </row>
    <row r="789" spans="1:23" ht="15.75" customHeight="1" x14ac:dyDescent="0.4">
      <c r="A789" s="293"/>
      <c r="B789" s="65"/>
      <c r="C789" s="65"/>
      <c r="J789" s="65"/>
      <c r="K789" s="65"/>
      <c r="L789" s="65"/>
      <c r="M789" s="65"/>
      <c r="N789" s="65"/>
      <c r="O789" s="65"/>
      <c r="P789" s="65"/>
      <c r="Q789" s="65"/>
      <c r="R789" s="65"/>
      <c r="S789" s="65"/>
      <c r="T789" s="65"/>
      <c r="U789" s="65"/>
      <c r="V789" s="65"/>
      <c r="W789" s="65"/>
    </row>
    <row r="790" spans="1:23" ht="15.75" customHeight="1" x14ac:dyDescent="0.4">
      <c r="A790" s="293"/>
      <c r="B790" s="65"/>
      <c r="C790" s="65"/>
      <c r="J790" s="65"/>
      <c r="K790" s="65"/>
      <c r="L790" s="65"/>
      <c r="M790" s="65"/>
      <c r="N790" s="65"/>
      <c r="O790" s="65"/>
      <c r="P790" s="65"/>
      <c r="Q790" s="65"/>
      <c r="R790" s="65"/>
      <c r="S790" s="65"/>
      <c r="T790" s="65"/>
      <c r="U790" s="65"/>
      <c r="V790" s="65"/>
      <c r="W790" s="65"/>
    </row>
    <row r="791" spans="1:23" ht="15.75" customHeight="1" x14ac:dyDescent="0.4">
      <c r="A791" s="293"/>
      <c r="B791" s="65"/>
      <c r="C791" s="65"/>
      <c r="J791" s="65"/>
      <c r="K791" s="65"/>
      <c r="L791" s="65"/>
      <c r="M791" s="65"/>
      <c r="N791" s="65"/>
      <c r="O791" s="65"/>
      <c r="P791" s="65"/>
      <c r="Q791" s="65"/>
      <c r="R791" s="65"/>
      <c r="S791" s="65"/>
      <c r="T791" s="65"/>
      <c r="U791" s="65"/>
      <c r="V791" s="65"/>
      <c r="W791" s="65"/>
    </row>
    <row r="792" spans="1:23" ht="15.75" customHeight="1" x14ac:dyDescent="0.4">
      <c r="A792" s="293"/>
      <c r="B792" s="65"/>
      <c r="C792" s="65"/>
      <c r="J792" s="65"/>
      <c r="K792" s="65"/>
      <c r="L792" s="65"/>
      <c r="M792" s="65"/>
      <c r="N792" s="65"/>
      <c r="O792" s="65"/>
      <c r="P792" s="65"/>
      <c r="Q792" s="65"/>
      <c r="R792" s="65"/>
      <c r="S792" s="65"/>
      <c r="T792" s="65"/>
      <c r="U792" s="65"/>
      <c r="V792" s="65"/>
      <c r="W792" s="65"/>
    </row>
    <row r="793" spans="1:23" ht="15.75" customHeight="1" x14ac:dyDescent="0.4">
      <c r="A793" s="293"/>
      <c r="B793" s="65"/>
      <c r="C793" s="65"/>
      <c r="J793" s="65"/>
      <c r="K793" s="65"/>
      <c r="L793" s="65"/>
      <c r="M793" s="65"/>
      <c r="N793" s="65"/>
      <c r="O793" s="65"/>
      <c r="P793" s="65"/>
      <c r="Q793" s="65"/>
      <c r="R793" s="65"/>
      <c r="S793" s="65"/>
      <c r="T793" s="65"/>
      <c r="U793" s="65"/>
      <c r="V793" s="65"/>
      <c r="W793" s="65"/>
    </row>
    <row r="794" spans="1:23" ht="15.75" customHeight="1" x14ac:dyDescent="0.4">
      <c r="A794" s="293"/>
      <c r="B794" s="65"/>
      <c r="C794" s="65"/>
      <c r="J794" s="65"/>
      <c r="K794" s="65"/>
      <c r="L794" s="65"/>
      <c r="M794" s="65"/>
      <c r="N794" s="65"/>
      <c r="O794" s="65"/>
      <c r="P794" s="65"/>
      <c r="Q794" s="65"/>
      <c r="R794" s="65"/>
      <c r="S794" s="65"/>
      <c r="T794" s="65"/>
      <c r="U794" s="65"/>
      <c r="V794" s="65"/>
      <c r="W794" s="65"/>
    </row>
    <row r="795" spans="1:23" ht="15.75" customHeight="1" x14ac:dyDescent="0.4">
      <c r="A795" s="293"/>
      <c r="B795" s="65"/>
      <c r="C795" s="65"/>
      <c r="J795" s="65"/>
      <c r="K795" s="65"/>
      <c r="L795" s="65"/>
      <c r="M795" s="65"/>
      <c r="N795" s="65"/>
      <c r="O795" s="65"/>
      <c r="P795" s="65"/>
      <c r="Q795" s="65"/>
      <c r="R795" s="65"/>
      <c r="S795" s="65"/>
      <c r="T795" s="65"/>
      <c r="U795" s="65"/>
      <c r="V795" s="65"/>
      <c r="W795" s="65"/>
    </row>
    <row r="796" spans="1:23" ht="15.75" customHeight="1" x14ac:dyDescent="0.4">
      <c r="A796" s="293"/>
      <c r="B796" s="65"/>
      <c r="C796" s="65"/>
      <c r="J796" s="65"/>
      <c r="K796" s="65"/>
      <c r="L796" s="65"/>
      <c r="M796" s="65"/>
      <c r="N796" s="65"/>
      <c r="O796" s="65"/>
      <c r="P796" s="65"/>
      <c r="Q796" s="65"/>
      <c r="R796" s="65"/>
      <c r="S796" s="65"/>
      <c r="T796" s="65"/>
      <c r="U796" s="65"/>
      <c r="V796" s="65"/>
      <c r="W796" s="65"/>
    </row>
    <row r="797" spans="1:23" ht="15.75" customHeight="1" x14ac:dyDescent="0.4">
      <c r="A797" s="293"/>
      <c r="B797" s="65"/>
      <c r="C797" s="65"/>
      <c r="J797" s="65"/>
      <c r="K797" s="65"/>
      <c r="L797" s="65"/>
      <c r="M797" s="65"/>
      <c r="N797" s="65"/>
      <c r="O797" s="65"/>
      <c r="P797" s="65"/>
      <c r="Q797" s="65"/>
      <c r="R797" s="65"/>
      <c r="S797" s="65"/>
      <c r="T797" s="65"/>
      <c r="U797" s="65"/>
      <c r="V797" s="65"/>
      <c r="W797" s="65"/>
    </row>
    <row r="798" spans="1:23" ht="15.75" customHeight="1" x14ac:dyDescent="0.4">
      <c r="A798" s="293"/>
      <c r="B798" s="65"/>
      <c r="C798" s="65"/>
      <c r="J798" s="65"/>
      <c r="K798" s="65"/>
      <c r="L798" s="65"/>
      <c r="M798" s="65"/>
      <c r="N798" s="65"/>
      <c r="O798" s="65"/>
      <c r="P798" s="65"/>
      <c r="Q798" s="65"/>
      <c r="R798" s="65"/>
      <c r="S798" s="65"/>
      <c r="T798" s="65"/>
      <c r="U798" s="65"/>
      <c r="V798" s="65"/>
      <c r="W798" s="65"/>
    </row>
    <row r="799" spans="1:23" ht="15.75" customHeight="1" x14ac:dyDescent="0.4">
      <c r="A799" s="293"/>
      <c r="B799" s="65"/>
      <c r="C799" s="65"/>
      <c r="J799" s="65"/>
      <c r="K799" s="65"/>
      <c r="L799" s="65"/>
      <c r="M799" s="65"/>
      <c r="N799" s="65"/>
      <c r="O799" s="65"/>
      <c r="P799" s="65"/>
      <c r="Q799" s="65"/>
      <c r="R799" s="65"/>
      <c r="S799" s="65"/>
      <c r="T799" s="65"/>
      <c r="U799" s="65"/>
      <c r="V799" s="65"/>
      <c r="W799" s="65"/>
    </row>
    <row r="800" spans="1:23" ht="15.75" customHeight="1" x14ac:dyDescent="0.4">
      <c r="A800" s="293"/>
      <c r="B800" s="65"/>
      <c r="C800" s="65"/>
      <c r="J800" s="65"/>
      <c r="K800" s="65"/>
      <c r="L800" s="65"/>
      <c r="M800" s="65"/>
      <c r="N800" s="65"/>
      <c r="O800" s="65"/>
      <c r="P800" s="65"/>
      <c r="Q800" s="65"/>
      <c r="R800" s="65"/>
      <c r="S800" s="65"/>
      <c r="T800" s="65"/>
      <c r="U800" s="65"/>
      <c r="V800" s="65"/>
      <c r="W800" s="65"/>
    </row>
    <row r="801" spans="1:23" ht="15.75" customHeight="1" x14ac:dyDescent="0.4">
      <c r="A801" s="293"/>
      <c r="B801" s="65"/>
      <c r="C801" s="65"/>
      <c r="J801" s="65"/>
      <c r="K801" s="65"/>
      <c r="L801" s="65"/>
      <c r="M801" s="65"/>
      <c r="N801" s="65"/>
      <c r="O801" s="65"/>
      <c r="P801" s="65"/>
      <c r="Q801" s="65"/>
      <c r="R801" s="65"/>
      <c r="S801" s="65"/>
      <c r="T801" s="65"/>
      <c r="U801" s="65"/>
      <c r="V801" s="65"/>
      <c r="W801" s="65"/>
    </row>
    <row r="802" spans="1:23" ht="15.75" customHeight="1" x14ac:dyDescent="0.4">
      <c r="A802" s="293"/>
      <c r="B802" s="65"/>
      <c r="C802" s="65"/>
      <c r="J802" s="65"/>
      <c r="K802" s="65"/>
      <c r="L802" s="65"/>
      <c r="M802" s="65"/>
      <c r="N802" s="65"/>
      <c r="O802" s="65"/>
      <c r="P802" s="65"/>
      <c r="Q802" s="65"/>
      <c r="R802" s="65"/>
      <c r="S802" s="65"/>
      <c r="T802" s="65"/>
      <c r="U802" s="65"/>
      <c r="V802" s="65"/>
      <c r="W802" s="65"/>
    </row>
    <row r="803" spans="1:23" ht="15.75" customHeight="1" x14ac:dyDescent="0.4">
      <c r="A803" s="293"/>
      <c r="B803" s="65"/>
      <c r="C803" s="65"/>
      <c r="J803" s="65"/>
      <c r="K803" s="65"/>
      <c r="L803" s="65"/>
      <c r="M803" s="65"/>
      <c r="N803" s="65"/>
      <c r="O803" s="65"/>
      <c r="P803" s="65"/>
      <c r="Q803" s="65"/>
      <c r="R803" s="65"/>
      <c r="S803" s="65"/>
      <c r="T803" s="65"/>
      <c r="U803" s="65"/>
      <c r="V803" s="65"/>
      <c r="W803" s="65"/>
    </row>
    <row r="804" spans="1:23" ht="15.75" customHeight="1" x14ac:dyDescent="0.4">
      <c r="A804" s="293"/>
      <c r="B804" s="65"/>
      <c r="C804" s="65"/>
      <c r="J804" s="65"/>
      <c r="K804" s="65"/>
      <c r="L804" s="65"/>
      <c r="M804" s="65"/>
      <c r="N804" s="65"/>
      <c r="O804" s="65"/>
      <c r="P804" s="65"/>
      <c r="Q804" s="65"/>
      <c r="R804" s="65"/>
      <c r="S804" s="65"/>
      <c r="T804" s="65"/>
      <c r="U804" s="65"/>
      <c r="V804" s="65"/>
      <c r="W804" s="65"/>
    </row>
    <row r="805" spans="1:23" ht="15.75" customHeight="1" x14ac:dyDescent="0.4">
      <c r="A805" s="293"/>
      <c r="B805" s="65"/>
      <c r="C805" s="65"/>
      <c r="J805" s="65"/>
      <c r="K805" s="65"/>
      <c r="L805" s="65"/>
      <c r="M805" s="65"/>
      <c r="N805" s="65"/>
      <c r="O805" s="65"/>
      <c r="P805" s="65"/>
      <c r="Q805" s="65"/>
      <c r="R805" s="65"/>
      <c r="S805" s="65"/>
      <c r="T805" s="65"/>
      <c r="U805" s="65"/>
      <c r="V805" s="65"/>
      <c r="W805" s="65"/>
    </row>
    <row r="806" spans="1:23" ht="15.75" customHeight="1" x14ac:dyDescent="0.4">
      <c r="A806" s="293"/>
      <c r="B806" s="65"/>
      <c r="C806" s="65"/>
      <c r="J806" s="65"/>
      <c r="K806" s="65"/>
      <c r="L806" s="65"/>
      <c r="M806" s="65"/>
      <c r="N806" s="65"/>
      <c r="O806" s="65"/>
      <c r="P806" s="65"/>
      <c r="Q806" s="65"/>
      <c r="R806" s="65"/>
      <c r="S806" s="65"/>
      <c r="T806" s="65"/>
      <c r="U806" s="65"/>
      <c r="V806" s="65"/>
      <c r="W806" s="65"/>
    </row>
    <row r="807" spans="1:23" ht="15.75" customHeight="1" x14ac:dyDescent="0.4">
      <c r="A807" s="293"/>
      <c r="B807" s="65"/>
      <c r="C807" s="65"/>
      <c r="J807" s="65"/>
      <c r="K807" s="65"/>
      <c r="L807" s="65"/>
      <c r="M807" s="65"/>
      <c r="N807" s="65"/>
      <c r="O807" s="65"/>
      <c r="P807" s="65"/>
      <c r="Q807" s="65"/>
      <c r="R807" s="65"/>
      <c r="S807" s="65"/>
      <c r="T807" s="65"/>
      <c r="U807" s="65"/>
      <c r="V807" s="65"/>
      <c r="W807" s="65"/>
    </row>
    <row r="808" spans="1:23" ht="15.75" customHeight="1" x14ac:dyDescent="0.4">
      <c r="A808" s="293"/>
      <c r="B808" s="65"/>
      <c r="C808" s="65"/>
      <c r="J808" s="65"/>
      <c r="K808" s="65"/>
      <c r="L808" s="65"/>
      <c r="M808" s="65"/>
      <c r="N808" s="65"/>
      <c r="O808" s="65"/>
      <c r="P808" s="65"/>
      <c r="Q808" s="65"/>
      <c r="R808" s="65"/>
      <c r="S808" s="65"/>
      <c r="T808" s="65"/>
      <c r="U808" s="65"/>
      <c r="V808" s="65"/>
      <c r="W808" s="65"/>
    </row>
    <row r="809" spans="1:23" ht="15.75" customHeight="1" x14ac:dyDescent="0.4">
      <c r="A809" s="293"/>
      <c r="B809" s="65"/>
      <c r="C809" s="65"/>
      <c r="J809" s="65"/>
      <c r="K809" s="65"/>
      <c r="L809" s="65"/>
      <c r="M809" s="65"/>
      <c r="N809" s="65"/>
      <c r="O809" s="65"/>
      <c r="P809" s="65"/>
      <c r="Q809" s="65"/>
      <c r="R809" s="65"/>
      <c r="S809" s="65"/>
      <c r="T809" s="65"/>
      <c r="U809" s="65"/>
      <c r="V809" s="65"/>
      <c r="W809" s="65"/>
    </row>
    <row r="810" spans="1:23" ht="15.75" customHeight="1" x14ac:dyDescent="0.4">
      <c r="A810" s="293"/>
      <c r="B810" s="65"/>
      <c r="C810" s="65"/>
      <c r="J810" s="65"/>
      <c r="K810" s="65"/>
      <c r="L810" s="65"/>
      <c r="M810" s="65"/>
      <c r="N810" s="65"/>
      <c r="O810" s="65"/>
      <c r="P810" s="65"/>
      <c r="Q810" s="65"/>
      <c r="R810" s="65"/>
      <c r="S810" s="65"/>
      <c r="T810" s="65"/>
      <c r="U810" s="65"/>
      <c r="V810" s="65"/>
      <c r="W810" s="65"/>
    </row>
    <row r="811" spans="1:23" ht="15.75" customHeight="1" x14ac:dyDescent="0.4">
      <c r="A811" s="293"/>
      <c r="B811" s="65"/>
      <c r="C811" s="65"/>
      <c r="J811" s="65"/>
      <c r="K811" s="65"/>
      <c r="L811" s="65"/>
      <c r="M811" s="65"/>
      <c r="N811" s="65"/>
      <c r="O811" s="65"/>
      <c r="P811" s="65"/>
      <c r="Q811" s="65"/>
      <c r="R811" s="65"/>
      <c r="S811" s="65"/>
      <c r="T811" s="65"/>
      <c r="U811" s="65"/>
      <c r="V811" s="65"/>
      <c r="W811" s="65"/>
    </row>
    <row r="812" spans="1:23" ht="15.75" customHeight="1" x14ac:dyDescent="0.4">
      <c r="A812" s="293"/>
      <c r="B812" s="65"/>
      <c r="C812" s="65"/>
      <c r="J812" s="65"/>
      <c r="K812" s="65"/>
      <c r="L812" s="65"/>
      <c r="M812" s="65"/>
      <c r="N812" s="65"/>
      <c r="O812" s="65"/>
      <c r="P812" s="65"/>
      <c r="Q812" s="65"/>
      <c r="R812" s="65"/>
      <c r="S812" s="65"/>
      <c r="T812" s="65"/>
      <c r="U812" s="65"/>
      <c r="V812" s="65"/>
      <c r="W812" s="65"/>
    </row>
    <row r="813" spans="1:23" ht="15.75" customHeight="1" x14ac:dyDescent="0.4">
      <c r="A813" s="293"/>
      <c r="B813" s="65"/>
      <c r="C813" s="65"/>
      <c r="J813" s="65"/>
      <c r="K813" s="65"/>
      <c r="L813" s="65"/>
      <c r="M813" s="65"/>
      <c r="N813" s="65"/>
      <c r="O813" s="65"/>
      <c r="P813" s="65"/>
      <c r="Q813" s="65"/>
      <c r="R813" s="65"/>
      <c r="S813" s="65"/>
      <c r="T813" s="65"/>
      <c r="U813" s="65"/>
      <c r="V813" s="65"/>
      <c r="W813" s="65"/>
    </row>
    <row r="814" spans="1:23" ht="15.75" customHeight="1" x14ac:dyDescent="0.4">
      <c r="A814" s="293"/>
      <c r="B814" s="65"/>
      <c r="C814" s="65"/>
      <c r="J814" s="65"/>
      <c r="K814" s="65"/>
      <c r="L814" s="65"/>
      <c r="M814" s="65"/>
      <c r="N814" s="65"/>
      <c r="O814" s="65"/>
      <c r="P814" s="65"/>
      <c r="Q814" s="65"/>
      <c r="R814" s="65"/>
      <c r="S814" s="65"/>
      <c r="T814" s="65"/>
      <c r="U814" s="65"/>
      <c r="V814" s="65"/>
      <c r="W814" s="65"/>
    </row>
    <row r="815" spans="1:23" ht="15.75" customHeight="1" x14ac:dyDescent="0.4">
      <c r="A815" s="293"/>
      <c r="B815" s="65"/>
      <c r="C815" s="65"/>
      <c r="J815" s="65"/>
      <c r="K815" s="65"/>
      <c r="L815" s="65"/>
      <c r="M815" s="65"/>
      <c r="N815" s="65"/>
      <c r="O815" s="65"/>
      <c r="P815" s="65"/>
      <c r="Q815" s="65"/>
      <c r="R815" s="65"/>
      <c r="S815" s="65"/>
      <c r="T815" s="65"/>
      <c r="U815" s="65"/>
      <c r="V815" s="65"/>
      <c r="W815" s="65"/>
    </row>
    <row r="816" spans="1:23" ht="15.75" customHeight="1" x14ac:dyDescent="0.4">
      <c r="A816" s="293"/>
      <c r="B816" s="65"/>
      <c r="C816" s="65"/>
      <c r="J816" s="65"/>
      <c r="K816" s="65"/>
      <c r="L816" s="65"/>
      <c r="M816" s="65"/>
      <c r="N816" s="65"/>
      <c r="O816" s="65"/>
      <c r="P816" s="65"/>
      <c r="Q816" s="65"/>
      <c r="R816" s="65"/>
      <c r="S816" s="65"/>
      <c r="T816" s="65"/>
      <c r="U816" s="65"/>
      <c r="V816" s="65"/>
      <c r="W816" s="65"/>
    </row>
    <row r="817" spans="1:23" ht="15.75" customHeight="1" x14ac:dyDescent="0.4">
      <c r="A817" s="293"/>
      <c r="B817" s="65"/>
      <c r="C817" s="65"/>
      <c r="J817" s="65"/>
      <c r="K817" s="65"/>
      <c r="L817" s="65"/>
      <c r="M817" s="65"/>
      <c r="N817" s="65"/>
      <c r="O817" s="65"/>
      <c r="P817" s="65"/>
      <c r="Q817" s="65"/>
      <c r="R817" s="65"/>
      <c r="S817" s="65"/>
      <c r="T817" s="65"/>
      <c r="U817" s="65"/>
      <c r="V817" s="65"/>
      <c r="W817" s="65"/>
    </row>
    <row r="818" spans="1:23" ht="15.75" customHeight="1" x14ac:dyDescent="0.4">
      <c r="A818" s="293"/>
      <c r="B818" s="65"/>
      <c r="C818" s="65"/>
      <c r="J818" s="65"/>
      <c r="K818" s="65"/>
      <c r="L818" s="65"/>
      <c r="M818" s="65"/>
      <c r="N818" s="65"/>
      <c r="O818" s="65"/>
      <c r="P818" s="65"/>
      <c r="Q818" s="65"/>
      <c r="R818" s="65"/>
      <c r="S818" s="65"/>
      <c r="T818" s="65"/>
      <c r="U818" s="65"/>
      <c r="V818" s="65"/>
      <c r="W818" s="65"/>
    </row>
    <row r="819" spans="1:23" ht="15.75" customHeight="1" x14ac:dyDescent="0.4">
      <c r="A819" s="293"/>
      <c r="B819" s="65"/>
      <c r="C819" s="65"/>
      <c r="J819" s="65"/>
      <c r="K819" s="65"/>
      <c r="L819" s="65"/>
      <c r="M819" s="65"/>
      <c r="N819" s="65"/>
      <c r="O819" s="65"/>
      <c r="P819" s="65"/>
      <c r="Q819" s="65"/>
      <c r="R819" s="65"/>
      <c r="S819" s="65"/>
      <c r="T819" s="65"/>
      <c r="U819" s="65"/>
      <c r="V819" s="65"/>
      <c r="W819" s="65"/>
    </row>
    <row r="820" spans="1:23" ht="15.75" customHeight="1" x14ac:dyDescent="0.4">
      <c r="A820" s="293"/>
      <c r="B820" s="65"/>
      <c r="C820" s="65"/>
      <c r="J820" s="65"/>
      <c r="K820" s="65"/>
      <c r="L820" s="65"/>
      <c r="M820" s="65"/>
      <c r="N820" s="65"/>
      <c r="O820" s="65"/>
      <c r="P820" s="65"/>
      <c r="Q820" s="65"/>
      <c r="R820" s="65"/>
      <c r="S820" s="65"/>
      <c r="T820" s="65"/>
      <c r="U820" s="65"/>
      <c r="V820" s="65"/>
      <c r="W820" s="65"/>
    </row>
    <row r="821" spans="1:23" ht="15.75" customHeight="1" x14ac:dyDescent="0.4">
      <c r="A821" s="293"/>
      <c r="B821" s="65"/>
      <c r="C821" s="65"/>
      <c r="J821" s="65"/>
      <c r="K821" s="65"/>
      <c r="L821" s="65"/>
      <c r="M821" s="65"/>
      <c r="N821" s="65"/>
      <c r="O821" s="65"/>
      <c r="P821" s="65"/>
      <c r="Q821" s="65"/>
      <c r="R821" s="65"/>
      <c r="S821" s="65"/>
      <c r="T821" s="65"/>
      <c r="U821" s="65"/>
      <c r="V821" s="65"/>
      <c r="W821" s="65"/>
    </row>
    <row r="822" spans="1:23" ht="15.75" customHeight="1" x14ac:dyDescent="0.4">
      <c r="A822" s="293"/>
      <c r="B822" s="65"/>
      <c r="C822" s="65"/>
      <c r="J822" s="65"/>
      <c r="K822" s="65"/>
      <c r="L822" s="65"/>
      <c r="M822" s="65"/>
      <c r="N822" s="65"/>
      <c r="O822" s="65"/>
      <c r="P822" s="65"/>
      <c r="Q822" s="65"/>
      <c r="R822" s="65"/>
      <c r="S822" s="65"/>
      <c r="T822" s="65"/>
      <c r="U822" s="65"/>
      <c r="V822" s="65"/>
      <c r="W822" s="65"/>
    </row>
    <row r="823" spans="1:23" ht="15.75" customHeight="1" x14ac:dyDescent="0.4">
      <c r="A823" s="293"/>
      <c r="B823" s="65"/>
      <c r="C823" s="65"/>
      <c r="J823" s="65"/>
      <c r="K823" s="65"/>
      <c r="L823" s="65"/>
      <c r="M823" s="65"/>
      <c r="N823" s="65"/>
      <c r="O823" s="65"/>
      <c r="P823" s="65"/>
      <c r="Q823" s="65"/>
      <c r="R823" s="65"/>
      <c r="S823" s="65"/>
      <c r="T823" s="65"/>
      <c r="U823" s="65"/>
      <c r="V823" s="65"/>
      <c r="W823" s="65"/>
    </row>
    <row r="824" spans="1:23" ht="15.75" customHeight="1" x14ac:dyDescent="0.4">
      <c r="A824" s="293"/>
      <c r="B824" s="65"/>
      <c r="C824" s="65"/>
      <c r="J824" s="65"/>
      <c r="K824" s="65"/>
      <c r="L824" s="65"/>
      <c r="M824" s="65"/>
      <c r="N824" s="65"/>
      <c r="O824" s="65"/>
      <c r="P824" s="65"/>
      <c r="Q824" s="65"/>
      <c r="R824" s="65"/>
      <c r="S824" s="65"/>
      <c r="T824" s="65"/>
      <c r="U824" s="65"/>
      <c r="V824" s="65"/>
      <c r="W824" s="65"/>
    </row>
    <row r="825" spans="1:23" ht="15.75" customHeight="1" x14ac:dyDescent="0.4">
      <c r="A825" s="293"/>
      <c r="B825" s="65"/>
      <c r="C825" s="65"/>
      <c r="J825" s="65"/>
      <c r="K825" s="65"/>
      <c r="L825" s="65"/>
      <c r="M825" s="65"/>
      <c r="N825" s="65"/>
      <c r="O825" s="65"/>
      <c r="P825" s="65"/>
      <c r="Q825" s="65"/>
      <c r="R825" s="65"/>
      <c r="S825" s="65"/>
      <c r="T825" s="65"/>
      <c r="U825" s="65"/>
      <c r="V825" s="65"/>
      <c r="W825" s="65"/>
    </row>
    <row r="826" spans="1:23" ht="15.75" customHeight="1" x14ac:dyDescent="0.4">
      <c r="A826" s="293"/>
      <c r="B826" s="65"/>
      <c r="C826" s="65"/>
      <c r="J826" s="65"/>
      <c r="K826" s="65"/>
      <c r="L826" s="65"/>
      <c r="M826" s="65"/>
      <c r="N826" s="65"/>
      <c r="O826" s="65"/>
      <c r="P826" s="65"/>
      <c r="Q826" s="65"/>
      <c r="R826" s="65"/>
      <c r="S826" s="65"/>
      <c r="T826" s="65"/>
      <c r="U826" s="65"/>
      <c r="V826" s="65"/>
      <c r="W826" s="65"/>
    </row>
    <row r="827" spans="1:23" ht="15.75" customHeight="1" x14ac:dyDescent="0.4">
      <c r="A827" s="293"/>
      <c r="B827" s="65"/>
      <c r="C827" s="65"/>
      <c r="J827" s="65"/>
      <c r="K827" s="65"/>
      <c r="L827" s="65"/>
      <c r="M827" s="65"/>
      <c r="N827" s="65"/>
      <c r="O827" s="65"/>
      <c r="P827" s="65"/>
      <c r="Q827" s="65"/>
      <c r="R827" s="65"/>
      <c r="S827" s="65"/>
      <c r="T827" s="65"/>
      <c r="U827" s="65"/>
      <c r="V827" s="65"/>
      <c r="W827" s="65"/>
    </row>
    <row r="828" spans="1:23" ht="15.75" customHeight="1" x14ac:dyDescent="0.4">
      <c r="A828" s="293"/>
      <c r="B828" s="65"/>
      <c r="C828" s="65"/>
      <c r="J828" s="65"/>
      <c r="K828" s="65"/>
      <c r="L828" s="65"/>
      <c r="M828" s="65"/>
      <c r="N828" s="65"/>
      <c r="O828" s="65"/>
      <c r="P828" s="65"/>
      <c r="Q828" s="65"/>
      <c r="R828" s="65"/>
      <c r="S828" s="65"/>
      <c r="T828" s="65"/>
      <c r="U828" s="65"/>
      <c r="V828" s="65"/>
      <c r="W828" s="65"/>
    </row>
    <row r="829" spans="1:23" ht="15.75" customHeight="1" x14ac:dyDescent="0.4">
      <c r="A829" s="293"/>
      <c r="B829" s="65"/>
      <c r="C829" s="65"/>
      <c r="J829" s="65"/>
      <c r="K829" s="65"/>
      <c r="L829" s="65"/>
      <c r="M829" s="65"/>
      <c r="N829" s="65"/>
      <c r="O829" s="65"/>
      <c r="P829" s="65"/>
      <c r="Q829" s="65"/>
      <c r="R829" s="65"/>
      <c r="S829" s="65"/>
      <c r="T829" s="65"/>
      <c r="U829" s="65"/>
      <c r="V829" s="65"/>
      <c r="W829" s="65"/>
    </row>
    <row r="830" spans="1:23" ht="15.75" customHeight="1" x14ac:dyDescent="0.4">
      <c r="A830" s="293"/>
      <c r="B830" s="65"/>
      <c r="C830" s="65"/>
      <c r="J830" s="65"/>
      <c r="K830" s="65"/>
      <c r="L830" s="65"/>
      <c r="M830" s="65"/>
      <c r="N830" s="65"/>
      <c r="O830" s="65"/>
      <c r="P830" s="65"/>
      <c r="Q830" s="65"/>
      <c r="R830" s="65"/>
      <c r="S830" s="65"/>
      <c r="T830" s="65"/>
      <c r="U830" s="65"/>
      <c r="V830" s="65"/>
      <c r="W830" s="65"/>
    </row>
    <row r="831" spans="1:23" ht="15.75" customHeight="1" x14ac:dyDescent="0.4">
      <c r="A831" s="293"/>
      <c r="B831" s="65"/>
      <c r="C831" s="65"/>
      <c r="J831" s="65"/>
      <c r="K831" s="65"/>
      <c r="L831" s="65"/>
      <c r="M831" s="65"/>
      <c r="N831" s="65"/>
      <c r="O831" s="65"/>
      <c r="P831" s="65"/>
      <c r="Q831" s="65"/>
      <c r="R831" s="65"/>
      <c r="S831" s="65"/>
      <c r="T831" s="65"/>
      <c r="U831" s="65"/>
      <c r="V831" s="65"/>
      <c r="W831" s="65"/>
    </row>
    <row r="832" spans="1:23" ht="15.75" customHeight="1" x14ac:dyDescent="0.4">
      <c r="A832" s="293"/>
      <c r="B832" s="65"/>
      <c r="C832" s="65"/>
      <c r="J832" s="65"/>
      <c r="K832" s="65"/>
      <c r="L832" s="65"/>
      <c r="M832" s="65"/>
      <c r="N832" s="65"/>
      <c r="O832" s="65"/>
      <c r="P832" s="65"/>
      <c r="Q832" s="65"/>
      <c r="R832" s="65"/>
      <c r="S832" s="65"/>
      <c r="T832" s="65"/>
      <c r="U832" s="65"/>
      <c r="V832" s="65"/>
      <c r="W832" s="65"/>
    </row>
    <row r="833" spans="1:23" ht="15.75" customHeight="1" x14ac:dyDescent="0.4">
      <c r="A833" s="293"/>
      <c r="B833" s="65"/>
      <c r="C833" s="65"/>
      <c r="J833" s="65"/>
      <c r="K833" s="65"/>
      <c r="L833" s="65"/>
      <c r="M833" s="65"/>
      <c r="N833" s="65"/>
      <c r="O833" s="65"/>
      <c r="P833" s="65"/>
      <c r="Q833" s="65"/>
      <c r="R833" s="65"/>
      <c r="S833" s="65"/>
      <c r="T833" s="65"/>
      <c r="U833" s="65"/>
      <c r="V833" s="65"/>
      <c r="W833" s="65"/>
    </row>
    <row r="834" spans="1:23" ht="15.75" customHeight="1" x14ac:dyDescent="0.4">
      <c r="A834" s="293"/>
      <c r="B834" s="65"/>
      <c r="C834" s="65"/>
      <c r="J834" s="65"/>
      <c r="K834" s="65"/>
      <c r="L834" s="65"/>
      <c r="M834" s="65"/>
      <c r="N834" s="65"/>
      <c r="O834" s="65"/>
      <c r="P834" s="65"/>
      <c r="Q834" s="65"/>
      <c r="R834" s="65"/>
      <c r="S834" s="65"/>
      <c r="T834" s="65"/>
      <c r="U834" s="65"/>
      <c r="V834" s="65"/>
      <c r="W834" s="65"/>
    </row>
    <row r="835" spans="1:23" ht="15.75" customHeight="1" x14ac:dyDescent="0.4">
      <c r="A835" s="293"/>
      <c r="B835" s="65"/>
      <c r="C835" s="65"/>
      <c r="J835" s="65"/>
      <c r="K835" s="65"/>
      <c r="L835" s="65"/>
      <c r="M835" s="65"/>
      <c r="N835" s="65"/>
      <c r="O835" s="65"/>
      <c r="P835" s="65"/>
      <c r="Q835" s="65"/>
      <c r="R835" s="65"/>
      <c r="S835" s="65"/>
      <c r="T835" s="65"/>
      <c r="U835" s="65"/>
      <c r="V835" s="65"/>
      <c r="W835" s="65"/>
    </row>
    <row r="836" spans="1:23" ht="15.75" customHeight="1" x14ac:dyDescent="0.4">
      <c r="A836" s="293"/>
      <c r="B836" s="65"/>
      <c r="C836" s="65"/>
      <c r="J836" s="65"/>
      <c r="K836" s="65"/>
      <c r="L836" s="65"/>
      <c r="M836" s="65"/>
      <c r="N836" s="65"/>
      <c r="O836" s="65"/>
      <c r="P836" s="65"/>
      <c r="Q836" s="65"/>
      <c r="R836" s="65"/>
      <c r="S836" s="65"/>
      <c r="T836" s="65"/>
      <c r="U836" s="65"/>
      <c r="V836" s="65"/>
      <c r="W836" s="65"/>
    </row>
    <row r="837" spans="1:23" ht="15.75" customHeight="1" x14ac:dyDescent="0.4">
      <c r="A837" s="293"/>
      <c r="B837" s="65"/>
      <c r="C837" s="65"/>
      <c r="J837" s="65"/>
      <c r="K837" s="65"/>
      <c r="L837" s="65"/>
      <c r="M837" s="65"/>
      <c r="N837" s="65"/>
      <c r="O837" s="65"/>
      <c r="P837" s="65"/>
      <c r="Q837" s="65"/>
      <c r="R837" s="65"/>
      <c r="S837" s="65"/>
      <c r="T837" s="65"/>
      <c r="U837" s="65"/>
      <c r="V837" s="65"/>
      <c r="W837" s="65"/>
    </row>
    <row r="838" spans="1:23" ht="15.75" customHeight="1" x14ac:dyDescent="0.4">
      <c r="A838" s="293"/>
      <c r="B838" s="65"/>
      <c r="C838" s="65"/>
      <c r="J838" s="65"/>
      <c r="K838" s="65"/>
      <c r="L838" s="65"/>
      <c r="M838" s="65"/>
      <c r="N838" s="65"/>
      <c r="O838" s="65"/>
      <c r="P838" s="65"/>
      <c r="Q838" s="65"/>
      <c r="R838" s="65"/>
      <c r="S838" s="65"/>
      <c r="T838" s="65"/>
      <c r="U838" s="65"/>
      <c r="V838" s="65"/>
      <c r="W838" s="65"/>
    </row>
    <row r="839" spans="1:23" ht="15.75" customHeight="1" x14ac:dyDescent="0.4">
      <c r="A839" s="293"/>
      <c r="B839" s="65"/>
      <c r="C839" s="65"/>
      <c r="J839" s="65"/>
      <c r="K839" s="65"/>
      <c r="L839" s="65"/>
      <c r="M839" s="65"/>
      <c r="N839" s="65"/>
      <c r="O839" s="65"/>
      <c r="P839" s="65"/>
      <c r="Q839" s="65"/>
      <c r="R839" s="65"/>
      <c r="S839" s="65"/>
      <c r="T839" s="65"/>
      <c r="U839" s="65"/>
      <c r="V839" s="65"/>
      <c r="W839" s="65"/>
    </row>
    <row r="840" spans="1:23" ht="15.75" customHeight="1" x14ac:dyDescent="0.4">
      <c r="A840" s="293"/>
      <c r="B840" s="65"/>
      <c r="C840" s="65"/>
      <c r="J840" s="65"/>
      <c r="K840" s="65"/>
      <c r="L840" s="65"/>
      <c r="M840" s="65"/>
      <c r="N840" s="65"/>
      <c r="O840" s="65"/>
      <c r="P840" s="65"/>
      <c r="Q840" s="65"/>
      <c r="R840" s="65"/>
      <c r="S840" s="65"/>
      <c r="T840" s="65"/>
      <c r="U840" s="65"/>
      <c r="V840" s="65"/>
      <c r="W840" s="65"/>
    </row>
    <row r="841" spans="1:23" ht="15.75" customHeight="1" x14ac:dyDescent="0.4">
      <c r="A841" s="293"/>
      <c r="B841" s="65"/>
      <c r="C841" s="65"/>
      <c r="J841" s="65"/>
      <c r="K841" s="65"/>
      <c r="L841" s="65"/>
      <c r="M841" s="65"/>
      <c r="N841" s="65"/>
      <c r="O841" s="65"/>
      <c r="P841" s="65"/>
      <c r="Q841" s="65"/>
      <c r="R841" s="65"/>
      <c r="S841" s="65"/>
      <c r="T841" s="65"/>
      <c r="U841" s="65"/>
      <c r="V841" s="65"/>
      <c r="W841" s="65"/>
    </row>
    <row r="842" spans="1:23" ht="15.75" customHeight="1" x14ac:dyDescent="0.4">
      <c r="A842" s="293"/>
      <c r="B842" s="65"/>
      <c r="C842" s="65"/>
      <c r="J842" s="65"/>
      <c r="K842" s="65"/>
      <c r="L842" s="65"/>
      <c r="M842" s="65"/>
      <c r="N842" s="65"/>
      <c r="O842" s="65"/>
      <c r="P842" s="65"/>
      <c r="Q842" s="65"/>
      <c r="R842" s="65"/>
      <c r="S842" s="65"/>
      <c r="T842" s="65"/>
      <c r="U842" s="65"/>
      <c r="V842" s="65"/>
      <c r="W842" s="65"/>
    </row>
    <row r="843" spans="1:23" ht="15.75" customHeight="1" x14ac:dyDescent="0.4">
      <c r="A843" s="293"/>
      <c r="B843" s="65"/>
      <c r="C843" s="65"/>
      <c r="J843" s="65"/>
      <c r="K843" s="65"/>
      <c r="L843" s="65"/>
      <c r="M843" s="65"/>
      <c r="N843" s="65"/>
      <c r="O843" s="65"/>
      <c r="P843" s="65"/>
      <c r="Q843" s="65"/>
      <c r="R843" s="65"/>
      <c r="S843" s="65"/>
      <c r="T843" s="65"/>
      <c r="U843" s="65"/>
      <c r="V843" s="65"/>
      <c r="W843" s="65"/>
    </row>
    <row r="844" spans="1:23" ht="15.75" customHeight="1" x14ac:dyDescent="0.4">
      <c r="A844" s="293"/>
      <c r="B844" s="65"/>
      <c r="C844" s="65"/>
      <c r="J844" s="65"/>
      <c r="K844" s="65"/>
      <c r="L844" s="65"/>
      <c r="M844" s="65"/>
      <c r="N844" s="65"/>
      <c r="O844" s="65"/>
      <c r="P844" s="65"/>
      <c r="Q844" s="65"/>
      <c r="R844" s="65"/>
      <c r="S844" s="65"/>
      <c r="T844" s="65"/>
      <c r="U844" s="65"/>
      <c r="V844" s="65"/>
      <c r="W844" s="65"/>
    </row>
    <row r="845" spans="1:23" ht="15.75" customHeight="1" x14ac:dyDescent="0.4">
      <c r="A845" s="293"/>
      <c r="B845" s="65"/>
      <c r="C845" s="65"/>
      <c r="J845" s="65"/>
      <c r="K845" s="65"/>
      <c r="L845" s="65"/>
      <c r="M845" s="65"/>
      <c r="N845" s="65"/>
      <c r="O845" s="65"/>
      <c r="P845" s="65"/>
      <c r="Q845" s="65"/>
      <c r="R845" s="65"/>
      <c r="S845" s="65"/>
      <c r="T845" s="65"/>
      <c r="U845" s="65"/>
      <c r="V845" s="65"/>
      <c r="W845" s="65"/>
    </row>
    <row r="846" spans="1:23" ht="15.75" customHeight="1" x14ac:dyDescent="0.4">
      <c r="A846" s="293"/>
      <c r="B846" s="65"/>
      <c r="C846" s="65"/>
      <c r="J846" s="65"/>
      <c r="K846" s="65"/>
      <c r="L846" s="65"/>
      <c r="M846" s="65"/>
      <c r="N846" s="65"/>
      <c r="O846" s="65"/>
      <c r="P846" s="65"/>
      <c r="Q846" s="65"/>
      <c r="R846" s="65"/>
      <c r="S846" s="65"/>
      <c r="T846" s="65"/>
      <c r="U846" s="65"/>
      <c r="V846" s="65"/>
      <c r="W846" s="65"/>
    </row>
    <row r="847" spans="1:23" ht="15.75" customHeight="1" x14ac:dyDescent="0.4">
      <c r="A847" s="293"/>
      <c r="B847" s="65"/>
      <c r="C847" s="65"/>
      <c r="J847" s="65"/>
      <c r="K847" s="65"/>
      <c r="L847" s="65"/>
      <c r="M847" s="65"/>
      <c r="N847" s="65"/>
      <c r="O847" s="65"/>
      <c r="P847" s="65"/>
      <c r="Q847" s="65"/>
      <c r="R847" s="65"/>
      <c r="S847" s="65"/>
      <c r="T847" s="65"/>
      <c r="U847" s="65"/>
      <c r="V847" s="65"/>
      <c r="W847" s="65"/>
    </row>
    <row r="848" spans="1:23" ht="15.75" customHeight="1" x14ac:dyDescent="0.4">
      <c r="A848" s="293"/>
      <c r="B848" s="65"/>
      <c r="C848" s="65"/>
      <c r="J848" s="65"/>
      <c r="K848" s="65"/>
      <c r="L848" s="65"/>
      <c r="M848" s="65"/>
      <c r="N848" s="65"/>
      <c r="O848" s="65"/>
      <c r="P848" s="65"/>
      <c r="Q848" s="65"/>
      <c r="R848" s="65"/>
      <c r="S848" s="65"/>
      <c r="T848" s="65"/>
      <c r="U848" s="65"/>
      <c r="V848" s="65"/>
      <c r="W848" s="65"/>
    </row>
    <row r="849" spans="1:23" ht="15.75" customHeight="1" x14ac:dyDescent="0.4">
      <c r="A849" s="293"/>
      <c r="B849" s="65"/>
      <c r="C849" s="65"/>
      <c r="J849" s="65"/>
      <c r="K849" s="65"/>
      <c r="L849" s="65"/>
      <c r="M849" s="65"/>
      <c r="N849" s="65"/>
      <c r="O849" s="65"/>
      <c r="P849" s="65"/>
      <c r="Q849" s="65"/>
      <c r="R849" s="65"/>
      <c r="S849" s="65"/>
      <c r="T849" s="65"/>
      <c r="U849" s="65"/>
      <c r="V849" s="65"/>
      <c r="W849" s="65"/>
    </row>
    <row r="850" spans="1:23" ht="15.75" customHeight="1" x14ac:dyDescent="0.4">
      <c r="A850" s="293"/>
      <c r="B850" s="65"/>
      <c r="C850" s="65"/>
      <c r="J850" s="65"/>
      <c r="K850" s="65"/>
      <c r="L850" s="65"/>
      <c r="M850" s="65"/>
      <c r="N850" s="65"/>
      <c r="O850" s="65"/>
      <c r="P850" s="65"/>
      <c r="Q850" s="65"/>
      <c r="R850" s="65"/>
      <c r="S850" s="65"/>
      <c r="T850" s="65"/>
      <c r="U850" s="65"/>
      <c r="V850" s="65"/>
      <c r="W850" s="65"/>
    </row>
    <row r="851" spans="1:23" ht="15.75" customHeight="1" x14ac:dyDescent="0.4">
      <c r="A851" s="293"/>
      <c r="B851" s="65"/>
      <c r="C851" s="65"/>
      <c r="J851" s="65"/>
      <c r="K851" s="65"/>
      <c r="L851" s="65"/>
      <c r="M851" s="65"/>
      <c r="N851" s="65"/>
      <c r="O851" s="65"/>
      <c r="P851" s="65"/>
      <c r="Q851" s="65"/>
      <c r="R851" s="65"/>
      <c r="S851" s="65"/>
      <c r="T851" s="65"/>
      <c r="U851" s="65"/>
      <c r="V851" s="65"/>
      <c r="W851" s="65"/>
    </row>
    <row r="852" spans="1:23" ht="15.75" customHeight="1" x14ac:dyDescent="0.4">
      <c r="A852" s="293"/>
      <c r="B852" s="65"/>
      <c r="C852" s="65"/>
      <c r="J852" s="65"/>
      <c r="K852" s="65"/>
      <c r="L852" s="65"/>
      <c r="M852" s="65"/>
      <c r="N852" s="65"/>
      <c r="O852" s="65"/>
      <c r="P852" s="65"/>
      <c r="Q852" s="65"/>
      <c r="R852" s="65"/>
      <c r="S852" s="65"/>
      <c r="T852" s="65"/>
      <c r="U852" s="65"/>
      <c r="V852" s="65"/>
      <c r="W852" s="65"/>
    </row>
    <row r="853" spans="1:23" ht="15.75" customHeight="1" x14ac:dyDescent="0.4">
      <c r="A853" s="293"/>
      <c r="B853" s="65"/>
      <c r="C853" s="65"/>
      <c r="J853" s="65"/>
      <c r="K853" s="65"/>
      <c r="L853" s="65"/>
      <c r="M853" s="65"/>
      <c r="N853" s="65"/>
      <c r="O853" s="65"/>
      <c r="P853" s="65"/>
      <c r="Q853" s="65"/>
      <c r="R853" s="65"/>
      <c r="S853" s="65"/>
      <c r="T853" s="65"/>
      <c r="U853" s="65"/>
      <c r="V853" s="65"/>
      <c r="W853" s="65"/>
    </row>
    <row r="854" spans="1:23" ht="15.75" customHeight="1" x14ac:dyDescent="0.4">
      <c r="A854" s="293"/>
      <c r="B854" s="65"/>
      <c r="C854" s="65"/>
      <c r="J854" s="65"/>
      <c r="K854" s="65"/>
      <c r="L854" s="65"/>
      <c r="M854" s="65"/>
      <c r="N854" s="65"/>
      <c r="O854" s="65"/>
      <c r="P854" s="65"/>
      <c r="Q854" s="65"/>
      <c r="R854" s="65"/>
      <c r="S854" s="65"/>
      <c r="T854" s="65"/>
      <c r="U854" s="65"/>
      <c r="V854" s="65"/>
      <c r="W854" s="65"/>
    </row>
    <row r="855" spans="1:23" ht="15.75" customHeight="1" x14ac:dyDescent="0.4">
      <c r="A855" s="293"/>
      <c r="B855" s="65"/>
      <c r="C855" s="65"/>
      <c r="J855" s="65"/>
      <c r="K855" s="65"/>
      <c r="L855" s="65"/>
      <c r="M855" s="65"/>
      <c r="N855" s="65"/>
      <c r="O855" s="65"/>
      <c r="P855" s="65"/>
      <c r="Q855" s="65"/>
      <c r="R855" s="65"/>
      <c r="S855" s="65"/>
      <c r="T855" s="65"/>
      <c r="U855" s="65"/>
      <c r="V855" s="65"/>
      <c r="W855" s="65"/>
    </row>
    <row r="856" spans="1:23" ht="15.75" customHeight="1" x14ac:dyDescent="0.4">
      <c r="A856" s="293"/>
      <c r="B856" s="65"/>
      <c r="C856" s="65"/>
      <c r="J856" s="65"/>
      <c r="K856" s="65"/>
      <c r="L856" s="65"/>
      <c r="M856" s="65"/>
      <c r="N856" s="65"/>
      <c r="O856" s="65"/>
      <c r="P856" s="65"/>
      <c r="Q856" s="65"/>
      <c r="R856" s="65"/>
      <c r="S856" s="65"/>
      <c r="T856" s="65"/>
      <c r="U856" s="65"/>
      <c r="V856" s="65"/>
      <c r="W856" s="65"/>
    </row>
    <row r="857" spans="1:23" ht="15.75" customHeight="1" x14ac:dyDescent="0.4">
      <c r="A857" s="293"/>
      <c r="B857" s="65"/>
      <c r="C857" s="65"/>
      <c r="J857" s="65"/>
      <c r="K857" s="65"/>
      <c r="L857" s="65"/>
      <c r="M857" s="65"/>
      <c r="N857" s="65"/>
      <c r="O857" s="65"/>
      <c r="P857" s="65"/>
      <c r="Q857" s="65"/>
      <c r="R857" s="65"/>
      <c r="S857" s="65"/>
      <c r="T857" s="65"/>
      <c r="U857" s="65"/>
      <c r="V857" s="65"/>
      <c r="W857" s="65"/>
    </row>
    <row r="858" spans="1:23" ht="15.75" customHeight="1" x14ac:dyDescent="0.4">
      <c r="A858" s="293"/>
      <c r="B858" s="65"/>
      <c r="C858" s="65"/>
      <c r="J858" s="65"/>
      <c r="K858" s="65"/>
      <c r="L858" s="65"/>
      <c r="M858" s="65"/>
      <c r="N858" s="65"/>
      <c r="O858" s="65"/>
      <c r="P858" s="65"/>
      <c r="Q858" s="65"/>
      <c r="R858" s="65"/>
      <c r="S858" s="65"/>
      <c r="T858" s="65"/>
      <c r="U858" s="65"/>
      <c r="V858" s="65"/>
      <c r="W858" s="65"/>
    </row>
    <row r="859" spans="1:23" ht="15.75" customHeight="1" x14ac:dyDescent="0.4">
      <c r="A859" s="293"/>
      <c r="B859" s="65"/>
      <c r="C859" s="65"/>
      <c r="J859" s="65"/>
      <c r="K859" s="65"/>
      <c r="L859" s="65"/>
      <c r="M859" s="65"/>
      <c r="N859" s="65"/>
      <c r="O859" s="65"/>
      <c r="P859" s="65"/>
      <c r="Q859" s="65"/>
      <c r="R859" s="65"/>
      <c r="S859" s="65"/>
      <c r="T859" s="65"/>
      <c r="U859" s="65"/>
      <c r="V859" s="65"/>
      <c r="W859" s="65"/>
    </row>
    <row r="860" spans="1:23" ht="15.75" customHeight="1" x14ac:dyDescent="0.4">
      <c r="A860" s="293"/>
      <c r="B860" s="65"/>
      <c r="C860" s="65"/>
      <c r="J860" s="65"/>
      <c r="K860" s="65"/>
      <c r="L860" s="65"/>
      <c r="M860" s="65"/>
      <c r="N860" s="65"/>
      <c r="O860" s="65"/>
      <c r="P860" s="65"/>
      <c r="Q860" s="65"/>
      <c r="R860" s="65"/>
      <c r="S860" s="65"/>
      <c r="T860" s="65"/>
      <c r="U860" s="65"/>
      <c r="V860" s="65"/>
      <c r="W860" s="65"/>
    </row>
    <row r="861" spans="1:23" ht="15.75" customHeight="1" x14ac:dyDescent="0.4">
      <c r="A861" s="293"/>
      <c r="B861" s="65"/>
      <c r="C861" s="65"/>
      <c r="J861" s="65"/>
      <c r="K861" s="65"/>
      <c r="L861" s="65"/>
      <c r="M861" s="65"/>
      <c r="N861" s="65"/>
      <c r="O861" s="65"/>
      <c r="P861" s="65"/>
      <c r="Q861" s="65"/>
      <c r="R861" s="65"/>
      <c r="S861" s="65"/>
      <c r="T861" s="65"/>
      <c r="U861" s="65"/>
      <c r="V861" s="65"/>
      <c r="W861" s="65"/>
    </row>
    <row r="862" spans="1:23" ht="15.75" customHeight="1" x14ac:dyDescent="0.4">
      <c r="A862" s="293"/>
      <c r="B862" s="65"/>
      <c r="C862" s="65"/>
      <c r="J862" s="65"/>
      <c r="K862" s="65"/>
      <c r="L862" s="65"/>
      <c r="M862" s="65"/>
      <c r="N862" s="65"/>
      <c r="O862" s="65"/>
      <c r="P862" s="65"/>
      <c r="Q862" s="65"/>
      <c r="R862" s="65"/>
      <c r="S862" s="65"/>
      <c r="T862" s="65"/>
      <c r="U862" s="65"/>
      <c r="V862" s="65"/>
      <c r="W862" s="65"/>
    </row>
    <row r="863" spans="1:23" ht="15.75" customHeight="1" x14ac:dyDescent="0.4">
      <c r="A863" s="293"/>
      <c r="B863" s="65"/>
      <c r="C863" s="65"/>
      <c r="J863" s="65"/>
      <c r="K863" s="65"/>
      <c r="L863" s="65"/>
      <c r="M863" s="65"/>
      <c r="N863" s="65"/>
      <c r="O863" s="65"/>
      <c r="P863" s="65"/>
      <c r="Q863" s="65"/>
      <c r="R863" s="65"/>
      <c r="S863" s="65"/>
      <c r="T863" s="65"/>
      <c r="U863" s="65"/>
      <c r="V863" s="65"/>
      <c r="W863" s="65"/>
    </row>
    <row r="864" spans="1:23" ht="15.75" customHeight="1" x14ac:dyDescent="0.4">
      <c r="A864" s="293"/>
      <c r="B864" s="65"/>
      <c r="C864" s="65"/>
      <c r="J864" s="65"/>
      <c r="K864" s="65"/>
      <c r="L864" s="65"/>
      <c r="M864" s="65"/>
      <c r="N864" s="65"/>
      <c r="O864" s="65"/>
      <c r="P864" s="65"/>
      <c r="Q864" s="65"/>
      <c r="R864" s="65"/>
      <c r="S864" s="65"/>
      <c r="T864" s="65"/>
      <c r="U864" s="65"/>
      <c r="V864" s="65"/>
      <c r="W864" s="65"/>
    </row>
    <row r="865" spans="1:23" ht="15.75" customHeight="1" x14ac:dyDescent="0.4">
      <c r="A865" s="293"/>
      <c r="B865" s="65"/>
      <c r="C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5"/>
      <c r="U865" s="65"/>
      <c r="V865" s="65"/>
      <c r="W865" s="65"/>
    </row>
    <row r="866" spans="1:23" ht="15.75" customHeight="1" x14ac:dyDescent="0.4">
      <c r="A866" s="293"/>
      <c r="B866" s="65"/>
      <c r="C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5"/>
      <c r="U866" s="65"/>
      <c r="V866" s="65"/>
      <c r="W866" s="65"/>
    </row>
    <row r="867" spans="1:23" ht="15.75" customHeight="1" x14ac:dyDescent="0.4">
      <c r="A867" s="293"/>
      <c r="B867" s="65"/>
      <c r="C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5"/>
      <c r="U867" s="65"/>
      <c r="V867" s="65"/>
      <c r="W867" s="65"/>
    </row>
    <row r="868" spans="1:23" ht="15.75" customHeight="1" x14ac:dyDescent="0.4">
      <c r="A868" s="293"/>
      <c r="B868" s="65"/>
      <c r="C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5"/>
      <c r="U868" s="65"/>
      <c r="V868" s="65"/>
      <c r="W868" s="65"/>
    </row>
    <row r="869" spans="1:23" ht="15.75" customHeight="1" x14ac:dyDescent="0.4">
      <c r="A869" s="293"/>
      <c r="B869" s="65"/>
      <c r="C869" s="65"/>
      <c r="J869" s="65"/>
      <c r="K869" s="65"/>
      <c r="L869" s="65"/>
      <c r="M869" s="65"/>
      <c r="N869" s="65"/>
      <c r="O869" s="65"/>
      <c r="P869" s="65"/>
      <c r="Q869" s="65"/>
      <c r="R869" s="65"/>
      <c r="S869" s="65"/>
      <c r="T869" s="65"/>
      <c r="U869" s="65"/>
      <c r="V869" s="65"/>
      <c r="W869" s="65"/>
    </row>
    <row r="870" spans="1:23" ht="15.75" customHeight="1" x14ac:dyDescent="0.4">
      <c r="A870" s="293"/>
      <c r="B870" s="65"/>
      <c r="C870" s="65"/>
      <c r="J870" s="65"/>
      <c r="K870" s="65"/>
      <c r="L870" s="65"/>
      <c r="M870" s="65"/>
      <c r="N870" s="65"/>
      <c r="O870" s="65"/>
      <c r="P870" s="65"/>
      <c r="Q870" s="65"/>
      <c r="R870" s="65"/>
      <c r="S870" s="65"/>
      <c r="T870" s="65"/>
      <c r="U870" s="65"/>
      <c r="V870" s="65"/>
      <c r="W870" s="65"/>
    </row>
    <row r="871" spans="1:23" ht="15.75" customHeight="1" x14ac:dyDescent="0.4">
      <c r="A871" s="293"/>
      <c r="B871" s="65"/>
      <c r="C871" s="65"/>
      <c r="J871" s="65"/>
      <c r="K871" s="65"/>
      <c r="L871" s="65"/>
      <c r="M871" s="65"/>
      <c r="N871" s="65"/>
      <c r="O871" s="65"/>
      <c r="P871" s="65"/>
      <c r="Q871" s="65"/>
      <c r="R871" s="65"/>
      <c r="S871" s="65"/>
      <c r="T871" s="65"/>
      <c r="U871" s="65"/>
      <c r="V871" s="65"/>
      <c r="W871" s="65"/>
    </row>
    <row r="872" spans="1:23" ht="15.75" customHeight="1" x14ac:dyDescent="0.4">
      <c r="A872" s="293"/>
      <c r="B872" s="65"/>
      <c r="C872" s="65"/>
      <c r="J872" s="65"/>
      <c r="K872" s="65"/>
      <c r="L872" s="65"/>
      <c r="M872" s="65"/>
      <c r="N872" s="65"/>
      <c r="O872" s="65"/>
      <c r="P872" s="65"/>
      <c r="Q872" s="65"/>
      <c r="R872" s="65"/>
      <c r="S872" s="65"/>
      <c r="T872" s="65"/>
      <c r="U872" s="65"/>
      <c r="V872" s="65"/>
      <c r="W872" s="65"/>
    </row>
    <row r="873" spans="1:23" ht="15.75" customHeight="1" x14ac:dyDescent="0.4">
      <c r="A873" s="293"/>
      <c r="B873" s="65"/>
      <c r="C873" s="65"/>
      <c r="J873" s="65"/>
      <c r="K873" s="65"/>
      <c r="L873" s="65"/>
      <c r="M873" s="65"/>
      <c r="N873" s="65"/>
      <c r="O873" s="65"/>
      <c r="P873" s="65"/>
      <c r="Q873" s="65"/>
      <c r="R873" s="65"/>
      <c r="S873" s="65"/>
      <c r="T873" s="65"/>
      <c r="U873" s="65"/>
      <c r="V873" s="65"/>
      <c r="W873" s="65"/>
    </row>
    <row r="874" spans="1:23" ht="15.75" customHeight="1" x14ac:dyDescent="0.4">
      <c r="A874" s="293"/>
      <c r="B874" s="65"/>
      <c r="C874" s="65"/>
      <c r="J874" s="65"/>
      <c r="K874" s="65"/>
      <c r="L874" s="65"/>
      <c r="M874" s="65"/>
      <c r="N874" s="65"/>
      <c r="O874" s="65"/>
      <c r="P874" s="65"/>
      <c r="Q874" s="65"/>
      <c r="R874" s="65"/>
      <c r="S874" s="65"/>
      <c r="T874" s="65"/>
      <c r="U874" s="65"/>
      <c r="V874" s="65"/>
      <c r="W874" s="65"/>
    </row>
    <row r="875" spans="1:23" ht="15.75" customHeight="1" x14ac:dyDescent="0.4">
      <c r="A875" s="293"/>
      <c r="B875" s="65"/>
      <c r="C875" s="65"/>
      <c r="J875" s="65"/>
      <c r="K875" s="65"/>
      <c r="L875" s="65"/>
      <c r="M875" s="65"/>
      <c r="N875" s="65"/>
      <c r="O875" s="65"/>
      <c r="P875" s="65"/>
      <c r="Q875" s="65"/>
      <c r="R875" s="65"/>
      <c r="S875" s="65"/>
      <c r="T875" s="65"/>
      <c r="U875" s="65"/>
      <c r="V875" s="65"/>
      <c r="W875" s="65"/>
    </row>
    <row r="876" spans="1:23" ht="15.75" customHeight="1" x14ac:dyDescent="0.4">
      <c r="A876" s="293"/>
      <c r="B876" s="65"/>
      <c r="C876" s="65"/>
      <c r="J876" s="65"/>
      <c r="K876" s="65"/>
      <c r="L876" s="65"/>
      <c r="M876" s="65"/>
      <c r="N876" s="65"/>
      <c r="O876" s="65"/>
      <c r="P876" s="65"/>
      <c r="Q876" s="65"/>
      <c r="R876" s="65"/>
      <c r="S876" s="65"/>
      <c r="T876" s="65"/>
      <c r="U876" s="65"/>
      <c r="V876" s="65"/>
      <c r="W876" s="65"/>
    </row>
    <row r="877" spans="1:23" ht="15.75" customHeight="1" x14ac:dyDescent="0.4">
      <c r="A877" s="293"/>
      <c r="B877" s="65"/>
      <c r="C877" s="65"/>
      <c r="J877" s="65"/>
      <c r="K877" s="65"/>
      <c r="L877" s="65"/>
      <c r="M877" s="65"/>
      <c r="N877" s="65"/>
      <c r="O877" s="65"/>
      <c r="P877" s="65"/>
      <c r="Q877" s="65"/>
      <c r="R877" s="65"/>
      <c r="S877" s="65"/>
      <c r="T877" s="65"/>
      <c r="U877" s="65"/>
      <c r="V877" s="65"/>
      <c r="W877" s="65"/>
    </row>
    <row r="878" spans="1:23" ht="15.75" customHeight="1" x14ac:dyDescent="0.4">
      <c r="A878" s="293"/>
      <c r="B878" s="65"/>
      <c r="C878" s="65"/>
      <c r="J878" s="65"/>
      <c r="K878" s="65"/>
      <c r="L878" s="65"/>
      <c r="M878" s="65"/>
      <c r="N878" s="65"/>
      <c r="O878" s="65"/>
      <c r="P878" s="65"/>
      <c r="Q878" s="65"/>
      <c r="R878" s="65"/>
      <c r="S878" s="65"/>
      <c r="T878" s="65"/>
      <c r="U878" s="65"/>
      <c r="V878" s="65"/>
      <c r="W878" s="65"/>
    </row>
    <row r="879" spans="1:23" ht="15.75" customHeight="1" x14ac:dyDescent="0.4">
      <c r="A879" s="293"/>
      <c r="B879" s="65"/>
      <c r="C879" s="65"/>
      <c r="J879" s="65"/>
      <c r="K879" s="65"/>
      <c r="L879" s="65"/>
      <c r="M879" s="65"/>
      <c r="N879" s="65"/>
      <c r="O879" s="65"/>
      <c r="P879" s="65"/>
      <c r="Q879" s="65"/>
      <c r="R879" s="65"/>
      <c r="S879" s="65"/>
      <c r="T879" s="65"/>
      <c r="U879" s="65"/>
      <c r="V879" s="65"/>
      <c r="W879" s="65"/>
    </row>
    <row r="880" spans="1:23" ht="15.75" customHeight="1" x14ac:dyDescent="0.4">
      <c r="A880" s="293"/>
      <c r="B880" s="65"/>
      <c r="C880" s="65"/>
      <c r="J880" s="65"/>
      <c r="K880" s="65"/>
      <c r="L880" s="65"/>
      <c r="M880" s="65"/>
      <c r="N880" s="65"/>
      <c r="O880" s="65"/>
      <c r="P880" s="65"/>
      <c r="Q880" s="65"/>
      <c r="R880" s="65"/>
      <c r="S880" s="65"/>
      <c r="T880" s="65"/>
      <c r="U880" s="65"/>
      <c r="V880" s="65"/>
      <c r="W880" s="65"/>
    </row>
    <row r="881" spans="1:23" ht="15.75" customHeight="1" x14ac:dyDescent="0.4">
      <c r="A881" s="293"/>
      <c r="B881" s="65"/>
      <c r="C881" s="65"/>
      <c r="J881" s="65"/>
      <c r="K881" s="65"/>
      <c r="L881" s="65"/>
      <c r="M881" s="65"/>
      <c r="N881" s="65"/>
      <c r="O881" s="65"/>
      <c r="P881" s="65"/>
      <c r="Q881" s="65"/>
      <c r="R881" s="65"/>
      <c r="S881" s="65"/>
      <c r="T881" s="65"/>
      <c r="U881" s="65"/>
      <c r="V881" s="65"/>
      <c r="W881" s="65"/>
    </row>
    <row r="882" spans="1:23" ht="15.75" customHeight="1" x14ac:dyDescent="0.4">
      <c r="A882" s="293"/>
      <c r="B882" s="65"/>
      <c r="C882" s="65"/>
      <c r="J882" s="65"/>
      <c r="K882" s="65"/>
      <c r="L882" s="65"/>
      <c r="M882" s="65"/>
      <c r="N882" s="65"/>
      <c r="O882" s="65"/>
      <c r="P882" s="65"/>
      <c r="Q882" s="65"/>
      <c r="R882" s="65"/>
      <c r="S882" s="65"/>
      <c r="T882" s="65"/>
      <c r="U882" s="65"/>
      <c r="V882" s="65"/>
      <c r="W882" s="65"/>
    </row>
    <row r="883" spans="1:23" ht="15.75" customHeight="1" x14ac:dyDescent="0.4">
      <c r="A883" s="293"/>
      <c r="B883" s="65"/>
      <c r="C883" s="65"/>
      <c r="J883" s="65"/>
      <c r="K883" s="65"/>
      <c r="L883" s="65"/>
      <c r="M883" s="65"/>
      <c r="N883" s="65"/>
      <c r="O883" s="65"/>
      <c r="P883" s="65"/>
      <c r="Q883" s="65"/>
      <c r="R883" s="65"/>
      <c r="S883" s="65"/>
      <c r="T883" s="65"/>
      <c r="U883" s="65"/>
      <c r="V883" s="65"/>
      <c r="W883" s="65"/>
    </row>
    <row r="884" spans="1:23" ht="15.75" customHeight="1" x14ac:dyDescent="0.4">
      <c r="A884" s="293"/>
      <c r="B884" s="65"/>
      <c r="C884" s="65"/>
      <c r="J884" s="65"/>
      <c r="K884" s="65"/>
      <c r="L884" s="65"/>
      <c r="M884" s="65"/>
      <c r="N884" s="65"/>
      <c r="O884" s="65"/>
      <c r="P884" s="65"/>
      <c r="Q884" s="65"/>
      <c r="R884" s="65"/>
      <c r="S884" s="65"/>
      <c r="T884" s="65"/>
      <c r="U884" s="65"/>
      <c r="V884" s="65"/>
      <c r="W884" s="65"/>
    </row>
    <row r="885" spans="1:23" ht="15.75" customHeight="1" x14ac:dyDescent="0.4">
      <c r="A885" s="293"/>
      <c r="B885" s="65"/>
      <c r="C885" s="65"/>
      <c r="J885" s="65"/>
      <c r="K885" s="65"/>
      <c r="L885" s="65"/>
      <c r="M885" s="65"/>
      <c r="N885" s="65"/>
      <c r="O885" s="65"/>
      <c r="P885" s="65"/>
      <c r="Q885" s="65"/>
      <c r="R885" s="65"/>
      <c r="S885" s="65"/>
      <c r="T885" s="65"/>
      <c r="U885" s="65"/>
      <c r="V885" s="65"/>
      <c r="W885" s="65"/>
    </row>
    <row r="886" spans="1:23" ht="15.75" customHeight="1" x14ac:dyDescent="0.4">
      <c r="A886" s="293"/>
      <c r="B886" s="65"/>
      <c r="C886" s="65"/>
      <c r="J886" s="65"/>
      <c r="K886" s="65"/>
      <c r="L886" s="65"/>
      <c r="M886" s="65"/>
      <c r="N886" s="65"/>
      <c r="O886" s="65"/>
      <c r="P886" s="65"/>
      <c r="Q886" s="65"/>
      <c r="R886" s="65"/>
      <c r="S886" s="65"/>
      <c r="T886" s="65"/>
      <c r="U886" s="65"/>
      <c r="V886" s="65"/>
      <c r="W886" s="65"/>
    </row>
    <row r="887" spans="1:23" ht="15.75" customHeight="1" x14ac:dyDescent="0.4">
      <c r="A887" s="293"/>
      <c r="B887" s="65"/>
      <c r="C887" s="65"/>
      <c r="J887" s="65"/>
      <c r="K887" s="65"/>
      <c r="L887" s="65"/>
      <c r="M887" s="65"/>
      <c r="N887" s="65"/>
      <c r="O887" s="65"/>
      <c r="P887" s="65"/>
      <c r="Q887" s="65"/>
      <c r="R887" s="65"/>
      <c r="S887" s="65"/>
      <c r="T887" s="65"/>
      <c r="U887" s="65"/>
      <c r="V887" s="65"/>
      <c r="W887" s="65"/>
    </row>
    <row r="888" spans="1:23" ht="15.75" customHeight="1" x14ac:dyDescent="0.4">
      <c r="A888" s="293"/>
      <c r="B888" s="65"/>
      <c r="C888" s="65"/>
      <c r="J888" s="65"/>
      <c r="K888" s="65"/>
      <c r="L888" s="65"/>
      <c r="M888" s="65"/>
      <c r="N888" s="65"/>
      <c r="O888" s="65"/>
      <c r="P888" s="65"/>
      <c r="Q888" s="65"/>
      <c r="R888" s="65"/>
      <c r="S888" s="65"/>
      <c r="T888" s="65"/>
      <c r="U888" s="65"/>
      <c r="V888" s="65"/>
      <c r="W888" s="65"/>
    </row>
    <row r="889" spans="1:23" ht="15.75" customHeight="1" x14ac:dyDescent="0.4">
      <c r="A889" s="293"/>
      <c r="B889" s="65"/>
      <c r="C889" s="65"/>
      <c r="J889" s="65"/>
      <c r="K889" s="65"/>
      <c r="L889" s="65"/>
      <c r="M889" s="65"/>
      <c r="N889" s="65"/>
      <c r="O889" s="65"/>
      <c r="P889" s="65"/>
      <c r="Q889" s="65"/>
      <c r="R889" s="65"/>
      <c r="S889" s="65"/>
      <c r="T889" s="65"/>
      <c r="U889" s="65"/>
      <c r="V889" s="65"/>
      <c r="W889" s="65"/>
    </row>
    <row r="890" spans="1:23" ht="15.75" customHeight="1" x14ac:dyDescent="0.4">
      <c r="A890" s="293"/>
      <c r="B890" s="65"/>
      <c r="C890" s="65"/>
      <c r="J890" s="65"/>
      <c r="K890" s="65"/>
      <c r="L890" s="65"/>
      <c r="M890" s="65"/>
      <c r="N890" s="65"/>
      <c r="O890" s="65"/>
      <c r="P890" s="65"/>
      <c r="Q890" s="65"/>
      <c r="R890" s="65"/>
      <c r="S890" s="65"/>
      <c r="T890" s="65"/>
      <c r="U890" s="65"/>
      <c r="V890" s="65"/>
      <c r="W890" s="65"/>
    </row>
    <row r="891" spans="1:23" ht="15.75" customHeight="1" x14ac:dyDescent="0.4">
      <c r="A891" s="293"/>
      <c r="B891" s="65"/>
      <c r="C891" s="65"/>
      <c r="J891" s="65"/>
      <c r="K891" s="65"/>
      <c r="L891" s="65"/>
      <c r="M891" s="65"/>
      <c r="N891" s="65"/>
      <c r="O891" s="65"/>
      <c r="P891" s="65"/>
      <c r="Q891" s="65"/>
      <c r="R891" s="65"/>
      <c r="S891" s="65"/>
      <c r="T891" s="65"/>
      <c r="U891" s="65"/>
      <c r="V891" s="65"/>
      <c r="W891" s="65"/>
    </row>
    <row r="892" spans="1:23" ht="15.75" customHeight="1" x14ac:dyDescent="0.4">
      <c r="A892" s="293"/>
      <c r="B892" s="65"/>
      <c r="C892" s="65"/>
      <c r="J892" s="65"/>
      <c r="K892" s="65"/>
      <c r="L892" s="65"/>
      <c r="M892" s="65"/>
      <c r="N892" s="65"/>
      <c r="O892" s="65"/>
      <c r="P892" s="65"/>
      <c r="Q892" s="65"/>
      <c r="R892" s="65"/>
      <c r="S892" s="65"/>
      <c r="T892" s="65"/>
      <c r="U892" s="65"/>
      <c r="V892" s="65"/>
      <c r="W892" s="65"/>
    </row>
    <row r="893" spans="1:23" ht="15.75" customHeight="1" x14ac:dyDescent="0.4">
      <c r="A893" s="293"/>
      <c r="B893" s="65"/>
      <c r="C893" s="65"/>
      <c r="J893" s="65"/>
      <c r="K893" s="65"/>
      <c r="L893" s="65"/>
      <c r="M893" s="65"/>
      <c r="N893" s="65"/>
      <c r="O893" s="65"/>
      <c r="P893" s="65"/>
      <c r="Q893" s="65"/>
      <c r="R893" s="65"/>
      <c r="S893" s="65"/>
      <c r="T893" s="65"/>
      <c r="U893" s="65"/>
      <c r="V893" s="65"/>
      <c r="W893" s="65"/>
    </row>
    <row r="894" spans="1:23" ht="15.75" customHeight="1" x14ac:dyDescent="0.4">
      <c r="A894" s="293"/>
      <c r="B894" s="65"/>
      <c r="C894" s="65"/>
      <c r="J894" s="65"/>
      <c r="K894" s="65"/>
      <c r="L894" s="65"/>
      <c r="M894" s="65"/>
      <c r="N894" s="65"/>
      <c r="O894" s="65"/>
      <c r="P894" s="65"/>
      <c r="Q894" s="65"/>
      <c r="R894" s="65"/>
      <c r="S894" s="65"/>
      <c r="T894" s="65"/>
      <c r="U894" s="65"/>
      <c r="V894" s="65"/>
      <c r="W894" s="65"/>
    </row>
    <row r="895" spans="1:23" ht="15.75" customHeight="1" x14ac:dyDescent="0.4">
      <c r="A895" s="293"/>
      <c r="B895" s="65"/>
      <c r="C895" s="65"/>
      <c r="J895" s="65"/>
      <c r="K895" s="65"/>
      <c r="L895" s="65"/>
      <c r="M895" s="65"/>
      <c r="N895" s="65"/>
      <c r="O895" s="65"/>
      <c r="P895" s="65"/>
      <c r="Q895" s="65"/>
      <c r="R895" s="65"/>
      <c r="S895" s="65"/>
      <c r="T895" s="65"/>
      <c r="U895" s="65"/>
      <c r="V895" s="65"/>
      <c r="W895" s="65"/>
    </row>
    <row r="896" spans="1:23" ht="15.75" customHeight="1" x14ac:dyDescent="0.4">
      <c r="A896" s="293"/>
      <c r="B896" s="65"/>
      <c r="C896" s="65"/>
      <c r="J896" s="65"/>
      <c r="K896" s="65"/>
      <c r="L896" s="65"/>
      <c r="M896" s="65"/>
      <c r="N896" s="65"/>
      <c r="O896" s="65"/>
      <c r="P896" s="65"/>
      <c r="Q896" s="65"/>
      <c r="R896" s="65"/>
      <c r="S896" s="65"/>
      <c r="T896" s="65"/>
      <c r="U896" s="65"/>
      <c r="V896" s="65"/>
      <c r="W896" s="65"/>
    </row>
    <row r="897" spans="1:23" ht="15.75" customHeight="1" x14ac:dyDescent="0.4">
      <c r="A897" s="293"/>
      <c r="B897" s="65"/>
      <c r="C897" s="65"/>
      <c r="J897" s="65"/>
      <c r="K897" s="65"/>
      <c r="L897" s="65"/>
      <c r="M897" s="65"/>
      <c r="N897" s="65"/>
      <c r="O897" s="65"/>
      <c r="P897" s="65"/>
      <c r="Q897" s="65"/>
      <c r="R897" s="65"/>
      <c r="S897" s="65"/>
      <c r="T897" s="65"/>
      <c r="U897" s="65"/>
      <c r="V897" s="65"/>
      <c r="W897" s="65"/>
    </row>
    <row r="898" spans="1:23" ht="15.75" customHeight="1" x14ac:dyDescent="0.4">
      <c r="A898" s="293"/>
      <c r="B898" s="65"/>
      <c r="C898" s="65"/>
      <c r="J898" s="65"/>
      <c r="K898" s="65"/>
      <c r="L898" s="65"/>
      <c r="M898" s="65"/>
      <c r="N898" s="65"/>
      <c r="O898" s="65"/>
      <c r="P898" s="65"/>
      <c r="Q898" s="65"/>
      <c r="R898" s="65"/>
      <c r="S898" s="65"/>
      <c r="T898" s="65"/>
      <c r="U898" s="65"/>
      <c r="V898" s="65"/>
      <c r="W898" s="65"/>
    </row>
    <row r="899" spans="1:23" ht="15.75" customHeight="1" x14ac:dyDescent="0.4">
      <c r="A899" s="293"/>
      <c r="B899" s="65"/>
      <c r="C899" s="65"/>
      <c r="J899" s="65"/>
      <c r="K899" s="65"/>
      <c r="L899" s="65"/>
      <c r="M899" s="65"/>
      <c r="N899" s="65"/>
      <c r="O899" s="65"/>
      <c r="P899" s="65"/>
      <c r="Q899" s="65"/>
      <c r="R899" s="65"/>
      <c r="S899" s="65"/>
      <c r="T899" s="65"/>
      <c r="U899" s="65"/>
      <c r="V899" s="65"/>
      <c r="W899" s="65"/>
    </row>
    <row r="900" spans="1:23" ht="15.75" customHeight="1" x14ac:dyDescent="0.4">
      <c r="A900" s="293"/>
      <c r="B900" s="65"/>
      <c r="C900" s="65"/>
      <c r="J900" s="65"/>
      <c r="K900" s="65"/>
      <c r="L900" s="65"/>
      <c r="M900" s="65"/>
      <c r="N900" s="65"/>
      <c r="O900" s="65"/>
      <c r="P900" s="65"/>
      <c r="Q900" s="65"/>
      <c r="R900" s="65"/>
      <c r="S900" s="65"/>
      <c r="T900" s="65"/>
      <c r="U900" s="65"/>
      <c r="V900" s="65"/>
      <c r="W900" s="65"/>
    </row>
    <row r="901" spans="1:23" ht="15.75" customHeight="1" x14ac:dyDescent="0.4">
      <c r="A901" s="293"/>
      <c r="B901" s="65"/>
      <c r="C901" s="65"/>
      <c r="J901" s="65"/>
      <c r="K901" s="65"/>
      <c r="L901" s="65"/>
      <c r="M901" s="65"/>
      <c r="N901" s="65"/>
      <c r="O901" s="65"/>
      <c r="P901" s="65"/>
      <c r="Q901" s="65"/>
      <c r="R901" s="65"/>
      <c r="S901" s="65"/>
      <c r="T901" s="65"/>
      <c r="U901" s="65"/>
      <c r="V901" s="65"/>
      <c r="W901" s="65"/>
    </row>
    <row r="902" spans="1:23" ht="15.75" customHeight="1" x14ac:dyDescent="0.4">
      <c r="A902" s="293"/>
      <c r="B902" s="65"/>
      <c r="C902" s="65"/>
      <c r="J902" s="65"/>
      <c r="K902" s="65"/>
      <c r="L902" s="65"/>
      <c r="M902" s="65"/>
      <c r="N902" s="65"/>
      <c r="O902" s="65"/>
      <c r="P902" s="65"/>
      <c r="Q902" s="65"/>
      <c r="R902" s="65"/>
      <c r="S902" s="65"/>
      <c r="T902" s="65"/>
      <c r="U902" s="65"/>
      <c r="V902" s="65"/>
      <c r="W902" s="65"/>
    </row>
    <row r="903" spans="1:23" ht="15.75" customHeight="1" x14ac:dyDescent="0.4">
      <c r="A903" s="293"/>
      <c r="B903" s="65"/>
      <c r="C903" s="65"/>
      <c r="J903" s="65"/>
      <c r="K903" s="65"/>
      <c r="L903" s="65"/>
      <c r="M903" s="65"/>
      <c r="N903" s="65"/>
      <c r="O903" s="65"/>
      <c r="P903" s="65"/>
      <c r="Q903" s="65"/>
      <c r="R903" s="65"/>
      <c r="S903" s="65"/>
      <c r="T903" s="65"/>
      <c r="U903" s="65"/>
      <c r="V903" s="65"/>
      <c r="W903" s="65"/>
    </row>
    <row r="904" spans="1:23" ht="15.75" customHeight="1" x14ac:dyDescent="0.4">
      <c r="A904" s="293"/>
      <c r="B904" s="65"/>
      <c r="C904" s="65"/>
      <c r="J904" s="65"/>
      <c r="K904" s="65"/>
      <c r="L904" s="65"/>
      <c r="M904" s="65"/>
      <c r="N904" s="65"/>
      <c r="O904" s="65"/>
      <c r="P904" s="65"/>
      <c r="Q904" s="65"/>
      <c r="R904" s="65"/>
      <c r="S904" s="65"/>
      <c r="T904" s="65"/>
      <c r="U904" s="65"/>
      <c r="V904" s="65"/>
      <c r="W904" s="65"/>
    </row>
    <row r="905" spans="1:23" ht="15.75" customHeight="1" x14ac:dyDescent="0.4">
      <c r="A905" s="293"/>
      <c r="B905" s="65"/>
      <c r="C905" s="65"/>
      <c r="J905" s="65"/>
      <c r="K905" s="65"/>
      <c r="L905" s="65"/>
      <c r="M905" s="65"/>
      <c r="N905" s="65"/>
      <c r="O905" s="65"/>
      <c r="P905" s="65"/>
      <c r="Q905" s="65"/>
      <c r="R905" s="65"/>
      <c r="S905" s="65"/>
      <c r="T905" s="65"/>
      <c r="U905" s="65"/>
      <c r="V905" s="65"/>
      <c r="W905" s="65"/>
    </row>
    <row r="906" spans="1:23" ht="15.75" customHeight="1" x14ac:dyDescent="0.4">
      <c r="A906" s="293"/>
      <c r="B906" s="65"/>
      <c r="C906" s="65"/>
      <c r="J906" s="65"/>
      <c r="K906" s="65"/>
      <c r="L906" s="65"/>
      <c r="M906" s="65"/>
      <c r="N906" s="65"/>
      <c r="O906" s="65"/>
      <c r="P906" s="65"/>
      <c r="Q906" s="65"/>
      <c r="R906" s="65"/>
      <c r="S906" s="65"/>
      <c r="T906" s="65"/>
      <c r="U906" s="65"/>
      <c r="V906" s="65"/>
      <c r="W906" s="65"/>
    </row>
    <row r="907" spans="1:23" ht="15.75" customHeight="1" x14ac:dyDescent="0.4">
      <c r="A907" s="293"/>
      <c r="B907" s="65"/>
      <c r="C907" s="65"/>
      <c r="J907" s="65"/>
      <c r="K907" s="65"/>
      <c r="L907" s="65"/>
      <c r="M907" s="65"/>
      <c r="N907" s="65"/>
      <c r="O907" s="65"/>
      <c r="P907" s="65"/>
      <c r="Q907" s="65"/>
      <c r="R907" s="65"/>
      <c r="S907" s="65"/>
      <c r="T907" s="65"/>
      <c r="U907" s="65"/>
      <c r="V907" s="65"/>
      <c r="W907" s="65"/>
    </row>
    <row r="908" spans="1:23" ht="15.75" customHeight="1" x14ac:dyDescent="0.4">
      <c r="A908" s="293"/>
      <c r="B908" s="65"/>
      <c r="C908" s="65"/>
      <c r="J908" s="65"/>
      <c r="K908" s="65"/>
      <c r="L908" s="65"/>
      <c r="M908" s="65"/>
      <c r="N908" s="65"/>
      <c r="O908" s="65"/>
      <c r="P908" s="65"/>
      <c r="Q908" s="65"/>
      <c r="R908" s="65"/>
      <c r="S908" s="65"/>
      <c r="T908" s="65"/>
      <c r="U908" s="65"/>
      <c r="V908" s="65"/>
      <c r="W908" s="65"/>
    </row>
    <row r="909" spans="1:23" ht="15.75" customHeight="1" x14ac:dyDescent="0.4">
      <c r="A909" s="293"/>
      <c r="B909" s="65"/>
      <c r="C909" s="65"/>
      <c r="J909" s="65"/>
      <c r="K909" s="65"/>
      <c r="L909" s="65"/>
      <c r="M909" s="65"/>
      <c r="N909" s="65"/>
      <c r="O909" s="65"/>
      <c r="P909" s="65"/>
      <c r="Q909" s="65"/>
      <c r="R909" s="65"/>
      <c r="S909" s="65"/>
      <c r="T909" s="65"/>
      <c r="U909" s="65"/>
      <c r="V909" s="65"/>
      <c r="W909" s="65"/>
    </row>
    <row r="910" spans="1:23" ht="15.75" customHeight="1" x14ac:dyDescent="0.4">
      <c r="A910" s="293"/>
      <c r="B910" s="65"/>
      <c r="C910" s="65"/>
      <c r="J910" s="65"/>
      <c r="K910" s="65"/>
      <c r="L910" s="65"/>
      <c r="M910" s="65"/>
      <c r="N910" s="65"/>
      <c r="O910" s="65"/>
      <c r="P910" s="65"/>
      <c r="Q910" s="65"/>
      <c r="R910" s="65"/>
      <c r="S910" s="65"/>
      <c r="T910" s="65"/>
      <c r="U910" s="65"/>
      <c r="V910" s="65"/>
      <c r="W910" s="65"/>
    </row>
    <row r="911" spans="1:23" ht="15.75" customHeight="1" x14ac:dyDescent="0.4">
      <c r="A911" s="293"/>
      <c r="B911" s="65"/>
      <c r="C911" s="65"/>
      <c r="J911" s="65"/>
      <c r="K911" s="65"/>
      <c r="L911" s="65"/>
      <c r="M911" s="65"/>
      <c r="N911" s="65"/>
      <c r="O911" s="65"/>
      <c r="P911" s="65"/>
      <c r="Q911" s="65"/>
      <c r="R911" s="65"/>
      <c r="S911" s="65"/>
      <c r="T911" s="65"/>
      <c r="U911" s="65"/>
      <c r="V911" s="65"/>
      <c r="W911" s="65"/>
    </row>
    <row r="912" spans="1:23" ht="15.75" customHeight="1" x14ac:dyDescent="0.4">
      <c r="A912" s="293"/>
      <c r="B912" s="65"/>
      <c r="C912" s="65"/>
      <c r="J912" s="65"/>
      <c r="K912" s="65"/>
      <c r="L912" s="65"/>
      <c r="M912" s="65"/>
      <c r="N912" s="65"/>
      <c r="O912" s="65"/>
      <c r="P912" s="65"/>
      <c r="Q912" s="65"/>
      <c r="R912" s="65"/>
      <c r="S912" s="65"/>
      <c r="T912" s="65"/>
      <c r="U912" s="65"/>
      <c r="V912" s="65"/>
      <c r="W912" s="65"/>
    </row>
    <row r="913" spans="1:23" ht="15.75" customHeight="1" x14ac:dyDescent="0.4">
      <c r="A913" s="293"/>
      <c r="B913" s="65"/>
      <c r="C913" s="65"/>
      <c r="J913" s="65"/>
      <c r="K913" s="65"/>
      <c r="L913" s="65"/>
      <c r="M913" s="65"/>
      <c r="N913" s="65"/>
      <c r="O913" s="65"/>
      <c r="P913" s="65"/>
      <c r="Q913" s="65"/>
      <c r="R913" s="65"/>
      <c r="S913" s="65"/>
      <c r="T913" s="65"/>
      <c r="U913" s="65"/>
      <c r="V913" s="65"/>
      <c r="W913" s="65"/>
    </row>
    <row r="914" spans="1:23" ht="15.75" customHeight="1" x14ac:dyDescent="0.4">
      <c r="A914" s="293"/>
      <c r="B914" s="65"/>
      <c r="C914" s="65"/>
      <c r="J914" s="65"/>
      <c r="K914" s="65"/>
      <c r="L914" s="65"/>
      <c r="M914" s="65"/>
      <c r="N914" s="65"/>
      <c r="O914" s="65"/>
      <c r="P914" s="65"/>
      <c r="Q914" s="65"/>
      <c r="R914" s="65"/>
      <c r="S914" s="65"/>
      <c r="T914" s="65"/>
      <c r="U914" s="65"/>
      <c r="V914" s="65"/>
      <c r="W914" s="65"/>
    </row>
    <row r="915" spans="1:23" ht="15.75" customHeight="1" x14ac:dyDescent="0.4">
      <c r="A915" s="293"/>
      <c r="B915" s="65"/>
      <c r="C915" s="65"/>
      <c r="J915" s="65"/>
      <c r="K915" s="65"/>
      <c r="L915" s="65"/>
      <c r="M915" s="65"/>
      <c r="N915" s="65"/>
      <c r="O915" s="65"/>
      <c r="P915" s="65"/>
      <c r="Q915" s="65"/>
      <c r="R915" s="65"/>
      <c r="S915" s="65"/>
      <c r="T915" s="65"/>
      <c r="U915" s="65"/>
      <c r="V915" s="65"/>
      <c r="W915" s="65"/>
    </row>
    <row r="916" spans="1:23" ht="15.75" customHeight="1" x14ac:dyDescent="0.4">
      <c r="A916" s="293"/>
      <c r="B916" s="65"/>
      <c r="C916" s="65"/>
      <c r="J916" s="65"/>
      <c r="K916" s="65"/>
      <c r="L916" s="65"/>
      <c r="M916" s="65"/>
      <c r="N916" s="65"/>
      <c r="O916" s="65"/>
      <c r="P916" s="65"/>
      <c r="Q916" s="65"/>
      <c r="R916" s="65"/>
      <c r="S916" s="65"/>
      <c r="T916" s="65"/>
      <c r="U916" s="65"/>
      <c r="V916" s="65"/>
      <c r="W916" s="65"/>
    </row>
    <row r="917" spans="1:23" ht="15.75" customHeight="1" x14ac:dyDescent="0.4">
      <c r="A917" s="293"/>
      <c r="B917" s="65"/>
      <c r="C917" s="65"/>
      <c r="J917" s="65"/>
      <c r="K917" s="65"/>
      <c r="L917" s="65"/>
      <c r="M917" s="65"/>
      <c r="N917" s="65"/>
      <c r="O917" s="65"/>
      <c r="P917" s="65"/>
      <c r="Q917" s="65"/>
      <c r="R917" s="65"/>
      <c r="S917" s="65"/>
      <c r="T917" s="65"/>
      <c r="U917" s="65"/>
      <c r="V917" s="65"/>
      <c r="W917" s="65"/>
    </row>
    <row r="918" spans="1:23" ht="15.75" customHeight="1" x14ac:dyDescent="0.4">
      <c r="A918" s="293"/>
      <c r="B918" s="65"/>
      <c r="C918" s="65"/>
      <c r="J918" s="65"/>
      <c r="K918" s="65"/>
      <c r="L918" s="65"/>
      <c r="M918" s="65"/>
      <c r="N918" s="65"/>
      <c r="O918" s="65"/>
      <c r="P918" s="65"/>
      <c r="Q918" s="65"/>
      <c r="R918" s="65"/>
      <c r="S918" s="65"/>
      <c r="T918" s="65"/>
      <c r="U918" s="65"/>
      <c r="V918" s="65"/>
      <c r="W918" s="65"/>
    </row>
    <row r="919" spans="1:23" ht="15.75" customHeight="1" x14ac:dyDescent="0.4">
      <c r="A919" s="293"/>
      <c r="B919" s="65"/>
      <c r="C919" s="65"/>
      <c r="J919" s="65"/>
      <c r="K919" s="65"/>
      <c r="L919" s="65"/>
      <c r="M919" s="65"/>
      <c r="N919" s="65"/>
      <c r="O919" s="65"/>
      <c r="P919" s="65"/>
      <c r="Q919" s="65"/>
      <c r="R919" s="65"/>
      <c r="S919" s="65"/>
      <c r="T919" s="65"/>
      <c r="U919" s="65"/>
      <c r="V919" s="65"/>
      <c r="W919" s="65"/>
    </row>
    <row r="920" spans="1:23" ht="15.75" customHeight="1" x14ac:dyDescent="0.4">
      <c r="A920" s="293"/>
      <c r="B920" s="65"/>
      <c r="C920" s="65"/>
      <c r="J920" s="65"/>
      <c r="K920" s="65"/>
      <c r="L920" s="65"/>
      <c r="M920" s="65"/>
      <c r="N920" s="65"/>
      <c r="O920" s="65"/>
      <c r="P920" s="65"/>
      <c r="Q920" s="65"/>
      <c r="R920" s="65"/>
      <c r="S920" s="65"/>
      <c r="T920" s="65"/>
      <c r="U920" s="65"/>
      <c r="V920" s="65"/>
      <c r="W920" s="65"/>
    </row>
    <row r="921" spans="1:23" ht="15.75" customHeight="1" x14ac:dyDescent="0.4">
      <c r="A921" s="293"/>
      <c r="B921" s="65"/>
      <c r="C921" s="65"/>
      <c r="J921" s="65"/>
      <c r="K921" s="65"/>
      <c r="L921" s="65"/>
      <c r="M921" s="65"/>
      <c r="N921" s="65"/>
      <c r="O921" s="65"/>
      <c r="P921" s="65"/>
      <c r="Q921" s="65"/>
      <c r="R921" s="65"/>
      <c r="S921" s="65"/>
      <c r="T921" s="65"/>
      <c r="U921" s="65"/>
      <c r="V921" s="65"/>
      <c r="W921" s="65"/>
    </row>
    <row r="922" spans="1:23" ht="15.75" customHeight="1" x14ac:dyDescent="0.4">
      <c r="A922" s="293"/>
      <c r="B922" s="65"/>
      <c r="C922" s="65"/>
      <c r="J922" s="65"/>
      <c r="K922" s="65"/>
      <c r="L922" s="65"/>
      <c r="M922" s="65"/>
      <c r="N922" s="65"/>
      <c r="O922" s="65"/>
      <c r="P922" s="65"/>
      <c r="Q922" s="65"/>
      <c r="R922" s="65"/>
      <c r="S922" s="65"/>
      <c r="T922" s="65"/>
      <c r="U922" s="65"/>
      <c r="V922" s="65"/>
      <c r="W922" s="65"/>
    </row>
    <row r="923" spans="1:23" ht="15.75" customHeight="1" x14ac:dyDescent="0.4">
      <c r="A923" s="293"/>
      <c r="B923" s="65"/>
      <c r="C923" s="65"/>
      <c r="J923" s="65"/>
      <c r="K923" s="65"/>
      <c r="L923" s="65"/>
      <c r="M923" s="65"/>
      <c r="N923" s="65"/>
      <c r="O923" s="65"/>
      <c r="P923" s="65"/>
      <c r="Q923" s="65"/>
      <c r="R923" s="65"/>
      <c r="S923" s="65"/>
      <c r="T923" s="65"/>
      <c r="U923" s="65"/>
      <c r="V923" s="65"/>
      <c r="W923" s="65"/>
    </row>
    <row r="924" spans="1:23" ht="15.75" customHeight="1" x14ac:dyDescent="0.4">
      <c r="A924" s="293"/>
      <c r="B924" s="65"/>
      <c r="C924" s="65"/>
      <c r="J924" s="65"/>
      <c r="K924" s="65"/>
      <c r="L924" s="65"/>
      <c r="M924" s="65"/>
      <c r="N924" s="65"/>
      <c r="O924" s="65"/>
      <c r="P924" s="65"/>
      <c r="Q924" s="65"/>
      <c r="R924" s="65"/>
      <c r="S924" s="65"/>
      <c r="T924" s="65"/>
      <c r="U924" s="65"/>
      <c r="V924" s="65"/>
      <c r="W924" s="65"/>
    </row>
    <row r="925" spans="1:23" ht="15.75" customHeight="1" x14ac:dyDescent="0.4">
      <c r="A925" s="293"/>
      <c r="B925" s="65"/>
      <c r="C925" s="65"/>
      <c r="J925" s="65"/>
      <c r="K925" s="65"/>
      <c r="L925" s="65"/>
      <c r="M925" s="65"/>
      <c r="N925" s="65"/>
      <c r="O925" s="65"/>
      <c r="P925" s="65"/>
      <c r="Q925" s="65"/>
      <c r="R925" s="65"/>
      <c r="S925" s="65"/>
      <c r="T925" s="65"/>
      <c r="U925" s="65"/>
      <c r="V925" s="65"/>
      <c r="W925" s="65"/>
    </row>
    <row r="926" spans="1:23" ht="15.75" customHeight="1" x14ac:dyDescent="0.4">
      <c r="A926" s="293"/>
      <c r="B926" s="65"/>
      <c r="C926" s="65"/>
      <c r="J926" s="65"/>
      <c r="K926" s="65"/>
      <c r="L926" s="65"/>
      <c r="M926" s="65"/>
      <c r="N926" s="65"/>
      <c r="O926" s="65"/>
      <c r="P926" s="65"/>
      <c r="Q926" s="65"/>
      <c r="R926" s="65"/>
      <c r="S926" s="65"/>
      <c r="T926" s="65"/>
      <c r="U926" s="65"/>
      <c r="V926" s="65"/>
      <c r="W926" s="65"/>
    </row>
    <row r="927" spans="1:23" ht="15.75" customHeight="1" x14ac:dyDescent="0.4">
      <c r="A927" s="293"/>
      <c r="B927" s="65"/>
      <c r="C927" s="65"/>
      <c r="J927" s="65"/>
      <c r="K927" s="65"/>
      <c r="L927" s="65"/>
      <c r="M927" s="65"/>
      <c r="N927" s="65"/>
      <c r="O927" s="65"/>
      <c r="P927" s="65"/>
      <c r="Q927" s="65"/>
      <c r="R927" s="65"/>
      <c r="S927" s="65"/>
      <c r="T927" s="65"/>
      <c r="U927" s="65"/>
      <c r="V927" s="65"/>
      <c r="W927" s="65"/>
    </row>
    <row r="928" spans="1:23" ht="15.75" customHeight="1" x14ac:dyDescent="0.4">
      <c r="A928" s="293"/>
      <c r="B928" s="65"/>
      <c r="C928" s="65"/>
      <c r="J928" s="65"/>
      <c r="K928" s="65"/>
      <c r="L928" s="65"/>
      <c r="M928" s="65"/>
      <c r="N928" s="65"/>
      <c r="O928" s="65"/>
      <c r="P928" s="65"/>
      <c r="Q928" s="65"/>
      <c r="R928" s="65"/>
      <c r="S928" s="65"/>
      <c r="T928" s="65"/>
      <c r="U928" s="65"/>
      <c r="V928" s="65"/>
      <c r="W928" s="65"/>
    </row>
    <row r="929" spans="1:23" ht="15.75" customHeight="1" x14ac:dyDescent="0.4">
      <c r="A929" s="293"/>
      <c r="B929" s="65"/>
      <c r="C929" s="65"/>
      <c r="J929" s="65"/>
      <c r="K929" s="65"/>
      <c r="L929" s="65"/>
      <c r="M929" s="65"/>
      <c r="N929" s="65"/>
      <c r="O929" s="65"/>
      <c r="P929" s="65"/>
      <c r="Q929" s="65"/>
      <c r="R929" s="65"/>
      <c r="S929" s="65"/>
      <c r="T929" s="65"/>
      <c r="U929" s="65"/>
      <c r="V929" s="65"/>
      <c r="W929" s="65"/>
    </row>
    <row r="930" spans="1:23" ht="15.75" customHeight="1" x14ac:dyDescent="0.4">
      <c r="A930" s="293"/>
      <c r="B930" s="65"/>
      <c r="C930" s="65"/>
      <c r="J930" s="65"/>
      <c r="K930" s="65"/>
      <c r="L930" s="65"/>
      <c r="M930" s="65"/>
      <c r="N930" s="65"/>
      <c r="O930" s="65"/>
      <c r="P930" s="65"/>
      <c r="Q930" s="65"/>
      <c r="R930" s="65"/>
      <c r="S930" s="65"/>
      <c r="T930" s="65"/>
      <c r="U930" s="65"/>
      <c r="V930" s="65"/>
      <c r="W930" s="65"/>
    </row>
    <row r="931" spans="1:23" ht="15.75" customHeight="1" x14ac:dyDescent="0.4">
      <c r="A931" s="293"/>
      <c r="B931" s="65"/>
      <c r="C931" s="65"/>
      <c r="J931" s="65"/>
      <c r="K931" s="65"/>
      <c r="L931" s="65"/>
      <c r="M931" s="65"/>
      <c r="N931" s="65"/>
      <c r="O931" s="65"/>
      <c r="P931" s="65"/>
      <c r="Q931" s="65"/>
      <c r="R931" s="65"/>
      <c r="S931" s="65"/>
      <c r="T931" s="65"/>
      <c r="U931" s="65"/>
      <c r="V931" s="65"/>
      <c r="W931" s="65"/>
    </row>
    <row r="932" spans="1:23" ht="15.75" customHeight="1" x14ac:dyDescent="0.4">
      <c r="A932" s="293"/>
      <c r="B932" s="65"/>
      <c r="C932" s="65"/>
      <c r="J932" s="65"/>
      <c r="K932" s="65"/>
      <c r="L932" s="65"/>
      <c r="M932" s="65"/>
      <c r="N932" s="65"/>
      <c r="O932" s="65"/>
      <c r="P932" s="65"/>
      <c r="Q932" s="65"/>
      <c r="R932" s="65"/>
      <c r="S932" s="65"/>
      <c r="T932" s="65"/>
      <c r="U932" s="65"/>
      <c r="V932" s="65"/>
      <c r="W932" s="65"/>
    </row>
    <row r="933" spans="1:23" ht="15.75" customHeight="1" x14ac:dyDescent="0.4">
      <c r="A933" s="293"/>
      <c r="B933" s="65"/>
      <c r="C933" s="65"/>
      <c r="J933" s="65"/>
      <c r="K933" s="65"/>
      <c r="L933" s="65"/>
      <c r="M933" s="65"/>
      <c r="N933" s="65"/>
      <c r="O933" s="65"/>
      <c r="P933" s="65"/>
      <c r="Q933" s="65"/>
      <c r="R933" s="65"/>
      <c r="S933" s="65"/>
      <c r="T933" s="65"/>
      <c r="U933" s="65"/>
      <c r="V933" s="65"/>
      <c r="W933" s="65"/>
    </row>
    <row r="934" spans="1:23" ht="15.75" customHeight="1" x14ac:dyDescent="0.4">
      <c r="A934" s="293"/>
      <c r="B934" s="65"/>
      <c r="C934" s="65"/>
      <c r="J934" s="65"/>
      <c r="K934" s="65"/>
      <c r="L934" s="65"/>
      <c r="M934" s="65"/>
      <c r="N934" s="65"/>
      <c r="O934" s="65"/>
      <c r="P934" s="65"/>
      <c r="Q934" s="65"/>
      <c r="R934" s="65"/>
      <c r="S934" s="65"/>
      <c r="T934" s="65"/>
      <c r="U934" s="65"/>
      <c r="V934" s="65"/>
      <c r="W934" s="65"/>
    </row>
    <row r="935" spans="1:23" ht="15.75" customHeight="1" x14ac:dyDescent="0.4">
      <c r="A935" s="293"/>
      <c r="B935" s="65"/>
      <c r="C935" s="65"/>
      <c r="J935" s="65"/>
      <c r="K935" s="65"/>
      <c r="L935" s="65"/>
      <c r="M935" s="65"/>
      <c r="N935" s="65"/>
      <c r="O935" s="65"/>
      <c r="P935" s="65"/>
      <c r="Q935" s="65"/>
      <c r="R935" s="65"/>
      <c r="S935" s="65"/>
      <c r="T935" s="65"/>
      <c r="U935" s="65"/>
      <c r="V935" s="65"/>
      <c r="W935" s="65"/>
    </row>
    <row r="936" spans="1:23" ht="15.75" customHeight="1" x14ac:dyDescent="0.4">
      <c r="A936" s="293"/>
      <c r="B936" s="65"/>
      <c r="C936" s="65"/>
      <c r="J936" s="65"/>
      <c r="K936" s="65"/>
      <c r="L936" s="65"/>
      <c r="M936" s="65"/>
      <c r="N936" s="65"/>
      <c r="O936" s="65"/>
      <c r="P936" s="65"/>
      <c r="Q936" s="65"/>
      <c r="R936" s="65"/>
      <c r="S936" s="65"/>
      <c r="T936" s="65"/>
      <c r="U936" s="65"/>
      <c r="V936" s="65"/>
      <c r="W936" s="65"/>
    </row>
    <row r="937" spans="1:23" ht="15.75" customHeight="1" x14ac:dyDescent="0.4">
      <c r="A937" s="293"/>
      <c r="B937" s="65"/>
      <c r="C937" s="65"/>
      <c r="J937" s="65"/>
      <c r="K937" s="65"/>
      <c r="L937" s="65"/>
      <c r="M937" s="65"/>
      <c r="N937" s="65"/>
      <c r="O937" s="65"/>
      <c r="P937" s="65"/>
      <c r="Q937" s="65"/>
      <c r="R937" s="65"/>
      <c r="S937" s="65"/>
      <c r="T937" s="65"/>
      <c r="U937" s="65"/>
      <c r="V937" s="65"/>
      <c r="W937" s="65"/>
    </row>
    <row r="938" spans="1:23" ht="15.75" customHeight="1" x14ac:dyDescent="0.4">
      <c r="A938" s="293"/>
      <c r="B938" s="65"/>
      <c r="C938" s="65"/>
      <c r="J938" s="65"/>
      <c r="K938" s="65"/>
      <c r="L938" s="65"/>
      <c r="M938" s="65"/>
      <c r="N938" s="65"/>
      <c r="O938" s="65"/>
      <c r="P938" s="65"/>
      <c r="Q938" s="65"/>
      <c r="R938" s="65"/>
      <c r="S938" s="65"/>
      <c r="T938" s="65"/>
      <c r="U938" s="65"/>
      <c r="V938" s="65"/>
      <c r="W938" s="65"/>
    </row>
    <row r="939" spans="1:23" ht="15.75" customHeight="1" x14ac:dyDescent="0.4">
      <c r="A939" s="293"/>
      <c r="B939" s="65"/>
      <c r="C939" s="65"/>
      <c r="J939" s="65"/>
      <c r="K939" s="65"/>
      <c r="L939" s="65"/>
      <c r="M939" s="65"/>
      <c r="N939" s="65"/>
      <c r="O939" s="65"/>
      <c r="P939" s="65"/>
      <c r="Q939" s="65"/>
      <c r="R939" s="65"/>
      <c r="S939" s="65"/>
      <c r="T939" s="65"/>
      <c r="U939" s="65"/>
      <c r="V939" s="65"/>
      <c r="W939" s="65"/>
    </row>
    <row r="940" spans="1:23" ht="15.75" customHeight="1" x14ac:dyDescent="0.4">
      <c r="A940" s="293"/>
      <c r="B940" s="65"/>
      <c r="C940" s="65"/>
      <c r="J940" s="65"/>
      <c r="K940" s="65"/>
      <c r="L940" s="65"/>
      <c r="M940" s="65"/>
      <c r="N940" s="65"/>
      <c r="O940" s="65"/>
      <c r="P940" s="65"/>
      <c r="Q940" s="65"/>
      <c r="R940" s="65"/>
      <c r="S940" s="65"/>
      <c r="T940" s="65"/>
      <c r="U940" s="65"/>
      <c r="V940" s="65"/>
      <c r="W940" s="65"/>
    </row>
    <row r="941" spans="1:23" ht="15.75" customHeight="1" x14ac:dyDescent="0.4">
      <c r="A941" s="293"/>
      <c r="B941" s="65"/>
      <c r="C941" s="65"/>
      <c r="J941" s="65"/>
      <c r="K941" s="65"/>
      <c r="L941" s="65"/>
      <c r="M941" s="65"/>
      <c r="N941" s="65"/>
      <c r="O941" s="65"/>
      <c r="P941" s="65"/>
      <c r="Q941" s="65"/>
      <c r="R941" s="65"/>
      <c r="S941" s="65"/>
      <c r="T941" s="65"/>
      <c r="U941" s="65"/>
      <c r="V941" s="65"/>
      <c r="W941" s="65"/>
    </row>
    <row r="942" spans="1:23" ht="15.75" customHeight="1" x14ac:dyDescent="0.4">
      <c r="A942" s="293"/>
      <c r="B942" s="65"/>
      <c r="C942" s="65"/>
      <c r="J942" s="65"/>
      <c r="K942" s="65"/>
      <c r="L942" s="65"/>
      <c r="M942" s="65"/>
      <c r="N942" s="65"/>
      <c r="O942" s="65"/>
      <c r="P942" s="65"/>
      <c r="Q942" s="65"/>
      <c r="R942" s="65"/>
      <c r="S942" s="65"/>
      <c r="T942" s="65"/>
      <c r="U942" s="65"/>
      <c r="V942" s="65"/>
      <c r="W942" s="65"/>
    </row>
    <row r="943" spans="1:23" ht="15.75" customHeight="1" x14ac:dyDescent="0.4">
      <c r="A943" s="293"/>
      <c r="B943" s="65"/>
      <c r="C943" s="65"/>
      <c r="J943" s="65"/>
      <c r="K943" s="65"/>
      <c r="L943" s="65"/>
      <c r="M943" s="65"/>
      <c r="N943" s="65"/>
      <c r="O943" s="65"/>
      <c r="P943" s="65"/>
      <c r="Q943" s="65"/>
      <c r="R943" s="65"/>
      <c r="S943" s="65"/>
      <c r="T943" s="65"/>
      <c r="U943" s="65"/>
      <c r="V943" s="65"/>
      <c r="W943" s="65"/>
    </row>
    <row r="944" spans="1:23" ht="15.75" customHeight="1" x14ac:dyDescent="0.4">
      <c r="A944" s="293"/>
      <c r="B944" s="65"/>
      <c r="C944" s="65"/>
      <c r="J944" s="65"/>
      <c r="K944" s="65"/>
      <c r="L944" s="65"/>
      <c r="M944" s="65"/>
      <c r="N944" s="65"/>
      <c r="O944" s="65"/>
      <c r="P944" s="65"/>
      <c r="Q944" s="65"/>
      <c r="R944" s="65"/>
      <c r="S944" s="65"/>
      <c r="T944" s="65"/>
      <c r="U944" s="65"/>
      <c r="V944" s="65"/>
      <c r="W944" s="65"/>
    </row>
    <row r="945" spans="1:23" ht="15.75" customHeight="1" x14ac:dyDescent="0.4">
      <c r="A945" s="293"/>
      <c r="B945" s="65"/>
      <c r="C945" s="65"/>
      <c r="J945" s="65"/>
      <c r="K945" s="65"/>
      <c r="L945" s="65"/>
      <c r="M945" s="65"/>
      <c r="N945" s="65"/>
      <c r="O945" s="65"/>
      <c r="P945" s="65"/>
      <c r="Q945" s="65"/>
      <c r="R945" s="65"/>
      <c r="S945" s="65"/>
      <c r="T945" s="65"/>
      <c r="U945" s="65"/>
      <c r="V945" s="65"/>
      <c r="W945" s="65"/>
    </row>
    <row r="946" spans="1:23" ht="15.75" customHeight="1" x14ac:dyDescent="0.4">
      <c r="A946" s="293"/>
      <c r="B946" s="65"/>
      <c r="C946" s="65"/>
      <c r="J946" s="65"/>
      <c r="K946" s="65"/>
      <c r="L946" s="65"/>
      <c r="M946" s="65"/>
      <c r="N946" s="65"/>
      <c r="O946" s="65"/>
      <c r="P946" s="65"/>
      <c r="Q946" s="65"/>
      <c r="R946" s="65"/>
      <c r="S946" s="65"/>
      <c r="T946" s="65"/>
      <c r="U946" s="65"/>
      <c r="V946" s="65"/>
      <c r="W946" s="65"/>
    </row>
    <row r="947" spans="1:23" ht="15.75" customHeight="1" x14ac:dyDescent="0.4">
      <c r="A947" s="293"/>
      <c r="B947" s="65"/>
      <c r="C947" s="65"/>
      <c r="J947" s="65"/>
      <c r="K947" s="65"/>
      <c r="L947" s="65"/>
      <c r="M947" s="65"/>
      <c r="N947" s="65"/>
      <c r="O947" s="65"/>
      <c r="P947" s="65"/>
      <c r="Q947" s="65"/>
      <c r="R947" s="65"/>
      <c r="S947" s="65"/>
      <c r="T947" s="65"/>
      <c r="U947" s="65"/>
      <c r="V947" s="65"/>
      <c r="W947" s="65"/>
    </row>
    <row r="948" spans="1:23" ht="15.75" customHeight="1" x14ac:dyDescent="0.4">
      <c r="A948" s="293"/>
      <c r="B948" s="65"/>
      <c r="C948" s="65"/>
      <c r="J948" s="65"/>
      <c r="K948" s="65"/>
      <c r="L948" s="65"/>
      <c r="M948" s="65"/>
      <c r="N948" s="65"/>
      <c r="O948" s="65"/>
      <c r="P948" s="65"/>
      <c r="Q948" s="65"/>
      <c r="R948" s="65"/>
      <c r="S948" s="65"/>
      <c r="T948" s="65"/>
      <c r="U948" s="65"/>
      <c r="V948" s="65"/>
      <c r="W948" s="65"/>
    </row>
    <row r="949" spans="1:23" ht="15.75" customHeight="1" x14ac:dyDescent="0.4">
      <c r="A949" s="293"/>
      <c r="B949" s="65"/>
      <c r="C949" s="65"/>
      <c r="J949" s="65"/>
      <c r="K949" s="65"/>
      <c r="L949" s="65"/>
      <c r="M949" s="65"/>
      <c r="N949" s="65"/>
      <c r="O949" s="65"/>
      <c r="P949" s="65"/>
      <c r="Q949" s="65"/>
      <c r="R949" s="65"/>
      <c r="S949" s="65"/>
      <c r="T949" s="65"/>
      <c r="U949" s="65"/>
      <c r="V949" s="65"/>
      <c r="W949" s="65"/>
    </row>
    <row r="950" spans="1:23" ht="15.75" customHeight="1" x14ac:dyDescent="0.4">
      <c r="A950" s="293"/>
      <c r="B950" s="65"/>
      <c r="C950" s="65"/>
      <c r="J950" s="65"/>
      <c r="K950" s="65"/>
      <c r="L950" s="65"/>
      <c r="M950" s="65"/>
      <c r="N950" s="65"/>
      <c r="O950" s="65"/>
      <c r="P950" s="65"/>
      <c r="Q950" s="65"/>
      <c r="R950" s="65"/>
      <c r="S950" s="65"/>
      <c r="T950" s="65"/>
      <c r="U950" s="65"/>
      <c r="V950" s="65"/>
      <c r="W950" s="65"/>
    </row>
    <row r="951" spans="1:23" ht="15.75" customHeight="1" x14ac:dyDescent="0.4">
      <c r="A951" s="293"/>
      <c r="B951" s="65"/>
      <c r="C951" s="65"/>
      <c r="J951" s="65"/>
      <c r="K951" s="65"/>
      <c r="L951" s="65"/>
      <c r="M951" s="65"/>
      <c r="N951" s="65"/>
      <c r="O951" s="65"/>
      <c r="P951" s="65"/>
      <c r="Q951" s="65"/>
      <c r="R951" s="65"/>
      <c r="S951" s="65"/>
      <c r="T951" s="65"/>
      <c r="U951" s="65"/>
      <c r="V951" s="65"/>
      <c r="W951" s="65"/>
    </row>
    <row r="952" spans="1:23" ht="15.75" customHeight="1" x14ac:dyDescent="0.4">
      <c r="A952" s="293"/>
      <c r="B952" s="65"/>
      <c r="C952" s="65"/>
      <c r="J952" s="65"/>
      <c r="K952" s="65"/>
      <c r="L952" s="65"/>
      <c r="M952" s="65"/>
      <c r="N952" s="65"/>
      <c r="O952" s="65"/>
      <c r="P952" s="65"/>
      <c r="Q952" s="65"/>
      <c r="R952" s="65"/>
      <c r="S952" s="65"/>
      <c r="T952" s="65"/>
      <c r="U952" s="65"/>
      <c r="V952" s="65"/>
      <c r="W952" s="65"/>
    </row>
    <row r="953" spans="1:23" ht="15.75" customHeight="1" x14ac:dyDescent="0.4">
      <c r="A953" s="293"/>
      <c r="B953" s="65"/>
      <c r="C953" s="65"/>
      <c r="J953" s="65"/>
      <c r="K953" s="65"/>
      <c r="L953" s="65"/>
      <c r="M953" s="65"/>
      <c r="N953" s="65"/>
      <c r="O953" s="65"/>
      <c r="P953" s="65"/>
      <c r="Q953" s="65"/>
      <c r="R953" s="65"/>
      <c r="S953" s="65"/>
      <c r="T953" s="65"/>
      <c r="U953" s="65"/>
      <c r="V953" s="65"/>
      <c r="W953" s="65"/>
    </row>
    <row r="954" spans="1:23" ht="15.75" customHeight="1" x14ac:dyDescent="0.4">
      <c r="A954" s="293"/>
      <c r="B954" s="65"/>
      <c r="C954" s="65"/>
      <c r="J954" s="65"/>
      <c r="K954" s="65"/>
      <c r="L954" s="65"/>
      <c r="M954" s="65"/>
      <c r="N954" s="65"/>
      <c r="O954" s="65"/>
      <c r="P954" s="65"/>
      <c r="Q954" s="65"/>
      <c r="R954" s="65"/>
      <c r="S954" s="65"/>
      <c r="T954" s="65"/>
      <c r="U954" s="65"/>
      <c r="V954" s="65"/>
      <c r="W954" s="65"/>
    </row>
    <row r="955" spans="1:23" ht="15.75" customHeight="1" x14ac:dyDescent="0.4">
      <c r="A955" s="293"/>
      <c r="B955" s="65"/>
      <c r="C955" s="65"/>
      <c r="J955" s="65"/>
      <c r="K955" s="65"/>
      <c r="L955" s="65"/>
      <c r="M955" s="65"/>
      <c r="N955" s="65"/>
      <c r="O955" s="65"/>
      <c r="P955" s="65"/>
      <c r="Q955" s="65"/>
      <c r="R955" s="65"/>
      <c r="S955" s="65"/>
      <c r="T955" s="65"/>
      <c r="U955" s="65"/>
      <c r="V955" s="65"/>
      <c r="W955" s="65"/>
    </row>
    <row r="956" spans="1:23" ht="15.75" customHeight="1" x14ac:dyDescent="0.4">
      <c r="A956" s="293"/>
      <c r="B956" s="65"/>
      <c r="C956" s="65"/>
      <c r="J956" s="65"/>
      <c r="K956" s="65"/>
      <c r="L956" s="65"/>
      <c r="M956" s="65"/>
      <c r="N956" s="65"/>
      <c r="O956" s="65"/>
      <c r="P956" s="65"/>
      <c r="Q956" s="65"/>
      <c r="R956" s="65"/>
      <c r="S956" s="65"/>
      <c r="T956" s="65"/>
      <c r="U956" s="65"/>
      <c r="V956" s="65"/>
      <c r="W956" s="65"/>
    </row>
    <row r="957" spans="1:23" ht="15.75" customHeight="1" x14ac:dyDescent="0.4">
      <c r="A957" s="293"/>
      <c r="B957" s="65"/>
      <c r="C957" s="65"/>
      <c r="J957" s="65"/>
      <c r="K957" s="65"/>
      <c r="L957" s="65"/>
      <c r="M957" s="65"/>
      <c r="N957" s="65"/>
      <c r="O957" s="65"/>
      <c r="P957" s="65"/>
      <c r="Q957" s="65"/>
      <c r="R957" s="65"/>
      <c r="S957" s="65"/>
      <c r="T957" s="65"/>
      <c r="U957" s="65"/>
      <c r="V957" s="65"/>
      <c r="W957" s="65"/>
    </row>
    <row r="958" spans="1:23" ht="15.75" customHeight="1" x14ac:dyDescent="0.4">
      <c r="A958" s="293"/>
      <c r="B958" s="65"/>
      <c r="C958" s="65"/>
      <c r="J958" s="65"/>
      <c r="K958" s="65"/>
      <c r="L958" s="65"/>
      <c r="M958" s="65"/>
      <c r="N958" s="65"/>
      <c r="O958" s="65"/>
      <c r="P958" s="65"/>
      <c r="Q958" s="65"/>
      <c r="R958" s="65"/>
      <c r="S958" s="65"/>
      <c r="T958" s="65"/>
      <c r="U958" s="65"/>
      <c r="V958" s="65"/>
      <c r="W958" s="65"/>
    </row>
    <row r="959" spans="1:23" ht="15.75" customHeight="1" x14ac:dyDescent="0.4">
      <c r="A959" s="293"/>
      <c r="B959" s="65"/>
      <c r="C959" s="65"/>
      <c r="J959" s="65"/>
      <c r="K959" s="65"/>
      <c r="L959" s="65"/>
      <c r="M959" s="65"/>
      <c r="N959" s="65"/>
      <c r="O959" s="65"/>
      <c r="P959" s="65"/>
      <c r="Q959" s="65"/>
      <c r="R959" s="65"/>
      <c r="S959" s="65"/>
      <c r="T959" s="65"/>
      <c r="U959" s="65"/>
      <c r="V959" s="65"/>
      <c r="W959" s="65"/>
    </row>
    <row r="960" spans="1:23" ht="15.75" customHeight="1" x14ac:dyDescent="0.4">
      <c r="A960" s="293"/>
      <c r="B960" s="65"/>
      <c r="C960" s="65"/>
      <c r="J960" s="65"/>
      <c r="K960" s="65"/>
      <c r="L960" s="65"/>
      <c r="M960" s="65"/>
      <c r="N960" s="65"/>
      <c r="O960" s="65"/>
      <c r="P960" s="65"/>
      <c r="Q960" s="65"/>
      <c r="R960" s="65"/>
      <c r="S960" s="65"/>
      <c r="T960" s="65"/>
      <c r="U960" s="65"/>
      <c r="V960" s="65"/>
      <c r="W960" s="65"/>
    </row>
    <row r="961" spans="1:23" ht="15.75" customHeight="1" x14ac:dyDescent="0.4">
      <c r="A961" s="293"/>
      <c r="B961" s="65"/>
      <c r="C961" s="65"/>
      <c r="J961" s="65"/>
      <c r="K961" s="65"/>
      <c r="L961" s="65"/>
      <c r="M961" s="65"/>
      <c r="N961" s="65"/>
      <c r="O961" s="65"/>
      <c r="P961" s="65"/>
      <c r="Q961" s="65"/>
      <c r="R961" s="65"/>
      <c r="S961" s="65"/>
      <c r="T961" s="65"/>
      <c r="U961" s="65"/>
      <c r="V961" s="65"/>
      <c r="W961" s="65"/>
    </row>
    <row r="962" spans="1:23" ht="15.75" customHeight="1" x14ac:dyDescent="0.4">
      <c r="A962" s="293"/>
      <c r="B962" s="65"/>
      <c r="C962" s="65"/>
      <c r="J962" s="65"/>
      <c r="K962" s="65"/>
      <c r="L962" s="65"/>
      <c r="M962" s="65"/>
      <c r="N962" s="65"/>
      <c r="O962" s="65"/>
      <c r="P962" s="65"/>
      <c r="Q962" s="65"/>
      <c r="R962" s="65"/>
      <c r="S962" s="65"/>
      <c r="T962" s="65"/>
      <c r="U962" s="65"/>
      <c r="V962" s="65"/>
      <c r="W962" s="65"/>
    </row>
    <row r="963" spans="1:23" ht="15.75" customHeight="1" x14ac:dyDescent="0.4">
      <c r="A963" s="293"/>
      <c r="B963" s="65"/>
      <c r="C963" s="65"/>
      <c r="J963" s="65"/>
      <c r="K963" s="65"/>
      <c r="L963" s="65"/>
      <c r="M963" s="65"/>
      <c r="N963" s="65"/>
      <c r="O963" s="65"/>
      <c r="P963" s="65"/>
      <c r="Q963" s="65"/>
      <c r="R963" s="65"/>
      <c r="S963" s="65"/>
      <c r="T963" s="65"/>
      <c r="U963" s="65"/>
      <c r="V963" s="65"/>
      <c r="W963" s="65"/>
    </row>
    <row r="964" spans="1:23" ht="15.75" customHeight="1" x14ac:dyDescent="0.4">
      <c r="A964" s="293"/>
      <c r="B964" s="65"/>
      <c r="C964" s="65"/>
      <c r="J964" s="65"/>
      <c r="K964" s="65"/>
      <c r="L964" s="65"/>
      <c r="M964" s="65"/>
      <c r="N964" s="65"/>
      <c r="O964" s="65"/>
      <c r="P964" s="65"/>
      <c r="Q964" s="65"/>
      <c r="R964" s="65"/>
      <c r="S964" s="65"/>
      <c r="T964" s="65"/>
      <c r="U964" s="65"/>
      <c r="V964" s="65"/>
      <c r="W964" s="65"/>
    </row>
    <row r="965" spans="1:23" ht="15.75" customHeight="1" x14ac:dyDescent="0.4">
      <c r="A965" s="293"/>
      <c r="B965" s="65"/>
      <c r="C965" s="65"/>
      <c r="J965" s="65"/>
      <c r="K965" s="65"/>
      <c r="L965" s="65"/>
      <c r="M965" s="65"/>
      <c r="N965" s="65"/>
      <c r="O965" s="65"/>
      <c r="P965" s="65"/>
      <c r="Q965" s="65"/>
      <c r="R965" s="65"/>
      <c r="S965" s="65"/>
      <c r="T965" s="65"/>
      <c r="U965" s="65"/>
      <c r="V965" s="65"/>
      <c r="W965" s="65"/>
    </row>
    <row r="966" spans="1:23" ht="15.75" customHeight="1" x14ac:dyDescent="0.4">
      <c r="A966" s="293"/>
      <c r="B966" s="65"/>
      <c r="C966" s="65"/>
      <c r="J966" s="65"/>
      <c r="K966" s="65"/>
      <c r="L966" s="65"/>
      <c r="M966" s="65"/>
      <c r="N966" s="65"/>
      <c r="O966" s="65"/>
      <c r="P966" s="65"/>
      <c r="Q966" s="65"/>
      <c r="R966" s="65"/>
      <c r="S966" s="65"/>
      <c r="T966" s="65"/>
      <c r="U966" s="65"/>
      <c r="V966" s="65"/>
      <c r="W966" s="65"/>
    </row>
    <row r="967" spans="1:23" ht="15.75" customHeight="1" x14ac:dyDescent="0.4">
      <c r="A967" s="293"/>
      <c r="B967" s="65"/>
      <c r="C967" s="65"/>
      <c r="J967" s="65"/>
      <c r="K967" s="65"/>
      <c r="L967" s="65"/>
      <c r="M967" s="65"/>
      <c r="N967" s="65"/>
      <c r="O967" s="65"/>
      <c r="P967" s="65"/>
      <c r="Q967" s="65"/>
      <c r="R967" s="65"/>
      <c r="S967" s="65"/>
      <c r="T967" s="65"/>
      <c r="U967" s="65"/>
      <c r="V967" s="65"/>
      <c r="W967" s="65"/>
    </row>
    <row r="968" spans="1:23" ht="15.75" customHeight="1" x14ac:dyDescent="0.4">
      <c r="A968" s="293"/>
      <c r="B968" s="65"/>
      <c r="C968" s="65"/>
      <c r="J968" s="65"/>
      <c r="K968" s="65"/>
      <c r="L968" s="65"/>
      <c r="M968" s="65"/>
      <c r="N968" s="65"/>
      <c r="O968" s="65"/>
      <c r="P968" s="65"/>
      <c r="Q968" s="65"/>
      <c r="R968" s="65"/>
      <c r="S968" s="65"/>
      <c r="T968" s="65"/>
      <c r="U968" s="65"/>
      <c r="V968" s="65"/>
      <c r="W968" s="65"/>
    </row>
    <row r="969" spans="1:23" ht="15.75" customHeight="1" x14ac:dyDescent="0.4">
      <c r="A969" s="293"/>
      <c r="B969" s="65"/>
      <c r="C969" s="65"/>
      <c r="J969" s="65"/>
      <c r="K969" s="65"/>
      <c r="L969" s="65"/>
      <c r="M969" s="65"/>
      <c r="N969" s="65"/>
      <c r="O969" s="65"/>
      <c r="P969" s="65"/>
      <c r="Q969" s="65"/>
      <c r="R969" s="65"/>
      <c r="S969" s="65"/>
      <c r="T969" s="65"/>
      <c r="U969" s="65"/>
      <c r="V969" s="65"/>
      <c r="W969" s="65"/>
    </row>
    <row r="970" spans="1:23" ht="15.75" customHeight="1" x14ac:dyDescent="0.4">
      <c r="A970" s="293"/>
      <c r="B970" s="65"/>
      <c r="C970" s="65"/>
      <c r="J970" s="65"/>
      <c r="K970" s="65"/>
      <c r="L970" s="65"/>
      <c r="M970" s="65"/>
      <c r="N970" s="65"/>
      <c r="O970" s="65"/>
      <c r="P970" s="65"/>
      <c r="Q970" s="65"/>
      <c r="R970" s="65"/>
      <c r="S970" s="65"/>
      <c r="T970" s="65"/>
      <c r="U970" s="65"/>
      <c r="V970" s="65"/>
      <c r="W970" s="65"/>
    </row>
    <row r="971" spans="1:23" ht="15.75" customHeight="1" x14ac:dyDescent="0.4">
      <c r="A971" s="293"/>
      <c r="B971" s="65"/>
      <c r="C971" s="65"/>
      <c r="J971" s="65"/>
      <c r="K971" s="65"/>
      <c r="L971" s="65"/>
      <c r="M971" s="65"/>
      <c r="N971" s="65"/>
      <c r="O971" s="65"/>
      <c r="P971" s="65"/>
      <c r="Q971" s="65"/>
      <c r="R971" s="65"/>
      <c r="S971" s="65"/>
      <c r="T971" s="65"/>
      <c r="U971" s="65"/>
      <c r="V971" s="65"/>
      <c r="W971" s="65"/>
    </row>
    <row r="972" spans="1:23" ht="15.75" customHeight="1" x14ac:dyDescent="0.4">
      <c r="A972" s="293"/>
      <c r="B972" s="65"/>
      <c r="C972" s="65"/>
      <c r="J972" s="65"/>
      <c r="K972" s="65"/>
      <c r="L972" s="65"/>
      <c r="M972" s="65"/>
      <c r="N972" s="65"/>
      <c r="O972" s="65"/>
      <c r="P972" s="65"/>
      <c r="Q972" s="65"/>
      <c r="R972" s="65"/>
      <c r="S972" s="65"/>
      <c r="T972" s="65"/>
      <c r="U972" s="65"/>
      <c r="V972" s="65"/>
      <c r="W972" s="65"/>
    </row>
    <row r="973" spans="1:23" ht="15.75" customHeight="1" x14ac:dyDescent="0.4">
      <c r="A973" s="293"/>
      <c r="B973" s="65"/>
      <c r="C973" s="65"/>
      <c r="J973" s="65"/>
      <c r="K973" s="65"/>
      <c r="L973" s="65"/>
      <c r="M973" s="65"/>
      <c r="N973" s="65"/>
      <c r="O973" s="65"/>
      <c r="P973" s="65"/>
      <c r="Q973" s="65"/>
      <c r="R973" s="65"/>
      <c r="S973" s="65"/>
      <c r="T973" s="65"/>
      <c r="U973" s="65"/>
      <c r="V973" s="65"/>
      <c r="W973" s="65"/>
    </row>
    <row r="974" spans="1:23" ht="15.75" customHeight="1" x14ac:dyDescent="0.4">
      <c r="A974" s="293"/>
      <c r="B974" s="65"/>
      <c r="C974" s="65"/>
      <c r="J974" s="65"/>
      <c r="K974" s="65"/>
      <c r="L974" s="65"/>
      <c r="M974" s="65"/>
      <c r="N974" s="65"/>
      <c r="O974" s="65"/>
      <c r="P974" s="65"/>
      <c r="Q974" s="65"/>
      <c r="R974" s="65"/>
      <c r="S974" s="65"/>
      <c r="T974" s="65"/>
      <c r="U974" s="65"/>
      <c r="V974" s="65"/>
      <c r="W974" s="65"/>
    </row>
    <row r="975" spans="1:23" ht="15.75" customHeight="1" x14ac:dyDescent="0.4">
      <c r="A975" s="293"/>
      <c r="B975" s="65"/>
      <c r="C975" s="65"/>
      <c r="J975" s="65"/>
      <c r="K975" s="65"/>
      <c r="L975" s="65"/>
      <c r="M975" s="65"/>
      <c r="N975" s="65"/>
      <c r="O975" s="65"/>
      <c r="P975" s="65"/>
      <c r="Q975" s="65"/>
      <c r="R975" s="65"/>
      <c r="S975" s="65"/>
      <c r="T975" s="65"/>
      <c r="U975" s="65"/>
      <c r="V975" s="65"/>
      <c r="W975" s="65"/>
    </row>
    <row r="976" spans="1:23" ht="15.75" customHeight="1" x14ac:dyDescent="0.4">
      <c r="A976" s="293"/>
      <c r="B976" s="65"/>
      <c r="C976" s="65"/>
      <c r="J976" s="65"/>
      <c r="K976" s="65"/>
      <c r="L976" s="65"/>
      <c r="M976" s="65"/>
      <c r="N976" s="65"/>
      <c r="O976" s="65"/>
      <c r="P976" s="65"/>
      <c r="Q976" s="65"/>
      <c r="R976" s="65"/>
      <c r="S976" s="65"/>
      <c r="T976" s="65"/>
      <c r="U976" s="65"/>
      <c r="V976" s="65"/>
      <c r="W976" s="65"/>
    </row>
    <row r="977" spans="1:23" ht="15.75" customHeight="1" x14ac:dyDescent="0.4">
      <c r="A977" s="293"/>
      <c r="B977" s="65"/>
      <c r="C977" s="65"/>
      <c r="J977" s="65"/>
      <c r="K977" s="65"/>
      <c r="L977" s="65"/>
      <c r="M977" s="65"/>
      <c r="N977" s="65"/>
      <c r="O977" s="65"/>
      <c r="P977" s="65"/>
      <c r="Q977" s="65"/>
      <c r="R977" s="65"/>
      <c r="S977" s="65"/>
      <c r="T977" s="65"/>
      <c r="U977" s="65"/>
      <c r="V977" s="65"/>
      <c r="W977" s="65"/>
    </row>
  </sheetData>
  <dataConsolidate/>
  <pageMargins left="0.17" right="0.18" top="0.23" bottom="0.36" header="0.17" footer="0.31496062992125984"/>
  <pageSetup paperSize="9" scale="54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2026-04-07T14:21:46Z</cp:lastPrinted>
  <dcterms:created xsi:type="dcterms:W3CDTF">2020-02-24T10:22:08Z</dcterms:created>
  <dcterms:modified xsi:type="dcterms:W3CDTF">2026-04-07T14:29:14Z</dcterms:modified>
</cp:coreProperties>
</file>