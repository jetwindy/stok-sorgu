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525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AV147" i="13" l="1"/>
  <c r="AS147" i="13"/>
  <c r="E30" i="22" l="1"/>
  <c r="G33" i="12"/>
  <c r="BG137" i="13" l="1"/>
  <c r="F13" i="22" l="1"/>
  <c r="W6" i="13"/>
  <c r="F15" i="22" s="1"/>
  <c r="BS134" i="13"/>
  <c r="M6" i="13"/>
  <c r="H13" i="12" s="1"/>
  <c r="AV134" i="13"/>
  <c r="P6" i="13"/>
  <c r="F12" i="22" s="1"/>
  <c r="Q6" i="13"/>
  <c r="R6" i="13"/>
  <c r="H16" i="12" s="1"/>
  <c r="AA134" i="13"/>
  <c r="AG134" i="13"/>
  <c r="BB134" i="13"/>
  <c r="H18" i="12" l="1"/>
  <c r="H15" i="12"/>
  <c r="F10" i="22"/>
  <c r="BL6" i="13"/>
  <c r="J32" i="12" s="1"/>
  <c r="CD129" i="13"/>
  <c r="H29" i="22" l="1"/>
  <c r="BI127" i="13"/>
  <c r="AS124" i="13" l="1"/>
  <c r="AM124" i="13"/>
  <c r="AP124" i="13"/>
  <c r="BB123" i="13"/>
  <c r="AV123" i="13"/>
  <c r="BE121" i="13"/>
  <c r="AP122" i="13"/>
  <c r="C34" i="13" l="1"/>
  <c r="BS118" i="13" l="1"/>
  <c r="BP6" i="13" l="1"/>
  <c r="J33" i="12" l="1"/>
  <c r="H30" i="22"/>
  <c r="C113" i="13"/>
  <c r="AQ103" i="13" l="1"/>
  <c r="C82" i="13" l="1"/>
  <c r="C78" i="13"/>
  <c r="V6" i="13" l="1"/>
  <c r="G18" i="12" s="1"/>
  <c r="E15" i="22" l="1"/>
  <c r="BB83" i="13"/>
  <c r="AD83" i="13"/>
  <c r="AG83" i="13"/>
  <c r="T6" i="13" l="1"/>
  <c r="F14" i="22" s="1"/>
  <c r="H17" i="12" l="1"/>
  <c r="BO73" i="13" l="1"/>
  <c r="C9" i="13" l="1"/>
  <c r="C69" i="13"/>
  <c r="AS6" i="13" l="1"/>
  <c r="H26" i="12" s="1"/>
  <c r="AA6" i="13"/>
  <c r="Z6" i="13"/>
  <c r="E17" i="22" s="1"/>
  <c r="AC6" i="13"/>
  <c r="E18" i="22" s="1"/>
  <c r="BY6" i="13"/>
  <c r="F33" i="22" s="1"/>
  <c r="BV6" i="13"/>
  <c r="F32" i="22" s="1"/>
  <c r="BO6" i="13"/>
  <c r="H33" i="12" s="1"/>
  <c r="BK6" i="13"/>
  <c r="H32" i="12" s="1"/>
  <c r="AP6" i="13"/>
  <c r="F22" i="22" s="1"/>
  <c r="F17" i="22" l="1"/>
  <c r="H20" i="12"/>
  <c r="H35" i="12"/>
  <c r="F23" i="22"/>
  <c r="F29" i="22"/>
  <c r="H36" i="12"/>
  <c r="F30" i="22"/>
  <c r="G21" i="12"/>
  <c r="H25" i="12"/>
  <c r="BE60" i="13"/>
  <c r="AY60" i="13"/>
  <c r="C49" i="13" l="1"/>
  <c r="AJ6" i="13" l="1"/>
  <c r="H23" i="12" s="1"/>
  <c r="AY6" i="13"/>
  <c r="F25" i="22" s="1"/>
  <c r="BH6" i="13"/>
  <c r="BE6" i="13"/>
  <c r="H30" i="12" s="1"/>
  <c r="F28" i="22" l="1"/>
  <c r="H31" i="12"/>
  <c r="H28" i="12"/>
  <c r="F20" i="22"/>
  <c r="F27" i="22"/>
  <c r="BB47" i="13"/>
  <c r="BB6" i="13" s="1"/>
  <c r="H29" i="12" s="1"/>
  <c r="AM47" i="13"/>
  <c r="AG47" i="13"/>
  <c r="AM6" i="13"/>
  <c r="F21" i="22" s="1"/>
  <c r="AV6" i="13"/>
  <c r="F24" i="22" s="1"/>
  <c r="AD6" i="13"/>
  <c r="H21" i="12" s="1"/>
  <c r="AG6" i="13"/>
  <c r="F19" i="22" s="1"/>
  <c r="AF6" i="13"/>
  <c r="H22" i="12" l="1"/>
  <c r="F18" i="22"/>
  <c r="H24" i="12"/>
  <c r="F26" i="22"/>
  <c r="H27" i="12"/>
  <c r="AL43" i="13"/>
  <c r="C33" i="13" l="1"/>
  <c r="DI6" i="13" l="1"/>
  <c r="G65" i="12" s="1"/>
  <c r="C27" i="13" l="1"/>
  <c r="C26" i="13"/>
  <c r="CZ6" i="13" l="1"/>
  <c r="E54" i="22" l="1"/>
  <c r="G59" i="12"/>
  <c r="C17" i="13"/>
  <c r="BW15" i="13"/>
  <c r="AK14" i="13"/>
  <c r="BW13" i="13"/>
  <c r="Y11" i="13" l="1"/>
  <c r="J44" i="22" l="1"/>
  <c r="BN6" i="13" l="1"/>
  <c r="L6" i="13"/>
  <c r="F13" i="12" l="1"/>
  <c r="D10" i="22"/>
  <c r="J10" i="22" s="1"/>
  <c r="C8" i="13"/>
  <c r="C10" i="13"/>
  <c r="C11" i="13"/>
  <c r="C12" i="13"/>
  <c r="C13" i="13"/>
  <c r="C14" i="13"/>
  <c r="C15" i="13"/>
  <c r="C16" i="13"/>
  <c r="C18" i="13"/>
  <c r="C19" i="13"/>
  <c r="C20" i="13"/>
  <c r="C21" i="13"/>
  <c r="C22" i="13"/>
  <c r="C23" i="13"/>
  <c r="C24" i="13"/>
  <c r="C25" i="13"/>
  <c r="C28" i="13"/>
  <c r="C29" i="13"/>
  <c r="C30" i="13"/>
  <c r="C31" i="13"/>
  <c r="C32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70" i="13"/>
  <c r="C71" i="13"/>
  <c r="C72" i="13"/>
  <c r="C73" i="13"/>
  <c r="C74" i="13"/>
  <c r="C75" i="13"/>
  <c r="C76" i="13"/>
  <c r="C77" i="13"/>
  <c r="C79" i="13"/>
  <c r="C80" i="13"/>
  <c r="C81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I6" i="13" l="1"/>
  <c r="D7" i="22" s="1"/>
  <c r="J7" i="22" s="1"/>
  <c r="F10" i="12" l="1"/>
  <c r="E10" i="12" s="1"/>
  <c r="DS6" i="13" l="1"/>
  <c r="G69" i="22" l="1"/>
  <c r="I76" i="12"/>
  <c r="H70" i="12"/>
  <c r="J70" i="12"/>
  <c r="DM6" i="13"/>
  <c r="F69" i="12" l="1"/>
  <c r="D64" i="22"/>
  <c r="J64" i="22" s="1"/>
  <c r="J84" i="12"/>
  <c r="K84" i="12"/>
  <c r="DN6" i="13" l="1"/>
  <c r="F65" i="22" s="1"/>
  <c r="J65" i="22" s="1"/>
  <c r="DO6" i="13"/>
  <c r="F66" i="22" s="1"/>
  <c r="J66" i="22" s="1"/>
  <c r="DP6" i="13"/>
  <c r="F67" i="22" s="1"/>
  <c r="J67" i="22" s="1"/>
  <c r="DQ6" i="13"/>
  <c r="G68" i="22" s="1"/>
  <c r="J68" i="22" s="1"/>
  <c r="DR6" i="13"/>
  <c r="E69" i="22" s="1"/>
  <c r="J69" i="22" s="1"/>
  <c r="DT6" i="13"/>
  <c r="F70" i="22" s="1"/>
  <c r="J70" i="22" s="1"/>
  <c r="DU6" i="13"/>
  <c r="F71" i="22" s="1"/>
  <c r="J71" i="22" s="1"/>
  <c r="DV6" i="13"/>
  <c r="F72" i="22" s="1"/>
  <c r="J72" i="22" s="1"/>
  <c r="DW6" i="13"/>
  <c r="F73" i="22" s="1"/>
  <c r="J73" i="22" s="1"/>
  <c r="DX6" i="13"/>
  <c r="F74" i="22" s="1"/>
  <c r="J74" i="22" s="1"/>
  <c r="DY6" i="13"/>
  <c r="F75" i="22" s="1"/>
  <c r="J75" i="22" s="1"/>
  <c r="DZ6" i="13"/>
  <c r="F76" i="22" s="1"/>
  <c r="J76" i="22" s="1"/>
  <c r="H83" i="12" l="1"/>
  <c r="H81" i="12"/>
  <c r="E81" i="12" s="1"/>
  <c r="H79" i="12"/>
  <c r="E79" i="12" s="1"/>
  <c r="H77" i="12"/>
  <c r="E77" i="12" s="1"/>
  <c r="I75" i="12"/>
  <c r="I84" i="12" s="1"/>
  <c r="H73" i="12"/>
  <c r="E73" i="12" s="1"/>
  <c r="H82" i="12"/>
  <c r="E82" i="12" s="1"/>
  <c r="H80" i="12"/>
  <c r="E80" i="12" s="1"/>
  <c r="H78" i="12"/>
  <c r="E78" i="12" s="1"/>
  <c r="G76" i="12"/>
  <c r="E76" i="12" s="1"/>
  <c r="H74" i="12"/>
  <c r="E74" i="12" s="1"/>
  <c r="H72" i="12"/>
  <c r="E72" i="12" s="1"/>
  <c r="E75" i="12"/>
  <c r="H84" i="12" l="1"/>
  <c r="F84" i="12"/>
  <c r="G84" i="12"/>
  <c r="E84" i="12" l="1"/>
  <c r="BU6" i="13"/>
  <c r="BX6" i="13"/>
  <c r="G35" i="12" l="1"/>
  <c r="E32" i="22"/>
  <c r="G36" i="12"/>
  <c r="E33" i="22"/>
  <c r="CP6" i="13"/>
  <c r="I49" i="12" l="1"/>
  <c r="G46" i="22"/>
  <c r="J46" i="22" s="1"/>
  <c r="X6" i="13"/>
  <c r="CX6" i="13"/>
  <c r="C6" i="21"/>
  <c r="I58" i="12" l="1"/>
  <c r="G53" i="22"/>
  <c r="J53" i="22" s="1"/>
  <c r="F19" i="12"/>
  <c r="D16" i="22"/>
  <c r="J16" i="22" s="1"/>
  <c r="E19" i="12"/>
  <c r="CQ6" i="13" l="1"/>
  <c r="CJ6" i="13"/>
  <c r="J43" i="12" l="1"/>
  <c r="H40" i="22"/>
  <c r="J40" i="22" s="1"/>
  <c r="J50" i="12"/>
  <c r="H47" i="22"/>
  <c r="J47" i="22" s="1"/>
  <c r="CM6" i="13"/>
  <c r="J46" i="12" l="1"/>
  <c r="H43" i="22"/>
  <c r="J43" i="22" s="1"/>
  <c r="E50" i="12"/>
  <c r="E49" i="12"/>
  <c r="CA6" i="13" l="1"/>
  <c r="J37" i="12" l="1"/>
  <c r="H34" i="22"/>
  <c r="F7" i="12"/>
  <c r="AU6" i="13" l="1"/>
  <c r="G27" i="12" l="1"/>
  <c r="E24" i="22"/>
  <c r="CR6" i="13"/>
  <c r="CO6" i="13"/>
  <c r="J48" i="12" l="1"/>
  <c r="E48" i="12" s="1"/>
  <c r="H45" i="22"/>
  <c r="J45" i="22" s="1"/>
  <c r="J51" i="12"/>
  <c r="H48" i="22"/>
  <c r="J48" i="22" s="1"/>
  <c r="CH6" i="13"/>
  <c r="J41" i="12" l="1"/>
  <c r="E41" i="12" s="1"/>
  <c r="H38" i="22"/>
  <c r="J38" i="22" s="1"/>
  <c r="I7" i="12" l="1"/>
  <c r="H7" i="12"/>
  <c r="J7" i="12"/>
  <c r="CF6" i="13" l="1"/>
  <c r="CD6" i="13"/>
  <c r="CB6" i="13"/>
  <c r="J38" i="12" l="1"/>
  <c r="H35" i="22"/>
  <c r="K37" i="12"/>
  <c r="I34" i="22"/>
  <c r="J39" i="12"/>
  <c r="H36" i="22"/>
  <c r="BJ6" i="13"/>
  <c r="G32" i="12" l="1"/>
  <c r="E29" i="22"/>
  <c r="G6" i="13"/>
  <c r="E5" i="22" s="1"/>
  <c r="J5" i="22" s="1"/>
  <c r="G6" i="12" l="1"/>
  <c r="E6" i="12" l="1"/>
  <c r="CK6" i="13"/>
  <c r="F44" i="12" l="1"/>
  <c r="D41" i="22"/>
  <c r="J41" i="22" s="1"/>
  <c r="CN6" i="13"/>
  <c r="CY6" i="13" l="1"/>
  <c r="F59" i="12" l="1"/>
  <c r="D54" i="22"/>
  <c r="CW6" i="13"/>
  <c r="G57" i="12" l="1"/>
  <c r="E52" i="22"/>
  <c r="CE6" i="13"/>
  <c r="F39" i="12" l="1"/>
  <c r="D36" i="22"/>
  <c r="J36" i="22" s="1"/>
  <c r="DD6" i="13"/>
  <c r="G61" i="12" l="1"/>
  <c r="E56" i="22"/>
  <c r="K70" i="12"/>
  <c r="DE6" i="13" l="1"/>
  <c r="F62" i="12" l="1"/>
  <c r="D57" i="22"/>
  <c r="J57" i="22" s="1"/>
  <c r="CS6" i="13"/>
  <c r="CT6" i="13"/>
  <c r="F55" i="12" l="1"/>
  <c r="D50" i="22"/>
  <c r="J50" i="22" s="1"/>
  <c r="F54" i="12"/>
  <c r="D49" i="22"/>
  <c r="J49" i="22" s="1"/>
  <c r="F6" i="13"/>
  <c r="E4" i="22" s="1"/>
  <c r="J4" i="22" s="1"/>
  <c r="G5" i="12" l="1"/>
  <c r="E5" i="12" l="1"/>
  <c r="CL6" i="13" l="1"/>
  <c r="F45" i="12" l="1"/>
  <c r="E45" i="12" s="1"/>
  <c r="D42" i="22"/>
  <c r="J42" i="22" s="1"/>
  <c r="DC6" i="13"/>
  <c r="F61" i="12" l="1"/>
  <c r="D56" i="22"/>
  <c r="J56" i="22" s="1"/>
  <c r="E61" i="12"/>
  <c r="J6" i="13"/>
  <c r="H6" i="13"/>
  <c r="F11" i="12" l="1"/>
  <c r="D8" i="22"/>
  <c r="J8" i="22" s="1"/>
  <c r="F9" i="12"/>
  <c r="D6" i="22"/>
  <c r="J6" i="22" s="1"/>
  <c r="E11" i="12"/>
  <c r="E9" i="12" l="1"/>
  <c r="U6" i="13" l="1"/>
  <c r="F18" i="12" l="1"/>
  <c r="D15" i="22"/>
  <c r="J15" i="22" s="1"/>
  <c r="BZ6" i="13"/>
  <c r="DB6" i="13"/>
  <c r="DF6" i="13"/>
  <c r="F60" i="12" l="1"/>
  <c r="D55" i="22"/>
  <c r="J55" i="22" s="1"/>
  <c r="F63" i="12"/>
  <c r="D58" i="22"/>
  <c r="J58" i="22" s="1"/>
  <c r="F37" i="12"/>
  <c r="D34" i="22"/>
  <c r="J34" i="22" s="1"/>
  <c r="E63" i="12"/>
  <c r="S6" i="13"/>
  <c r="F16" i="12" l="1"/>
  <c r="D13" i="22"/>
  <c r="J13" i="22" s="1"/>
  <c r="F17" i="12"/>
  <c r="D14" i="22"/>
  <c r="J14" i="22" s="1"/>
  <c r="BW6" i="13"/>
  <c r="F36" i="12" l="1"/>
  <c r="D33" i="22"/>
  <c r="J33" i="22" s="1"/>
  <c r="CV6" i="13"/>
  <c r="F57" i="12" l="1"/>
  <c r="D52" i="22"/>
  <c r="J52" i="22" s="1"/>
  <c r="BI6" i="13"/>
  <c r="F32" i="12" l="1"/>
  <c r="D29" i="22"/>
  <c r="J29" i="22" s="1"/>
  <c r="CG6" i="13"/>
  <c r="CI6" i="13"/>
  <c r="H37" i="22" l="1"/>
  <c r="J37" i="22" s="1"/>
  <c r="J40" i="12"/>
  <c r="F42" i="12"/>
  <c r="D39" i="22"/>
  <c r="J39" i="22" s="1"/>
  <c r="BS6" i="13"/>
  <c r="BM6" i="13"/>
  <c r="H34" i="12" l="1"/>
  <c r="F31" i="22"/>
  <c r="F33" i="12"/>
  <c r="D30" i="22"/>
  <c r="DK6" i="13"/>
  <c r="D62" i="22" s="1"/>
  <c r="J62" i="22" s="1"/>
  <c r="F67" i="12" l="1"/>
  <c r="E67" i="12" s="1"/>
  <c r="AB6" i="13" l="1"/>
  <c r="CU6" i="13"/>
  <c r="N6" i="13"/>
  <c r="CC6" i="13"/>
  <c r="Y6" i="13"/>
  <c r="BT6" i="13"/>
  <c r="O6" i="13"/>
  <c r="F38" i="12" l="1"/>
  <c r="D35" i="22"/>
  <c r="J35" i="22" s="1"/>
  <c r="F56" i="12"/>
  <c r="E56" i="12" s="1"/>
  <c r="D51" i="22"/>
  <c r="J51" i="22" s="1"/>
  <c r="F14" i="12"/>
  <c r="D11" i="22"/>
  <c r="J11" i="22" s="1"/>
  <c r="F15" i="12"/>
  <c r="D12" i="22"/>
  <c r="J12" i="22" s="1"/>
  <c r="F35" i="12"/>
  <c r="D32" i="22"/>
  <c r="J32" i="22" s="1"/>
  <c r="F21" i="12"/>
  <c r="D18" i="22"/>
  <c r="J18" i="22" s="1"/>
  <c r="F20" i="12"/>
  <c r="D17" i="22"/>
  <c r="J17" i="22" s="1"/>
  <c r="D6" i="13"/>
  <c r="E2" i="22" s="1"/>
  <c r="J2" i="22" s="1"/>
  <c r="E6" i="13"/>
  <c r="E3" i="22" s="1"/>
  <c r="J3" i="22" s="1"/>
  <c r="G3" i="12" l="1"/>
  <c r="E3" i="12" s="1"/>
  <c r="G4" i="12"/>
  <c r="E14" i="12"/>
  <c r="G7" i="12" l="1"/>
  <c r="E4" i="12"/>
  <c r="K7" i="12"/>
  <c r="E7" i="12" l="1"/>
  <c r="BF6" i="13" l="1"/>
  <c r="BC6" i="13"/>
  <c r="AW6" i="13"/>
  <c r="AT6" i="13"/>
  <c r="AQ6" i="13"/>
  <c r="AN6" i="13"/>
  <c r="AK6" i="13"/>
  <c r="AH6" i="13"/>
  <c r="AE6" i="13"/>
  <c r="F23" i="12" l="1"/>
  <c r="D20" i="22"/>
  <c r="F22" i="12"/>
  <c r="D19" i="22"/>
  <c r="F28" i="12"/>
  <c r="D25" i="22"/>
  <c r="F27" i="12"/>
  <c r="D24" i="22"/>
  <c r="J24" i="22" s="1"/>
  <c r="F25" i="12"/>
  <c r="D22" i="22"/>
  <c r="F24" i="12"/>
  <c r="D21" i="22"/>
  <c r="F31" i="12"/>
  <c r="D28" i="22"/>
  <c r="F30" i="12"/>
  <c r="D27" i="22"/>
  <c r="F26" i="12"/>
  <c r="D23" i="22"/>
  <c r="E58" i="12"/>
  <c r="E55" i="12" l="1"/>
  <c r="DL6" i="13"/>
  <c r="DJ6" i="13"/>
  <c r="DH6" i="13"/>
  <c r="DG6" i="13"/>
  <c r="DA6" i="13"/>
  <c r="E42" i="12"/>
  <c r="BR6" i="13"/>
  <c r="BQ6" i="13"/>
  <c r="BG6" i="13"/>
  <c r="BD6" i="13"/>
  <c r="BA6" i="13"/>
  <c r="AZ6" i="13"/>
  <c r="AX6" i="13"/>
  <c r="AR6" i="13"/>
  <c r="AO6" i="13"/>
  <c r="AL6" i="13"/>
  <c r="AI6" i="13"/>
  <c r="K6" i="13"/>
  <c r="G23" i="12" l="1"/>
  <c r="E20" i="22"/>
  <c r="J20" i="22" s="1"/>
  <c r="G25" i="12"/>
  <c r="E22" i="22"/>
  <c r="J22" i="22" s="1"/>
  <c r="G28" i="12"/>
  <c r="E25" i="22"/>
  <c r="J25" i="22" s="1"/>
  <c r="G29" i="12"/>
  <c r="E26" i="22"/>
  <c r="G31" i="12"/>
  <c r="E28" i="22"/>
  <c r="J28" i="22" s="1"/>
  <c r="G34" i="12"/>
  <c r="E31" i="22"/>
  <c r="I59" i="12"/>
  <c r="E59" i="12" s="1"/>
  <c r="G54" i="22"/>
  <c r="J54" i="22" s="1"/>
  <c r="F65" i="12"/>
  <c r="E65" i="12" s="1"/>
  <c r="D60" i="22"/>
  <c r="J60" i="22" s="1"/>
  <c r="I68" i="12"/>
  <c r="E68" i="12" s="1"/>
  <c r="G63" i="22"/>
  <c r="J63" i="22" s="1"/>
  <c r="F12" i="12"/>
  <c r="D9" i="22"/>
  <c r="J9" i="22" s="1"/>
  <c r="G22" i="12"/>
  <c r="E19" i="22"/>
  <c r="J19" i="22" s="1"/>
  <c r="G24" i="12"/>
  <c r="E21" i="22"/>
  <c r="J21" i="22" s="1"/>
  <c r="G26" i="12"/>
  <c r="E23" i="22"/>
  <c r="J23" i="22" s="1"/>
  <c r="G30" i="12"/>
  <c r="E27" i="22"/>
  <c r="J27" i="22" s="1"/>
  <c r="F64" i="12"/>
  <c r="E64" i="12" s="1"/>
  <c r="D59" i="22"/>
  <c r="J59" i="22" s="1"/>
  <c r="I66" i="12"/>
  <c r="E66" i="12" s="1"/>
  <c r="G61" i="22"/>
  <c r="J61" i="22" s="1"/>
  <c r="F29" i="12"/>
  <c r="D26" i="22"/>
  <c r="J26" i="22" s="1"/>
  <c r="J30" i="22"/>
  <c r="D31" i="22"/>
  <c r="J31" i="22" s="1"/>
  <c r="G70" i="12"/>
  <c r="F34" i="12"/>
  <c r="E54" i="12"/>
  <c r="E16" i="12"/>
  <c r="E40" i="12"/>
  <c r="E43" i="12"/>
  <c r="E46" i="12"/>
  <c r="E60" i="12"/>
  <c r="E69" i="12"/>
  <c r="I52" i="12"/>
  <c r="E44" i="12"/>
  <c r="E47" i="12"/>
  <c r="E62" i="12"/>
  <c r="E15" i="12"/>
  <c r="G52" i="12" l="1"/>
  <c r="I70" i="12"/>
  <c r="I85" i="12" s="1"/>
  <c r="F52" i="12"/>
  <c r="E12" i="12"/>
  <c r="K52" i="12"/>
  <c r="K85" i="12" s="1"/>
  <c r="H52" i="12"/>
  <c r="H85" i="12" s="1"/>
  <c r="J52" i="12"/>
  <c r="J85" i="12" s="1"/>
  <c r="E20" i="12"/>
  <c r="E13" i="12"/>
  <c r="E37" i="12"/>
  <c r="E39" i="12"/>
  <c r="E38" i="12"/>
  <c r="E24" i="12"/>
  <c r="E51" i="12"/>
  <c r="E26" i="12"/>
  <c r="E18" i="12"/>
  <c r="E28" i="12"/>
  <c r="E22" i="12"/>
  <c r="E32" i="12"/>
  <c r="E34" i="12"/>
  <c r="E17" i="12"/>
  <c r="E35" i="12"/>
  <c r="E36" i="12"/>
  <c r="E31" i="12"/>
  <c r="E30" i="12"/>
  <c r="E29" i="12"/>
  <c r="E25" i="12"/>
  <c r="E23" i="12"/>
  <c r="E21" i="12"/>
  <c r="E27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83" i="12" l="1"/>
  <c r="E57" i="12" l="1"/>
  <c r="F70" i="12"/>
  <c r="E70" i="12" s="1"/>
  <c r="F85" i="12" l="1"/>
  <c r="C6" i="13" l="1"/>
  <c r="E52" i="12" l="1"/>
  <c r="G85" i="12"/>
  <c r="E85" i="12" s="1"/>
  <c r="E33" i="12"/>
</calcChain>
</file>

<file path=xl/sharedStrings.xml><?xml version="1.0" encoding="utf-8"?>
<sst xmlns="http://schemas.openxmlformats.org/spreadsheetml/2006/main" count="860" uniqueCount="121">
  <si>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</si>
  <si>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</si>
  <si>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</si>
  <si>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</si>
  <si>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</si>
  <si>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</si>
  <si>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</si>
  <si>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</si>
  <si>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</si>
  <si>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</si>
  <si>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</si>
  <si>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</si>
  <si>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LHI</t>
  </si>
  <si>
    <t>DEVİR</t>
  </si>
  <si>
    <t>HCO</t>
  </si>
  <si>
    <t>STOK</t>
  </si>
  <si>
    <t>ERİKOĞLU</t>
  </si>
  <si>
    <t>EMTEL</t>
  </si>
  <si>
    <t>ÇIPLAK TEL</t>
  </si>
  <si>
    <t>LHO</t>
  </si>
  <si>
    <t>K200</t>
  </si>
  <si>
    <t>HCI</t>
  </si>
  <si>
    <t>MARKA</t>
  </si>
  <si>
    <t>MAKARA</t>
  </si>
  <si>
    <t>CİNSİ</t>
  </si>
  <si>
    <t>ÇAP</t>
  </si>
  <si>
    <t>CARİ</t>
  </si>
  <si>
    <t>RAF NO</t>
  </si>
  <si>
    <t>ALM</t>
  </si>
  <si>
    <t>A315</t>
  </si>
  <si>
    <t>0,40</t>
  </si>
  <si>
    <t>0,50</t>
  </si>
  <si>
    <t>0,60</t>
  </si>
  <si>
    <t>2,60</t>
  </si>
  <si>
    <t>0,10</t>
  </si>
  <si>
    <t>TEL</t>
  </si>
  <si>
    <t>CİNS</t>
  </si>
  <si>
    <t>0,15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</si>
  <si>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</si>
  <si>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</si>
  <si>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</si>
  <si>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</si>
  <si>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</si>
  <si>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</si>
  <si>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</si>
  <si>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</si>
  <si>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</si>
  <si>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</si>
  <si>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</si>
  <si>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</si>
  <si>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</si>
  <si>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</si>
  <si>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</si>
  <si>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</si>
  <si>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</si>
  <si>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</si>
  <si>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</si>
  <si>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</si>
  <si>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</si>
  <si>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</si>
  <si>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</si>
  <si>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</si>
  <si>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</si>
  <si>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</si>
  <si>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</si>
  <si>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</si>
  <si>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1,85</t>
  </si>
  <si>
    <t>1,90</t>
  </si>
  <si>
    <t>2,00</t>
  </si>
  <si>
    <t>2,20</t>
  </si>
  <si>
    <t>2,50</t>
  </si>
  <si>
    <t>2,70</t>
  </si>
  <si>
    <t>3,00</t>
  </si>
  <si>
    <t>3,20</t>
  </si>
  <si>
    <t>0,08</t>
  </si>
  <si>
    <t>0,18</t>
  </si>
  <si>
    <t>0,14</t>
  </si>
  <si>
    <t>0,23</t>
  </si>
  <si>
    <t>0,32</t>
  </si>
  <si>
    <t>0,38</t>
  </si>
  <si>
    <t>1,60</t>
  </si>
  <si>
    <t>1,70</t>
  </si>
  <si>
    <t>3,50</t>
  </si>
  <si>
    <t>MESUT</t>
  </si>
  <si>
    <t>YILDIRIM METAL</t>
  </si>
  <si>
    <t>YAVUZ</t>
  </si>
  <si>
    <t>ÖZTEL</t>
  </si>
  <si>
    <t>BAKIRCIOĞLU</t>
  </si>
  <si>
    <t>DOĞAN</t>
  </si>
  <si>
    <t>EYTIN</t>
  </si>
  <si>
    <t>OKTAY</t>
  </si>
  <si>
    <t>EGOSAN</t>
  </si>
  <si>
    <t>ALİ BARIŞ ÇAMLIGÜNEY</t>
  </si>
  <si>
    <t>DORUK</t>
  </si>
  <si>
    <t>YALÇIN KAPLAMA</t>
  </si>
  <si>
    <t>ATEŞ METAL</t>
  </si>
  <si>
    <t>KUPA MÜHENDİSLİK</t>
  </si>
  <si>
    <t>HOSAMEDDİN TAHHAN</t>
  </si>
  <si>
    <t>TOPRAK BOBİNAJ</t>
  </si>
  <si>
    <t>AÇIKTAN SATILAN</t>
  </si>
  <si>
    <t>SİSTEM BOBİNAJ</t>
  </si>
  <si>
    <t>DEMİRCAN</t>
  </si>
  <si>
    <t>SERİ BOBİNAJ</t>
  </si>
  <si>
    <t>AYHAN BOBİNAJ</t>
  </si>
  <si>
    <t>MERVESAN</t>
  </si>
  <si>
    <t>EREN</t>
  </si>
  <si>
    <t>MURAT HAYKIR</t>
  </si>
  <si>
    <t>HARPUT</t>
  </si>
  <si>
    <t>MUTLU BOBİNAJ</t>
  </si>
  <si>
    <t>MUSTAFA</t>
  </si>
  <si>
    <t>İSTANBUL POWER</t>
  </si>
  <si>
    <t>MEHMET DÖNMEZ</t>
  </si>
  <si>
    <t>ALPER ELEKTRİK</t>
  </si>
  <si>
    <t>KÜSÜRAT DÜZELTME</t>
  </si>
  <si>
    <t>MASYAN BOBİNAJ</t>
  </si>
  <si>
    <t>ERSAN GALVANO</t>
  </si>
  <si>
    <t>İTÜ</t>
  </si>
  <si>
    <t>UYARLAR</t>
  </si>
  <si>
    <t>BİRLİK NİKELAJ</t>
  </si>
  <si>
    <t>KOÇSAN</t>
  </si>
  <si>
    <t>EMRE GV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</si>
</sst>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29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4" fillId="3" borderId="0" applyNumberFormat="0" applyBorder="0" applyAlignment="0" applyProtection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4" fillId="6" borderId="0" applyNumberFormat="0" applyBorder="0" applyAlignment="0" applyProtection="0"/>
    <xf numFmtId="0" fontId="14" fillId="7" borderId="0" applyNumberFormat="0" applyBorder="0" applyAlignment="0" applyProtection="0"/>
    <xf numFmtId="0" fontId="13" fillId="8" borderId="0" applyNumberFormat="0" applyBorder="0" applyAlignment="0" applyProtection="0"/>
  </cellStyleXfs>
  <cellXfs count="372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6" fontId="18" fillId="0" borderId="25" xfId="0" applyNumberFormat="1" applyFont="1" applyFill="1" applyBorder="1" applyAlignment="1">
      <alignment horizontal="center" vertical="center"/>
    </xf>
    <xf numFmtId="0" fontId="0" fillId="0" borderId="24" xfId="0" applyNumberFormat="1" applyFont="1" applyBorder="1" applyAlignment="1">
      <alignment horizontal="center"/>
    </xf>
    <xf numFmtId="2" fontId="0" fillId="0" borderId="24" xfId="0" applyNumberFormat="1" applyFont="1" applyBorder="1" applyAlignment="1">
      <alignment horizontal="center"/>
    </xf>
    <xf numFmtId="165" fontId="0" fillId="0" borderId="24" xfId="0" applyNumberFormat="1" applyFont="1" applyBorder="1" applyAlignment="1">
      <alignment horizontal="center"/>
    </xf>
    <xf numFmtId="166" fontId="0" fillId="0" borderId="25" xfId="0" applyNumberFormat="1" applyFont="1" applyBorder="1" applyAlignment="1">
      <alignment horizontal="center"/>
    </xf>
    <xf numFmtId="0" fontId="14" fillId="6" borderId="24" xfId="4" applyNumberFormat="1" applyBorder="1" applyAlignment="1">
      <alignment horizontal="center" vertical="center"/>
    </xf>
    <xf numFmtId="2" fontId="14" fillId="6" borderId="24" xfId="4" applyNumberFormat="1" applyBorder="1" applyAlignment="1">
      <alignment horizontal="center" vertical="center"/>
    </xf>
    <xf numFmtId="165" fontId="14" fillId="6" borderId="24" xfId="4" applyNumberFormat="1" applyBorder="1" applyAlignment="1">
      <alignment horizontal="center" vertical="center"/>
    </xf>
    <xf numFmtId="165" fontId="14" fillId="6" borderId="24" xfId="4" applyNumberFormat="1" applyBorder="1" applyAlignment="1">
      <alignment horizontal="center"/>
    </xf>
    <xf numFmtId="0" fontId="18" fillId="0" borderId="41" xfId="0" applyNumberFormat="1" applyFont="1" applyFill="1" applyBorder="1" applyAlignment="1">
      <alignment horizontal="center" vertical="center"/>
    </xf>
    <xf numFmtId="166" fontId="18" fillId="0" borderId="34" xfId="0" applyNumberFormat="1" applyFont="1" applyFill="1" applyBorder="1" applyAlignment="1">
      <alignment horizontal="center" vertical="center"/>
    </xf>
    <xf numFmtId="165" fontId="14" fillId="6" borderId="41" xfId="4" applyNumberFormat="1" applyBorder="1" applyAlignment="1">
      <alignment horizontal="center" vertical="center"/>
    </xf>
    <xf numFmtId="165" fontId="0" fillId="0" borderId="41" xfId="0" applyNumberFormat="1" applyFont="1" applyBorder="1" applyAlignment="1">
      <alignment horizontal="center"/>
    </xf>
    <xf numFmtId="0" fontId="14" fillId="4" borderId="33" xfId="2" applyNumberFormat="1" applyBorder="1" applyAlignment="1">
      <alignment horizontal="center" vertical="center"/>
    </xf>
    <xf numFmtId="2" fontId="14" fillId="4" borderId="33" xfId="2" applyNumberFormat="1" applyBorder="1" applyAlignment="1">
      <alignment horizontal="center" vertical="center"/>
    </xf>
    <xf numFmtId="165" fontId="14" fillId="4" borderId="33" xfId="2" applyNumberFormat="1" applyBorder="1" applyAlignment="1">
      <alignment horizontal="center" vertical="center"/>
    </xf>
    <xf numFmtId="165" fontId="14" fillId="4" borderId="35" xfId="2" applyNumberFormat="1" applyBorder="1" applyAlignment="1">
      <alignment horizontal="center" vertical="center"/>
    </xf>
    <xf numFmtId="165" fontId="14" fillId="4" borderId="33" xfId="2" applyNumberFormat="1" applyBorder="1" applyAlignment="1">
      <alignment horizontal="center"/>
    </xf>
    <xf numFmtId="0" fontId="14" fillId="4" borderId="37" xfId="2" applyNumberFormat="1" applyBorder="1" applyAlignment="1">
      <alignment horizontal="center" vertical="center"/>
    </xf>
    <xf numFmtId="2" fontId="14" fillId="4" borderId="37" xfId="2" applyNumberFormat="1" applyBorder="1" applyAlignment="1">
      <alignment horizontal="center" vertical="center"/>
    </xf>
    <xf numFmtId="165" fontId="14" fillId="4" borderId="37" xfId="2" applyNumberFormat="1" applyBorder="1" applyAlignment="1">
      <alignment horizontal="center" vertical="center"/>
    </xf>
    <xf numFmtId="165" fontId="14" fillId="4" borderId="38" xfId="2" applyNumberFormat="1" applyBorder="1" applyAlignment="1">
      <alignment horizontal="center" vertical="center"/>
    </xf>
    <xf numFmtId="165" fontId="14" fillId="4" borderId="37" xfId="2" applyNumberFormat="1" applyBorder="1" applyAlignment="1">
      <alignment horizontal="center"/>
    </xf>
    <xf numFmtId="0" fontId="14" fillId="4" borderId="24" xfId="2" applyNumberFormat="1" applyBorder="1" applyAlignment="1">
      <alignment horizontal="center" vertical="center"/>
    </xf>
    <xf numFmtId="2" fontId="14" fillId="4" borderId="24" xfId="2" applyNumberFormat="1" applyBorder="1" applyAlignment="1">
      <alignment horizontal="center" vertical="center"/>
    </xf>
    <xf numFmtId="165" fontId="14" fillId="4" borderId="24" xfId="2" applyNumberFormat="1" applyBorder="1" applyAlignment="1">
      <alignment horizontal="center" vertical="center"/>
    </xf>
    <xf numFmtId="165" fontId="14" fillId="4" borderId="41" xfId="2" applyNumberFormat="1" applyBorder="1" applyAlignment="1">
      <alignment horizontal="center" vertical="center"/>
    </xf>
    <xf numFmtId="165" fontId="14" fillId="4" borderId="24" xfId="2" applyNumberFormat="1" applyBorder="1" applyAlignment="1">
      <alignment horizontal="center"/>
    </xf>
    <xf numFmtId="0" fontId="12" fillId="4" borderId="24" xfId="2" applyNumberFormat="1" applyFont="1" applyBorder="1" applyAlignment="1">
      <alignment horizontal="center" vertical="center"/>
    </xf>
    <xf numFmtId="0" fontId="11" fillId="4" borderId="24" xfId="2" applyNumberFormat="1" applyFont="1" applyBorder="1" applyAlignment="1">
      <alignment horizontal="center" vertical="center"/>
    </xf>
    <xf numFmtId="0" fontId="20" fillId="0" borderId="24" xfId="0" applyNumberFormat="1" applyFont="1" applyBorder="1" applyAlignment="1"/>
    <xf numFmtId="0" fontId="23" fillId="0" borderId="24" xfId="0" applyNumberFormat="1" applyFont="1" applyBorder="1" applyAlignment="1">
      <alignment horizontal="right" vertical="center"/>
    </xf>
    <xf numFmtId="167" fontId="0" fillId="0" borderId="24" xfId="0" applyNumberFormat="1" applyFont="1" applyBorder="1" applyAlignment="1">
      <alignment horizontal="center"/>
    </xf>
    <xf numFmtId="167" fontId="18" fillId="0" borderId="41" xfId="0" applyNumberFormat="1" applyFont="1" applyFill="1" applyBorder="1" applyAlignment="1">
      <alignment horizontal="center" vertical="center"/>
    </xf>
    <xf numFmtId="0" fontId="14" fillId="3" borderId="37" xfId="1" applyNumberFormat="1" applyBorder="1" applyAlignment="1">
      <alignment horizontal="center" vertical="center"/>
    </xf>
    <xf numFmtId="2" fontId="14" fillId="3" borderId="37" xfId="1" applyNumberFormat="1" applyBorder="1" applyAlignment="1">
      <alignment horizontal="center" vertical="center"/>
    </xf>
    <xf numFmtId="165" fontId="14" fillId="3" borderId="37" xfId="1" applyNumberFormat="1" applyBorder="1" applyAlignment="1">
      <alignment horizontal="center" vertical="center"/>
    </xf>
    <xf numFmtId="165" fontId="14" fillId="3" borderId="38" xfId="1" applyNumberFormat="1" applyBorder="1" applyAlignment="1">
      <alignment horizontal="center" vertical="center"/>
    </xf>
    <xf numFmtId="165" fontId="14" fillId="3" borderId="37" xfId="1" applyNumberFormat="1" applyBorder="1" applyAlignment="1">
      <alignment horizontal="center"/>
    </xf>
    <xf numFmtId="2" fontId="14" fillId="5" borderId="37" xfId="3" applyNumberFormat="1" applyBorder="1" applyAlignment="1">
      <alignment horizontal="center" vertical="center"/>
    </xf>
    <xf numFmtId="165" fontId="14" fillId="5" borderId="37" xfId="3" applyNumberFormat="1" applyBorder="1" applyAlignment="1">
      <alignment horizontal="center" vertical="center"/>
    </xf>
    <xf numFmtId="0" fontId="14" fillId="3" borderId="33" xfId="1" applyNumberFormat="1" applyBorder="1" applyAlignment="1">
      <alignment horizontal="center" vertical="center"/>
    </xf>
    <xf numFmtId="2" fontId="14" fillId="3" borderId="33" xfId="1" applyNumberFormat="1" applyBorder="1" applyAlignment="1">
      <alignment horizontal="center" vertical="center"/>
    </xf>
    <xf numFmtId="165" fontId="14" fillId="3" borderId="33" xfId="1" applyNumberFormat="1" applyBorder="1" applyAlignment="1">
      <alignment horizontal="center" vertical="center"/>
    </xf>
    <xf numFmtId="165" fontId="14" fillId="3" borderId="35" xfId="1" applyNumberFormat="1" applyBorder="1" applyAlignment="1">
      <alignment horizontal="center" vertical="center"/>
    </xf>
    <xf numFmtId="165" fontId="14" fillId="3" borderId="33" xfId="1" applyNumberFormat="1" applyBorder="1" applyAlignment="1">
      <alignment horizontal="center"/>
    </xf>
    <xf numFmtId="0" fontId="21" fillId="0" borderId="0" xfId="0" applyFont="1" applyFill="1" applyAlignment="1"/>
    <xf numFmtId="0" fontId="21" fillId="0" borderId="0" xfId="0" applyFont="1" applyFill="1" applyAlignment="1">
      <alignment horizontal="center" vertical="center"/>
    </xf>
    <xf numFmtId="165" fontId="21" fillId="0" borderId="0" xfId="0" applyNumberFormat="1" applyFont="1" applyFill="1" applyAlignment="1">
      <alignment horizontal="center" vertical="center"/>
    </xf>
    <xf numFmtId="2" fontId="14" fillId="3" borderId="24" xfId="1" applyNumberFormat="1" applyBorder="1" applyAlignment="1">
      <alignment horizontal="center" vertical="center"/>
    </xf>
    <xf numFmtId="165" fontId="14" fillId="3" borderId="24" xfId="1" applyNumberFormat="1" applyBorder="1" applyAlignment="1">
      <alignment horizontal="center" vertical="center"/>
    </xf>
    <xf numFmtId="165" fontId="14" fillId="3" borderId="24" xfId="1" applyNumberFormat="1" applyBorder="1" applyAlignment="1">
      <alignment horizontal="center"/>
    </xf>
    <xf numFmtId="0" fontId="10" fillId="3" borderId="24" xfId="1" applyNumberFormat="1" applyFont="1" applyBorder="1" applyAlignment="1">
      <alignment horizontal="center" vertical="center"/>
    </xf>
    <xf numFmtId="0" fontId="14" fillId="5" borderId="37" xfId="3" applyNumberFormat="1" applyBorder="1" applyAlignment="1">
      <alignment horizontal="center" vertical="center"/>
    </xf>
    <xf numFmtId="165" fontId="14" fillId="5" borderId="37" xfId="3" applyNumberFormat="1" applyBorder="1" applyAlignment="1">
      <alignment horizontal="center"/>
    </xf>
    <xf numFmtId="0" fontId="22" fillId="0" borderId="0" xfId="0" applyFont="1" applyFill="1" applyAlignment="1"/>
    <xf numFmtId="0" fontId="22" fillId="0" borderId="0" xfId="0" applyFont="1" applyFill="1" applyAlignment="1">
      <alignment horizontal="center" vertical="center"/>
    </xf>
    <xf numFmtId="0" fontId="14" fillId="3" borderId="24" xfId="1" applyNumberFormat="1" applyBorder="1" applyAlignment="1">
      <alignment horizontal="center" vertical="center"/>
    </xf>
    <xf numFmtId="165" fontId="14" fillId="3" borderId="41" xfId="1" applyNumberFormat="1" applyBorder="1" applyAlignment="1">
      <alignment horizontal="center" vertical="center"/>
    </xf>
    <xf numFmtId="0" fontId="18" fillId="0" borderId="44" xfId="0" applyNumberFormat="1" applyFont="1" applyFill="1" applyBorder="1" applyAlignment="1">
      <alignment horizontal="center" vertical="center"/>
    </xf>
    <xf numFmtId="166" fontId="18" fillId="0" borderId="44" xfId="0" applyNumberFormat="1" applyFont="1" applyFill="1" applyBorder="1" applyAlignment="1">
      <alignment horizontal="center" vertical="center"/>
    </xf>
    <xf numFmtId="165" fontId="14" fillId="5" borderId="63" xfId="3" applyNumberFormat="1" applyBorder="1" applyAlignment="1">
      <alignment horizontal="center" vertical="center"/>
    </xf>
    <xf numFmtId="165" fontId="14" fillId="4" borderId="44" xfId="2" applyNumberFormat="1" applyBorder="1" applyAlignment="1">
      <alignment horizontal="center" vertical="center"/>
    </xf>
    <xf numFmtId="165" fontId="14" fillId="4" borderId="63" xfId="2" applyNumberFormat="1" applyBorder="1" applyAlignment="1">
      <alignment horizontal="center" vertical="center"/>
    </xf>
    <xf numFmtId="165" fontId="14" fillId="4" borderId="64" xfId="2" applyNumberFormat="1" applyBorder="1" applyAlignment="1">
      <alignment horizontal="center" vertical="center"/>
    </xf>
    <xf numFmtId="165" fontId="14" fillId="3" borderId="64" xfId="1" applyNumberFormat="1" applyBorder="1" applyAlignment="1">
      <alignment horizontal="center" vertical="center"/>
    </xf>
    <xf numFmtId="165" fontId="14" fillId="3" borderId="63" xfId="1" applyNumberFormat="1" applyBorder="1" applyAlignment="1">
      <alignment horizontal="center" vertical="center"/>
    </xf>
    <xf numFmtId="165" fontId="14" fillId="3" borderId="44" xfId="1" applyNumberFormat="1" applyBorder="1" applyAlignment="1">
      <alignment horizontal="center" vertical="center"/>
    </xf>
    <xf numFmtId="165" fontId="14" fillId="6" borderId="44" xfId="4" applyNumberFormat="1" applyBorder="1" applyAlignment="1">
      <alignment horizontal="center" vertical="center"/>
    </xf>
    <xf numFmtId="165" fontId="0" fillId="0" borderId="44" xfId="0" applyNumberFormat="1" applyFont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2" fontId="28" fillId="2" borderId="24" xfId="0" applyNumberFormat="1" applyFont="1" applyFill="1" applyBorder="1" applyAlignment="1">
      <alignment horizontal="center" vertical="center"/>
    </xf>
    <xf numFmtId="164" fontId="28" fillId="2" borderId="24" xfId="0" applyNumberFormat="1" applyFont="1" applyFill="1" applyBorder="1" applyAlignment="1">
      <alignment horizontal="center" vertical="center"/>
    </xf>
    <xf numFmtId="0" fontId="13" fillId="8" borderId="62" xfId="6" applyNumberFormat="1" applyBorder="1" applyAlignment="1">
      <alignment horizontal="center" vertical="center"/>
    </xf>
    <xf numFmtId="0" fontId="13" fillId="8" borderId="24" xfId="6" applyNumberFormat="1" applyBorder="1" applyAlignment="1">
      <alignment horizontal="center" vertical="center"/>
    </xf>
    <xf numFmtId="2" fontId="13" fillId="8" borderId="36" xfId="6" applyNumberFormat="1" applyBorder="1" applyAlignment="1">
      <alignment horizontal="center" vertical="center"/>
    </xf>
    <xf numFmtId="2" fontId="13" fillId="8" borderId="24" xfId="6" applyNumberFormat="1" applyBorder="1" applyAlignment="1">
      <alignment horizontal="center" vertical="center"/>
    </xf>
    <xf numFmtId="165" fontId="13" fillId="8" borderId="36" xfId="6" applyNumberFormat="1" applyBorder="1" applyAlignment="1">
      <alignment horizontal="center" vertical="center"/>
    </xf>
    <xf numFmtId="165" fontId="13" fillId="8" borderId="24" xfId="6" applyNumberFormat="1" applyBorder="1" applyAlignment="1">
      <alignment horizontal="center" vertical="center"/>
    </xf>
    <xf numFmtId="165" fontId="13" fillId="8" borderId="24" xfId="6" applyNumberFormat="1" applyBorder="1" applyAlignment="1">
      <alignment horizontal="center"/>
    </xf>
    <xf numFmtId="165" fontId="13" fillId="8" borderId="44" xfId="6" applyNumberFormat="1" applyBorder="1" applyAlignment="1">
      <alignment horizontal="center" vertical="center"/>
    </xf>
    <xf numFmtId="165" fontId="13" fillId="8" borderId="49" xfId="6" applyNumberFormat="1" applyBorder="1" applyAlignment="1">
      <alignment horizontal="center" vertical="center"/>
    </xf>
    <xf numFmtId="165" fontId="13" fillId="8" borderId="41" xfId="6" applyNumberFormat="1" applyBorder="1" applyAlignment="1">
      <alignment horizontal="center" vertical="center"/>
    </xf>
    <xf numFmtId="165" fontId="13" fillId="8" borderId="41" xfId="6" applyNumberFormat="1" applyBorder="1" applyAlignment="1">
      <alignment horizontal="center"/>
    </xf>
    <xf numFmtId="165" fontId="13" fillId="8" borderId="36" xfId="6" applyNumberFormat="1" applyBorder="1" applyAlignment="1">
      <alignment horizontal="center"/>
    </xf>
    <xf numFmtId="2" fontId="14" fillId="4" borderId="25" xfId="2" applyNumberFormat="1" applyBorder="1" applyAlignment="1">
      <alignment horizontal="center" vertical="center"/>
    </xf>
    <xf numFmtId="165" fontId="14" fillId="4" borderId="25" xfId="2" applyNumberFormat="1" applyBorder="1" applyAlignment="1">
      <alignment horizontal="center" vertical="center"/>
    </xf>
    <xf numFmtId="165" fontId="14" fillId="4" borderId="34" xfId="2" applyNumberFormat="1" applyBorder="1" applyAlignment="1">
      <alignment horizontal="center" vertical="center"/>
    </xf>
    <xf numFmtId="165" fontId="14" fillId="4" borderId="25" xfId="2" applyNumberFormat="1" applyBorder="1" applyAlignment="1">
      <alignment horizontal="center"/>
    </xf>
    <xf numFmtId="165" fontId="13" fillId="8" borderId="63" xfId="6" applyNumberFormat="1" applyBorder="1" applyAlignment="1">
      <alignment horizontal="center" vertical="center"/>
    </xf>
    <xf numFmtId="165" fontId="14" fillId="4" borderId="68" xfId="2" applyNumberFormat="1" applyBorder="1" applyAlignment="1">
      <alignment horizontal="center" vertical="center"/>
    </xf>
    <xf numFmtId="0" fontId="8" fillId="4" borderId="25" xfId="2" applyNumberFormat="1" applyFont="1" applyBorder="1" applyAlignment="1">
      <alignment horizontal="center" vertical="center"/>
    </xf>
    <xf numFmtId="165" fontId="14" fillId="5" borderId="38" xfId="3" applyNumberFormat="1" applyBorder="1" applyAlignment="1">
      <alignment horizontal="center" vertical="center"/>
    </xf>
    <xf numFmtId="0" fontId="25" fillId="2" borderId="26" xfId="0" applyFont="1" applyFill="1" applyBorder="1" applyAlignment="1">
      <alignment horizontal="center" vertical="center"/>
    </xf>
    <xf numFmtId="0" fontId="25" fillId="2" borderId="57" xfId="0" applyFont="1" applyFill="1" applyBorder="1" applyAlignment="1">
      <alignment horizontal="center" vertical="center"/>
    </xf>
    <xf numFmtId="0" fontId="25" fillId="2" borderId="30" xfId="0" applyNumberFormat="1" applyFont="1" applyFill="1" applyBorder="1" applyAlignment="1">
      <alignment horizontal="center" vertical="center"/>
    </xf>
    <xf numFmtId="0" fontId="25" fillId="2" borderId="55" xfId="0" applyNumberFormat="1" applyFont="1" applyFill="1" applyBorder="1" applyAlignment="1">
      <alignment horizontal="center" vertical="center"/>
    </xf>
    <xf numFmtId="0" fontId="25" fillId="2" borderId="31" xfId="0" applyNumberFormat="1" applyFont="1" applyFill="1" applyBorder="1" applyAlignment="1">
      <alignment horizontal="center" vertical="center"/>
    </xf>
    <xf numFmtId="2" fontId="25" fillId="2" borderId="28" xfId="0" applyNumberFormat="1" applyFont="1" applyFill="1" applyBorder="1" applyAlignment="1">
      <alignment horizontal="center" vertical="center"/>
    </xf>
    <xf numFmtId="0" fontId="25" fillId="2" borderId="58" xfId="0" applyFont="1" applyFill="1" applyBorder="1" applyAlignment="1">
      <alignment horizontal="center" vertical="center"/>
    </xf>
    <xf numFmtId="165" fontId="25" fillId="2" borderId="59" xfId="0" applyNumberFormat="1" applyFont="1" applyFill="1" applyBorder="1" applyAlignment="1">
      <alignment horizontal="center" vertical="center"/>
    </xf>
    <xf numFmtId="164" fontId="25" fillId="2" borderId="19" xfId="0" applyNumberFormat="1" applyFont="1" applyFill="1" applyBorder="1" applyAlignment="1">
      <alignment horizontal="center" vertical="center"/>
    </xf>
    <xf numFmtId="164" fontId="25" fillId="2" borderId="23" xfId="0" applyNumberFormat="1" applyFont="1" applyFill="1" applyBorder="1" applyAlignment="1">
      <alignment horizontal="center" vertical="center"/>
    </xf>
    <xf numFmtId="164" fontId="25" fillId="2" borderId="20" xfId="0" applyNumberFormat="1" applyFont="1" applyFill="1" applyBorder="1" applyAlignment="1">
      <alignment horizontal="center" vertical="center"/>
    </xf>
    <xf numFmtId="2" fontId="25" fillId="2" borderId="21" xfId="0" applyNumberFormat="1" applyFont="1" applyFill="1" applyBorder="1" applyAlignment="1">
      <alignment horizontal="center" vertical="center"/>
    </xf>
    <xf numFmtId="0" fontId="25" fillId="2" borderId="54" xfId="0" applyFont="1" applyFill="1" applyBorder="1" applyAlignment="1">
      <alignment horizontal="center" vertical="center"/>
    </xf>
    <xf numFmtId="165" fontId="25" fillId="2" borderId="47" xfId="0" applyNumberFormat="1" applyFont="1" applyFill="1" applyBorder="1" applyAlignment="1">
      <alignment horizontal="center" vertical="center"/>
    </xf>
    <xf numFmtId="164" fontId="25" fillId="2" borderId="21" xfId="0" applyNumberFormat="1" applyFont="1" applyFill="1" applyBorder="1" applyAlignment="1">
      <alignment horizontal="center" vertical="center"/>
    </xf>
    <xf numFmtId="164" fontId="25" fillId="2" borderId="24" xfId="0" applyNumberFormat="1" applyFont="1" applyFill="1" applyBorder="1" applyAlignment="1">
      <alignment horizontal="center" vertical="center"/>
    </xf>
    <xf numFmtId="164" fontId="25" fillId="2" borderId="22" xfId="0" applyNumberFormat="1" applyFont="1" applyFill="1" applyBorder="1" applyAlignment="1">
      <alignment horizontal="center" vertical="center"/>
    </xf>
    <xf numFmtId="2" fontId="25" fillId="2" borderId="52" xfId="0" applyNumberFormat="1" applyFont="1" applyFill="1" applyBorder="1" applyAlignment="1">
      <alignment horizontal="center" vertical="center"/>
    </xf>
    <xf numFmtId="0" fontId="25" fillId="2" borderId="61" xfId="0" applyFont="1" applyFill="1" applyBorder="1" applyAlignment="1">
      <alignment horizontal="center" vertical="center"/>
    </xf>
    <xf numFmtId="165" fontId="25" fillId="2" borderId="53" xfId="0" applyNumberFormat="1" applyFont="1" applyFill="1" applyBorder="1" applyAlignment="1">
      <alignment horizontal="center" vertical="center"/>
    </xf>
    <xf numFmtId="165" fontId="25" fillId="2" borderId="43" xfId="0" applyNumberFormat="1" applyFont="1" applyFill="1" applyBorder="1" applyAlignment="1">
      <alignment horizontal="center" vertical="center"/>
    </xf>
    <xf numFmtId="165" fontId="25" fillId="2" borderId="44" xfId="0" applyNumberFormat="1" applyFont="1" applyFill="1" applyBorder="1" applyAlignment="1">
      <alignment horizontal="center" vertical="center"/>
    </xf>
    <xf numFmtId="165" fontId="25" fillId="2" borderId="45" xfId="0" applyNumberFormat="1" applyFont="1" applyFill="1" applyBorder="1" applyAlignment="1">
      <alignment horizontal="center" vertical="center"/>
    </xf>
    <xf numFmtId="165" fontId="25" fillId="2" borderId="57" xfId="0" applyNumberFormat="1" applyFont="1" applyFill="1" applyBorder="1" applyAlignment="1">
      <alignment horizontal="center" vertical="center"/>
    </xf>
    <xf numFmtId="165" fontId="25" fillId="2" borderId="30" xfId="0" applyNumberFormat="1" applyFont="1" applyFill="1" applyBorder="1" applyAlignment="1">
      <alignment horizontal="center" vertical="center"/>
    </xf>
    <xf numFmtId="165" fontId="25" fillId="2" borderId="55" xfId="0" applyNumberFormat="1" applyFont="1" applyFill="1" applyBorder="1" applyAlignment="1">
      <alignment horizontal="center" vertical="center"/>
    </xf>
    <xf numFmtId="165" fontId="25" fillId="2" borderId="31" xfId="0" applyNumberFormat="1" applyFont="1" applyFill="1" applyBorder="1" applyAlignment="1">
      <alignment horizontal="center" vertical="center"/>
    </xf>
    <xf numFmtId="0" fontId="25" fillId="2" borderId="41" xfId="0" applyFont="1" applyFill="1" applyBorder="1" applyAlignment="1">
      <alignment horizontal="center" vertical="center"/>
    </xf>
    <xf numFmtId="0" fontId="25" fillId="2" borderId="29" xfId="0" applyFont="1" applyFill="1" applyBorder="1" applyAlignment="1">
      <alignment horizontal="center" vertical="center"/>
    </xf>
    <xf numFmtId="0" fontId="25" fillId="2" borderId="59" xfId="0" applyFont="1" applyFill="1" applyBorder="1" applyAlignment="1">
      <alignment horizontal="center" vertical="center"/>
    </xf>
    <xf numFmtId="0" fontId="25" fillId="2" borderId="24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/>
    </xf>
    <xf numFmtId="0" fontId="25" fillId="2" borderId="47" xfId="0" applyFont="1" applyFill="1" applyBorder="1" applyAlignment="1">
      <alignment horizontal="center" vertical="center"/>
    </xf>
    <xf numFmtId="165" fontId="25" fillId="2" borderId="21" xfId="0" applyNumberFormat="1" applyFont="1" applyFill="1" applyBorder="1" applyAlignment="1">
      <alignment horizontal="center" vertical="center"/>
    </xf>
    <xf numFmtId="165" fontId="25" fillId="2" borderId="24" xfId="0" applyNumberFormat="1" applyFont="1" applyFill="1" applyBorder="1" applyAlignment="1">
      <alignment horizontal="center" vertical="center"/>
    </xf>
    <xf numFmtId="165" fontId="25" fillId="2" borderId="22" xfId="0" applyNumberFormat="1" applyFont="1" applyFill="1" applyBorder="1" applyAlignment="1">
      <alignment horizontal="center" vertical="center"/>
    </xf>
    <xf numFmtId="2" fontId="25" fillId="2" borderId="24" xfId="0" applyNumberFormat="1" applyFont="1" applyFill="1" applyBorder="1" applyAlignment="1">
      <alignment horizontal="center" vertical="center"/>
    </xf>
    <xf numFmtId="165" fontId="27" fillId="2" borderId="24" xfId="0" applyNumberFormat="1" applyFont="1" applyFill="1" applyBorder="1" applyAlignment="1">
      <alignment horizontal="center" vertical="center"/>
    </xf>
    <xf numFmtId="2" fontId="25" fillId="2" borderId="22" xfId="0" applyNumberFormat="1" applyFont="1" applyFill="1" applyBorder="1" applyAlignment="1">
      <alignment horizontal="center" vertical="center"/>
    </xf>
    <xf numFmtId="0" fontId="25" fillId="2" borderId="54" xfId="0" applyNumberFormat="1" applyFont="1" applyFill="1" applyBorder="1" applyAlignment="1">
      <alignment horizontal="center" vertical="center"/>
    </xf>
    <xf numFmtId="0" fontId="25" fillId="2" borderId="60" xfId="0" applyFont="1" applyFill="1" applyBorder="1" applyAlignment="1">
      <alignment horizontal="center" vertical="center"/>
    </xf>
    <xf numFmtId="2" fontId="25" fillId="2" borderId="19" xfId="0" applyNumberFormat="1" applyFont="1" applyFill="1" applyBorder="1" applyAlignment="1">
      <alignment horizontal="center" vertical="center"/>
    </xf>
    <xf numFmtId="0" fontId="25" fillId="2" borderId="33" xfId="0" applyNumberFormat="1" applyFont="1" applyFill="1" applyBorder="1" applyAlignment="1">
      <alignment horizontal="center" vertical="center"/>
    </xf>
    <xf numFmtId="165" fontId="25" fillId="2" borderId="42" xfId="0" applyNumberFormat="1" applyFont="1" applyFill="1" applyBorder="1" applyAlignment="1">
      <alignment horizontal="center" vertical="center"/>
    </xf>
    <xf numFmtId="165" fontId="25" fillId="2" borderId="23" xfId="0" applyNumberFormat="1" applyFont="1" applyFill="1" applyBorder="1" applyAlignment="1">
      <alignment horizontal="center" vertical="center"/>
    </xf>
    <xf numFmtId="165" fontId="25" fillId="2" borderId="20" xfId="0" applyNumberFormat="1" applyFont="1" applyFill="1" applyBorder="1" applyAlignment="1">
      <alignment horizontal="center" vertical="center"/>
    </xf>
    <xf numFmtId="2" fontId="25" fillId="2" borderId="43" xfId="0" applyNumberFormat="1" applyFont="1" applyFill="1" applyBorder="1" applyAlignment="1">
      <alignment horizontal="center" vertical="center"/>
    </xf>
    <xf numFmtId="0" fontId="25" fillId="2" borderId="66" xfId="0" applyFont="1" applyFill="1" applyBorder="1" applyAlignment="1">
      <alignment horizontal="center" vertical="center"/>
    </xf>
    <xf numFmtId="165" fontId="25" fillId="2" borderId="48" xfId="0" applyNumberFormat="1" applyFont="1" applyFill="1" applyBorder="1" applyAlignment="1">
      <alignment horizontal="center" vertical="center"/>
    </xf>
    <xf numFmtId="165" fontId="24" fillId="2" borderId="57" xfId="0" applyNumberFormat="1" applyFont="1" applyFill="1" applyBorder="1" applyAlignment="1">
      <alignment horizontal="center" vertical="center"/>
    </xf>
    <xf numFmtId="165" fontId="24" fillId="2" borderId="30" xfId="0" applyNumberFormat="1" applyFont="1" applyFill="1" applyBorder="1" applyAlignment="1">
      <alignment horizontal="center" vertical="center"/>
    </xf>
    <xf numFmtId="165" fontId="24" fillId="2" borderId="55" xfId="0" applyNumberFormat="1" applyFont="1" applyFill="1" applyBorder="1" applyAlignment="1">
      <alignment horizontal="center" vertical="center"/>
    </xf>
    <xf numFmtId="165" fontId="24" fillId="2" borderId="31" xfId="0" applyNumberFormat="1" applyFont="1" applyFill="1" applyBorder="1" applyAlignment="1">
      <alignment horizontal="center" vertical="center"/>
    </xf>
    <xf numFmtId="0" fontId="14" fillId="5" borderId="24" xfId="3" applyNumberFormat="1" applyBorder="1" applyAlignment="1">
      <alignment horizontal="center" vertical="center"/>
    </xf>
    <xf numFmtId="2" fontId="14" fillId="5" borderId="24" xfId="3" applyNumberFormat="1" applyBorder="1" applyAlignment="1">
      <alignment horizontal="center" vertical="center"/>
    </xf>
    <xf numFmtId="165" fontId="14" fillId="5" borderId="41" xfId="3" applyNumberFormat="1" applyBorder="1" applyAlignment="1">
      <alignment horizontal="center" vertical="center"/>
    </xf>
    <xf numFmtId="165" fontId="14" fillId="5" borderId="24" xfId="3" applyNumberFormat="1" applyBorder="1" applyAlignment="1">
      <alignment horizontal="center"/>
    </xf>
    <xf numFmtId="0" fontId="25" fillId="2" borderId="41" xfId="0" applyFont="1" applyFill="1" applyBorder="1" applyAlignment="1">
      <alignment horizontal="center" vertical="center"/>
    </xf>
    <xf numFmtId="0" fontId="25" fillId="2" borderId="29" xfId="0" applyFont="1" applyFill="1" applyBorder="1" applyAlignment="1">
      <alignment horizontal="center" vertical="center"/>
    </xf>
    <xf numFmtId="164" fontId="25" fillId="2" borderId="28" xfId="0" applyNumberFormat="1" applyFont="1" applyFill="1" applyBorder="1" applyAlignment="1">
      <alignment horizontal="center" vertical="center"/>
    </xf>
    <xf numFmtId="164" fontId="25" fillId="2" borderId="41" xfId="0" applyNumberFormat="1" applyFont="1" applyFill="1" applyBorder="1" applyAlignment="1">
      <alignment horizontal="center" vertical="center"/>
    </xf>
    <xf numFmtId="164" fontId="25" fillId="2" borderId="29" xfId="0" applyNumberFormat="1" applyFont="1" applyFill="1" applyBorder="1" applyAlignment="1">
      <alignment horizontal="center" vertical="center"/>
    </xf>
    <xf numFmtId="0" fontId="7" fillId="4" borderId="24" xfId="2" applyNumberFormat="1" applyFont="1" applyBorder="1" applyAlignment="1">
      <alignment horizontal="center" vertical="center"/>
    </xf>
    <xf numFmtId="0" fontId="25" fillId="2" borderId="24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/>
    </xf>
    <xf numFmtId="0" fontId="25" fillId="2" borderId="30" xfId="0" applyFont="1" applyFill="1" applyBorder="1" applyAlignment="1">
      <alignment horizontal="center" vertical="center"/>
    </xf>
    <xf numFmtId="0" fontId="25" fillId="2" borderId="55" xfId="0" applyFont="1" applyFill="1" applyBorder="1" applyAlignment="1">
      <alignment horizontal="center" vertical="center"/>
    </xf>
    <xf numFmtId="0" fontId="25" fillId="2" borderId="31" xfId="0" applyFont="1" applyFill="1" applyBorder="1" applyAlignment="1">
      <alignment horizontal="center" vertical="center"/>
    </xf>
    <xf numFmtId="0" fontId="25" fillId="2" borderId="25" xfId="0" applyFont="1" applyFill="1" applyBorder="1" applyAlignment="1">
      <alignment horizontal="center" vertical="center"/>
    </xf>
    <xf numFmtId="0" fontId="25" fillId="2" borderId="24" xfId="0" applyFont="1" applyFill="1" applyBorder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/>
    <xf numFmtId="0" fontId="14" fillId="4" borderId="25" xfId="2" applyNumberFormat="1" applyBorder="1" applyAlignment="1">
      <alignment horizontal="center" vertical="center"/>
    </xf>
    <xf numFmtId="165" fontId="14" fillId="4" borderId="46" xfId="2" applyNumberFormat="1" applyBorder="1" applyAlignment="1">
      <alignment horizontal="center" vertical="center"/>
    </xf>
    <xf numFmtId="164" fontId="14" fillId="4" borderId="24" xfId="2" applyNumberFormat="1" applyBorder="1" applyAlignment="1">
      <alignment horizontal="center" vertical="center"/>
    </xf>
    <xf numFmtId="0" fontId="6" fillId="4" borderId="24" xfId="2" applyNumberFormat="1" applyFont="1" applyBorder="1" applyAlignment="1">
      <alignment horizontal="center" vertical="center"/>
    </xf>
    <xf numFmtId="165" fontId="25" fillId="2" borderId="54" xfId="0" applyNumberFormat="1" applyFont="1" applyFill="1" applyBorder="1" applyAlignment="1">
      <alignment horizontal="center" vertical="center"/>
    </xf>
    <xf numFmtId="0" fontId="13" fillId="8" borderId="37" xfId="6" applyNumberFormat="1" applyBorder="1" applyAlignment="1">
      <alignment horizontal="center" vertical="center"/>
    </xf>
    <xf numFmtId="2" fontId="13" fillId="8" borderId="37" xfId="6" applyNumberFormat="1" applyBorder="1" applyAlignment="1">
      <alignment horizontal="center" vertical="center"/>
    </xf>
    <xf numFmtId="165" fontId="13" fillId="8" borderId="37" xfId="6" applyNumberFormat="1" applyBorder="1" applyAlignment="1">
      <alignment horizontal="center" vertical="center"/>
    </xf>
    <xf numFmtId="165" fontId="13" fillId="8" borderId="38" xfId="6" applyNumberFormat="1" applyBorder="1" applyAlignment="1">
      <alignment horizontal="center" vertical="center"/>
    </xf>
    <xf numFmtId="165" fontId="13" fillId="8" borderId="37" xfId="6" applyNumberFormat="1" applyBorder="1" applyAlignment="1">
      <alignment horizontal="center"/>
    </xf>
    <xf numFmtId="0" fontId="6" fillId="3" borderId="33" xfId="1" applyNumberFormat="1" applyFont="1" applyBorder="1" applyAlignment="1">
      <alignment horizontal="center" vertical="center"/>
    </xf>
    <xf numFmtId="0" fontId="6" fillId="8" borderId="37" xfId="6" applyNumberFormat="1" applyFont="1" applyBorder="1" applyAlignment="1">
      <alignment horizontal="center" vertical="center"/>
    </xf>
    <xf numFmtId="0" fontId="14" fillId="3" borderId="69" xfId="1" applyNumberFormat="1" applyBorder="1" applyAlignment="1">
      <alignment horizontal="center" vertical="center"/>
    </xf>
    <xf numFmtId="2" fontId="14" fillId="3" borderId="69" xfId="1" applyNumberFormat="1" applyBorder="1" applyAlignment="1">
      <alignment horizontal="center" vertical="center"/>
    </xf>
    <xf numFmtId="165" fontId="14" fillId="3" borderId="69" xfId="1" applyNumberFormat="1" applyBorder="1" applyAlignment="1">
      <alignment horizontal="center" vertical="center"/>
    </xf>
    <xf numFmtId="165" fontId="14" fillId="3" borderId="68" xfId="1" applyNumberFormat="1" applyBorder="1" applyAlignment="1">
      <alignment horizontal="center" vertical="center"/>
    </xf>
    <xf numFmtId="165" fontId="14" fillId="3" borderId="70" xfId="1" applyNumberFormat="1" applyBorder="1" applyAlignment="1">
      <alignment horizontal="center" vertical="center"/>
    </xf>
    <xf numFmtId="165" fontId="14" fillId="3" borderId="69" xfId="1" applyNumberFormat="1" applyBorder="1" applyAlignment="1">
      <alignment horizontal="center"/>
    </xf>
    <xf numFmtId="0" fontId="9" fillId="6" borderId="24" xfId="4" applyNumberFormat="1" applyFont="1" applyBorder="1" applyAlignment="1">
      <alignment horizontal="center" vertical="center"/>
    </xf>
    <xf numFmtId="0" fontId="14" fillId="5" borderId="25" xfId="3" applyNumberFormat="1" applyBorder="1" applyAlignment="1">
      <alignment horizontal="center" vertical="center"/>
    </xf>
    <xf numFmtId="2" fontId="14" fillId="5" borderId="25" xfId="3" applyNumberFormat="1" applyBorder="1" applyAlignment="1">
      <alignment horizontal="center" vertical="center"/>
    </xf>
    <xf numFmtId="165" fontId="14" fillId="5" borderId="25" xfId="3" applyNumberFormat="1" applyBorder="1" applyAlignment="1">
      <alignment horizontal="center"/>
    </xf>
    <xf numFmtId="165" fontId="14" fillId="5" borderId="46" xfId="3" applyNumberFormat="1" applyBorder="1" applyAlignment="1">
      <alignment horizontal="center" vertical="center"/>
    </xf>
    <xf numFmtId="165" fontId="14" fillId="5" borderId="34" xfId="3" applyNumberFormat="1" applyBorder="1" applyAlignment="1">
      <alignment horizontal="center"/>
    </xf>
    <xf numFmtId="165" fontId="25" fillId="2" borderId="19" xfId="0" applyNumberFormat="1" applyFont="1" applyFill="1" applyBorder="1" applyAlignment="1">
      <alignment horizontal="center" vertical="center"/>
    </xf>
    <xf numFmtId="0" fontId="22" fillId="0" borderId="23" xfId="0" applyFont="1" applyFill="1" applyBorder="1" applyAlignment="1"/>
    <xf numFmtId="0" fontId="22" fillId="0" borderId="24" xfId="0" applyFont="1" applyFill="1" applyBorder="1" applyAlignment="1"/>
    <xf numFmtId="0" fontId="22" fillId="0" borderId="21" xfId="0" applyFont="1" applyFill="1" applyBorder="1" applyAlignment="1"/>
    <xf numFmtId="0" fontId="22" fillId="0" borderId="22" xfId="0" applyFont="1" applyFill="1" applyBorder="1" applyAlignment="1"/>
    <xf numFmtId="0" fontId="22" fillId="0" borderId="44" xfId="0" applyFont="1" applyFill="1" applyBorder="1" applyAlignment="1"/>
    <xf numFmtId="0" fontId="25" fillId="2" borderId="24" xfId="0" applyNumberFormat="1" applyFont="1" applyFill="1" applyBorder="1" applyAlignment="1">
      <alignment horizontal="center" vertical="center"/>
    </xf>
    <xf numFmtId="49" fontId="25" fillId="2" borderId="24" xfId="0" applyNumberFormat="1" applyFont="1" applyFill="1" applyBorder="1" applyAlignment="1">
      <alignment horizontal="center" vertical="center"/>
    </xf>
    <xf numFmtId="49" fontId="21" fillId="0" borderId="0" xfId="0" applyNumberFormat="1" applyFont="1" applyFill="1" applyAlignment="1">
      <alignment horizontal="center" vertical="center"/>
    </xf>
    <xf numFmtId="49" fontId="21" fillId="0" borderId="0" xfId="0" applyNumberFormat="1" applyFont="1" applyFill="1" applyAlignment="1"/>
    <xf numFmtId="0" fontId="21" fillId="0" borderId="0" xfId="0" applyFont="1" applyFill="1" applyAlignment="1">
      <alignment horizontal="center"/>
    </xf>
    <xf numFmtId="0" fontId="14" fillId="0" borderId="24" xfId="3" applyNumberFormat="1" applyFill="1" applyBorder="1" applyAlignment="1">
      <alignment horizontal="center" vertical="center"/>
    </xf>
    <xf numFmtId="2" fontId="14" fillId="0" borderId="24" xfId="3" applyNumberFormat="1" applyFill="1" applyBorder="1" applyAlignment="1">
      <alignment horizontal="center" vertical="center"/>
    </xf>
    <xf numFmtId="165" fontId="14" fillId="0" borderId="24" xfId="3" applyNumberFormat="1" applyFill="1" applyBorder="1" applyAlignment="1">
      <alignment horizontal="center" vertical="center"/>
    </xf>
    <xf numFmtId="165" fontId="14" fillId="0" borderId="63" xfId="3" applyNumberFormat="1" applyFill="1" applyBorder="1" applyAlignment="1">
      <alignment horizontal="center" vertical="center"/>
    </xf>
    <xf numFmtId="165" fontId="14" fillId="0" borderId="41" xfId="3" applyNumberFormat="1" applyFill="1" applyBorder="1" applyAlignment="1">
      <alignment horizontal="center" vertical="center"/>
    </xf>
    <xf numFmtId="165" fontId="14" fillId="0" borderId="24" xfId="3" applyNumberFormat="1" applyFill="1" applyBorder="1" applyAlignment="1">
      <alignment horizontal="center"/>
    </xf>
    <xf numFmtId="0" fontId="14" fillId="0" borderId="25" xfId="2" applyNumberFormat="1" applyFill="1" applyBorder="1" applyAlignment="1">
      <alignment horizontal="center" vertical="center"/>
    </xf>
    <xf numFmtId="0" fontId="6" fillId="0" borderId="25" xfId="2" applyNumberFormat="1" applyFont="1" applyFill="1" applyBorder="1" applyAlignment="1">
      <alignment horizontal="center" vertical="center"/>
    </xf>
    <xf numFmtId="2" fontId="14" fillId="0" borderId="25" xfId="2" applyNumberFormat="1" applyFill="1" applyBorder="1" applyAlignment="1">
      <alignment horizontal="center" vertical="center"/>
    </xf>
    <xf numFmtId="165" fontId="14" fillId="0" borderId="25" xfId="2" applyNumberFormat="1" applyFill="1" applyBorder="1" applyAlignment="1">
      <alignment horizontal="center" vertical="center"/>
    </xf>
    <xf numFmtId="165" fontId="14" fillId="0" borderId="46" xfId="2" applyNumberFormat="1" applyFill="1" applyBorder="1" applyAlignment="1">
      <alignment horizontal="center" vertical="center"/>
    </xf>
    <xf numFmtId="165" fontId="14" fillId="0" borderId="34" xfId="2" applyNumberFormat="1" applyFill="1" applyBorder="1" applyAlignment="1">
      <alignment horizontal="center" vertical="center"/>
    </xf>
    <xf numFmtId="165" fontId="14" fillId="0" borderId="25" xfId="2" applyNumberFormat="1" applyFill="1" applyBorder="1" applyAlignment="1">
      <alignment horizontal="center"/>
    </xf>
    <xf numFmtId="0" fontId="14" fillId="0" borderId="33" xfId="2" applyNumberFormat="1" applyFill="1" applyBorder="1" applyAlignment="1">
      <alignment horizontal="center" vertical="center"/>
    </xf>
    <xf numFmtId="0" fontId="14" fillId="0" borderId="37" xfId="3" applyNumberFormat="1" applyFill="1" applyBorder="1" applyAlignment="1">
      <alignment horizontal="center" vertical="center"/>
    </xf>
    <xf numFmtId="2" fontId="14" fillId="0" borderId="33" xfId="2" applyNumberFormat="1" applyFill="1" applyBorder="1" applyAlignment="1">
      <alignment horizontal="center" vertical="center"/>
    </xf>
    <xf numFmtId="2" fontId="14" fillId="0" borderId="37" xfId="3" applyNumberFormat="1" applyFill="1" applyBorder="1" applyAlignment="1">
      <alignment horizontal="center" vertical="center"/>
    </xf>
    <xf numFmtId="165" fontId="14" fillId="0" borderId="33" xfId="2" applyNumberFormat="1" applyFill="1" applyBorder="1" applyAlignment="1">
      <alignment horizontal="center" vertical="center"/>
    </xf>
    <xf numFmtId="165" fontId="14" fillId="0" borderId="37" xfId="3" applyNumberFormat="1" applyFill="1" applyBorder="1" applyAlignment="1">
      <alignment horizontal="center" vertical="center"/>
    </xf>
    <xf numFmtId="165" fontId="14" fillId="0" borderId="64" xfId="2" applyNumberFormat="1" applyFill="1" applyBorder="1" applyAlignment="1">
      <alignment horizontal="center" vertical="center"/>
    </xf>
    <xf numFmtId="165" fontId="14" fillId="0" borderId="35" xfId="2" applyNumberFormat="1" applyFill="1" applyBorder="1" applyAlignment="1">
      <alignment horizontal="center" vertical="center"/>
    </xf>
    <xf numFmtId="165" fontId="14" fillId="0" borderId="38" xfId="3" applyNumberFormat="1" applyFill="1" applyBorder="1" applyAlignment="1">
      <alignment horizontal="center" vertical="center"/>
    </xf>
    <xf numFmtId="165" fontId="14" fillId="0" borderId="33" xfId="2" applyNumberFormat="1" applyFill="1" applyBorder="1" applyAlignment="1">
      <alignment horizontal="center"/>
    </xf>
    <xf numFmtId="165" fontId="14" fillId="0" borderId="37" xfId="3" applyNumberFormat="1" applyFill="1" applyBorder="1" applyAlignment="1">
      <alignment horizontal="center"/>
    </xf>
    <xf numFmtId="0" fontId="6" fillId="0" borderId="33" xfId="3" applyNumberFormat="1" applyFont="1" applyFill="1" applyBorder="1" applyAlignment="1">
      <alignment horizontal="center" vertical="center"/>
    </xf>
    <xf numFmtId="0" fontId="14" fillId="0" borderId="33" xfId="3" applyNumberFormat="1" applyFill="1" applyBorder="1" applyAlignment="1">
      <alignment horizontal="center" vertical="center"/>
    </xf>
    <xf numFmtId="2" fontId="14" fillId="0" borderId="33" xfId="3" applyNumberFormat="1" applyFill="1" applyBorder="1" applyAlignment="1">
      <alignment horizontal="center" vertical="center"/>
    </xf>
    <xf numFmtId="165" fontId="14" fillId="0" borderId="33" xfId="3" applyNumberFormat="1" applyFill="1" applyBorder="1" applyAlignment="1">
      <alignment horizontal="center" vertical="center"/>
    </xf>
    <xf numFmtId="165" fontId="14" fillId="0" borderId="64" xfId="3" applyNumberFormat="1" applyFill="1" applyBorder="1" applyAlignment="1">
      <alignment horizontal="center" vertical="center"/>
    </xf>
    <xf numFmtId="165" fontId="14" fillId="0" borderId="35" xfId="3" applyNumberFormat="1" applyFill="1" applyBorder="1" applyAlignment="1">
      <alignment horizontal="center" vertical="center"/>
    </xf>
    <xf numFmtId="165" fontId="14" fillId="0" borderId="33" xfId="3" applyNumberFormat="1" applyFill="1" applyBorder="1" applyAlignment="1">
      <alignment horizontal="center"/>
    </xf>
    <xf numFmtId="0" fontId="14" fillId="0" borderId="37" xfId="1" applyNumberFormat="1" applyFill="1" applyBorder="1" applyAlignment="1">
      <alignment horizontal="center" vertical="center"/>
    </xf>
    <xf numFmtId="2" fontId="14" fillId="0" borderId="37" xfId="1" applyNumberFormat="1" applyFill="1" applyBorder="1" applyAlignment="1">
      <alignment horizontal="center" vertical="center"/>
    </xf>
    <xf numFmtId="165" fontId="14" fillId="0" borderId="37" xfId="1" applyNumberFormat="1" applyFill="1" applyBorder="1" applyAlignment="1">
      <alignment horizontal="center" vertical="center"/>
    </xf>
    <xf numFmtId="165" fontId="14" fillId="0" borderId="63" xfId="1" applyNumberFormat="1" applyFill="1" applyBorder="1" applyAlignment="1">
      <alignment horizontal="center" vertical="center"/>
    </xf>
    <xf numFmtId="165" fontId="14" fillId="0" borderId="38" xfId="1" applyNumberFormat="1" applyFill="1" applyBorder="1" applyAlignment="1">
      <alignment horizontal="center" vertical="center"/>
    </xf>
    <xf numFmtId="165" fontId="14" fillId="0" borderId="37" xfId="1" applyNumberFormat="1" applyFill="1" applyBorder="1" applyAlignment="1">
      <alignment horizontal="center"/>
    </xf>
    <xf numFmtId="0" fontId="14" fillId="0" borderId="24" xfId="2" applyNumberFormat="1" applyFill="1" applyBorder="1" applyAlignment="1">
      <alignment horizontal="center" vertical="center"/>
    </xf>
    <xf numFmtId="2" fontId="14" fillId="0" borderId="24" xfId="2" applyNumberFormat="1" applyFill="1" applyBorder="1" applyAlignment="1">
      <alignment horizontal="center" vertical="center"/>
    </xf>
    <xf numFmtId="165" fontId="14" fillId="0" borderId="24" xfId="2" applyNumberFormat="1" applyFill="1" applyBorder="1" applyAlignment="1">
      <alignment horizontal="center" vertical="center"/>
    </xf>
    <xf numFmtId="165" fontId="14" fillId="0" borderId="44" xfId="2" applyNumberFormat="1" applyFill="1" applyBorder="1" applyAlignment="1">
      <alignment horizontal="center" vertical="center"/>
    </xf>
    <xf numFmtId="165" fontId="14" fillId="0" borderId="41" xfId="2" applyNumberFormat="1" applyFill="1" applyBorder="1" applyAlignment="1">
      <alignment horizontal="center" vertical="center"/>
    </xf>
    <xf numFmtId="165" fontId="14" fillId="0" borderId="24" xfId="2" applyNumberFormat="1" applyFill="1" applyBorder="1" applyAlignment="1">
      <alignment horizontal="center"/>
    </xf>
    <xf numFmtId="0" fontId="14" fillId="0" borderId="37" xfId="2" applyNumberFormat="1" applyFill="1" applyBorder="1" applyAlignment="1">
      <alignment horizontal="center" vertical="center"/>
    </xf>
    <xf numFmtId="2" fontId="14" fillId="0" borderId="37" xfId="2" applyNumberFormat="1" applyFill="1" applyBorder="1" applyAlignment="1">
      <alignment horizontal="center" vertical="center"/>
    </xf>
    <xf numFmtId="165" fontId="14" fillId="0" borderId="37" xfId="2" applyNumberFormat="1" applyFill="1" applyBorder="1" applyAlignment="1">
      <alignment horizontal="center" vertical="center"/>
    </xf>
    <xf numFmtId="165" fontId="14" fillId="0" borderId="63" xfId="2" applyNumberFormat="1" applyFill="1" applyBorder="1" applyAlignment="1">
      <alignment horizontal="center" vertical="center"/>
    </xf>
    <xf numFmtId="165" fontId="14" fillId="0" borderId="38" xfId="2" applyNumberFormat="1" applyFill="1" applyBorder="1" applyAlignment="1">
      <alignment horizontal="center" vertical="center"/>
    </xf>
    <xf numFmtId="165" fontId="14" fillId="0" borderId="37" xfId="2" applyNumberFormat="1" applyFill="1" applyBorder="1" applyAlignment="1">
      <alignment horizontal="center"/>
    </xf>
    <xf numFmtId="0" fontId="14" fillId="0" borderId="37" xfId="4" applyNumberFormat="1" applyFill="1" applyBorder="1" applyAlignment="1">
      <alignment horizontal="center" vertical="center"/>
    </xf>
    <xf numFmtId="2" fontId="14" fillId="0" borderId="37" xfId="4" applyNumberFormat="1" applyFill="1" applyBorder="1" applyAlignment="1">
      <alignment horizontal="center" vertical="center"/>
    </xf>
    <xf numFmtId="165" fontId="14" fillId="0" borderId="37" xfId="4" applyNumberFormat="1" applyFill="1" applyBorder="1" applyAlignment="1">
      <alignment horizontal="center" vertical="center"/>
    </xf>
    <xf numFmtId="165" fontId="14" fillId="0" borderId="63" xfId="4" applyNumberFormat="1" applyFill="1" applyBorder="1" applyAlignment="1">
      <alignment horizontal="center" vertical="center"/>
    </xf>
    <xf numFmtId="165" fontId="14" fillId="0" borderId="38" xfId="4" applyNumberFormat="1" applyFill="1" applyBorder="1" applyAlignment="1">
      <alignment horizontal="center" vertical="center"/>
    </xf>
    <xf numFmtId="165" fontId="14" fillId="0" borderId="37" xfId="4" applyNumberFormat="1" applyFill="1" applyBorder="1" applyAlignment="1">
      <alignment horizontal="center"/>
    </xf>
    <xf numFmtId="0" fontId="14" fillId="0" borderId="24" xfId="4" applyNumberFormat="1" applyFill="1" applyBorder="1" applyAlignment="1">
      <alignment horizontal="center" vertical="center"/>
    </xf>
    <xf numFmtId="2" fontId="14" fillId="0" borderId="24" xfId="4" applyNumberFormat="1" applyFill="1" applyBorder="1" applyAlignment="1">
      <alignment horizontal="center" vertical="center"/>
    </xf>
    <xf numFmtId="165" fontId="14" fillId="0" borderId="24" xfId="4" applyNumberFormat="1" applyFill="1" applyBorder="1" applyAlignment="1">
      <alignment horizontal="center"/>
    </xf>
    <xf numFmtId="165" fontId="14" fillId="0" borderId="44" xfId="4" applyNumberFormat="1" applyFill="1" applyBorder="1" applyAlignment="1">
      <alignment horizontal="center" vertical="center"/>
    </xf>
    <xf numFmtId="165" fontId="14" fillId="0" borderId="41" xfId="4" applyNumberFormat="1" applyFill="1" applyBorder="1" applyAlignment="1">
      <alignment horizontal="center"/>
    </xf>
    <xf numFmtId="165" fontId="14" fillId="0" borderId="38" xfId="4" applyNumberFormat="1" applyFill="1" applyBorder="1" applyAlignment="1">
      <alignment horizontal="center"/>
    </xf>
    <xf numFmtId="0" fontId="18" fillId="0" borderId="24" xfId="0" applyNumberFormat="1" applyFont="1" applyBorder="1" applyAlignment="1">
      <alignment horizontal="center"/>
    </xf>
    <xf numFmtId="0" fontId="4" fillId="0" borderId="37" xfId="2" applyNumberFormat="1" applyFont="1" applyFill="1" applyBorder="1" applyAlignment="1">
      <alignment horizontal="center" vertical="center"/>
    </xf>
    <xf numFmtId="0" fontId="14" fillId="0" borderId="33" xfId="4" applyNumberFormat="1" applyFill="1" applyBorder="1" applyAlignment="1">
      <alignment horizontal="center" vertical="center"/>
    </xf>
    <xf numFmtId="2" fontId="14" fillId="0" borderId="33" xfId="4" applyNumberFormat="1" applyFill="1" applyBorder="1" applyAlignment="1">
      <alignment horizontal="center" vertical="center"/>
    </xf>
    <xf numFmtId="165" fontId="14" fillId="0" borderId="33" xfId="4" applyNumberFormat="1" applyFill="1" applyBorder="1" applyAlignment="1">
      <alignment horizontal="center" vertical="center"/>
    </xf>
    <xf numFmtId="165" fontId="14" fillId="0" borderId="64" xfId="4" applyNumberFormat="1" applyFill="1" applyBorder="1" applyAlignment="1">
      <alignment horizontal="center" vertical="center"/>
    </xf>
    <xf numFmtId="165" fontId="14" fillId="0" borderId="35" xfId="4" applyNumberFormat="1" applyFill="1" applyBorder="1" applyAlignment="1">
      <alignment horizontal="center" vertical="center"/>
    </xf>
    <xf numFmtId="165" fontId="14" fillId="0" borderId="33" xfId="4" applyNumberFormat="1" applyFill="1" applyBorder="1" applyAlignment="1">
      <alignment horizontal="center"/>
    </xf>
    <xf numFmtId="0" fontId="14" fillId="7" borderId="37" xfId="5" applyNumberFormat="1" applyBorder="1" applyAlignment="1">
      <alignment horizontal="center" vertical="center"/>
    </xf>
    <xf numFmtId="2" fontId="14" fillId="7" borderId="37" xfId="5" applyNumberFormat="1" applyBorder="1" applyAlignment="1">
      <alignment horizontal="center" vertical="center"/>
    </xf>
    <xf numFmtId="165" fontId="14" fillId="7" borderId="37" xfId="5" applyNumberFormat="1" applyBorder="1" applyAlignment="1">
      <alignment horizontal="center" vertical="center"/>
    </xf>
    <xf numFmtId="165" fontId="14" fillId="7" borderId="63" xfId="5" applyNumberFormat="1" applyBorder="1" applyAlignment="1">
      <alignment horizontal="center" vertical="center"/>
    </xf>
    <xf numFmtId="165" fontId="14" fillId="7" borderId="38" xfId="5" applyNumberFormat="1" applyBorder="1" applyAlignment="1">
      <alignment horizontal="center" vertical="center"/>
    </xf>
    <xf numFmtId="165" fontId="14" fillId="7" borderId="37" xfId="5" applyNumberFormat="1" applyBorder="1" applyAlignment="1">
      <alignment horizontal="center"/>
    </xf>
    <xf numFmtId="0" fontId="14" fillId="0" borderId="37" xfId="5" applyNumberFormat="1" applyFill="1" applyBorder="1" applyAlignment="1">
      <alignment horizontal="center" vertical="center"/>
    </xf>
    <xf numFmtId="2" fontId="14" fillId="0" borderId="37" xfId="5" applyNumberFormat="1" applyFill="1" applyBorder="1" applyAlignment="1">
      <alignment horizontal="center" vertical="center"/>
    </xf>
    <xf numFmtId="165" fontId="14" fillId="0" borderId="37" xfId="5" applyNumberFormat="1" applyFill="1" applyBorder="1" applyAlignment="1">
      <alignment horizontal="center" vertical="center"/>
    </xf>
    <xf numFmtId="165" fontId="14" fillId="0" borderId="63" xfId="5" applyNumberFormat="1" applyFill="1" applyBorder="1" applyAlignment="1">
      <alignment horizontal="center" vertical="center"/>
    </xf>
    <xf numFmtId="165" fontId="14" fillId="0" borderId="38" xfId="5" applyNumberFormat="1" applyFill="1" applyBorder="1" applyAlignment="1">
      <alignment horizontal="center" vertical="center"/>
    </xf>
    <xf numFmtId="165" fontId="14" fillId="0" borderId="37" xfId="5" applyNumberFormat="1" applyFill="1" applyBorder="1" applyAlignment="1">
      <alignment horizontal="center"/>
    </xf>
    <xf numFmtId="165" fontId="5" fillId="0" borderId="25" xfId="2" applyNumberFormat="1" applyFont="1" applyFill="1" applyBorder="1" applyAlignment="1">
      <alignment horizontal="center"/>
    </xf>
    <xf numFmtId="0" fontId="2" fillId="0" borderId="33" xfId="3" applyNumberFormat="1" applyFont="1" applyFill="1" applyBorder="1" applyAlignment="1">
      <alignment horizontal="center" vertical="center"/>
    </xf>
    <xf numFmtId="0" fontId="3" fillId="0" borderId="37" xfId="5" applyNumberFormat="1" applyFont="1" applyFill="1" applyBorder="1" applyAlignment="1">
      <alignment horizontal="center" vertical="center"/>
    </xf>
    <xf numFmtId="0" fontId="2" fillId="0" borderId="33" xfId="5" applyNumberFormat="1" applyFont="1" applyFill="1" applyBorder="1" applyAlignment="1">
      <alignment horizontal="center" vertical="center"/>
    </xf>
    <xf numFmtId="2" fontId="14" fillId="0" borderId="33" xfId="5" applyNumberFormat="1" applyFill="1" applyBorder="1" applyAlignment="1">
      <alignment horizontal="center" vertical="center"/>
    </xf>
    <xf numFmtId="165" fontId="14" fillId="0" borderId="33" xfId="5" applyNumberFormat="1" applyFill="1" applyBorder="1" applyAlignment="1">
      <alignment horizontal="center" vertical="center"/>
    </xf>
    <xf numFmtId="165" fontId="14" fillId="0" borderId="64" xfId="5" applyNumberFormat="1" applyFill="1" applyBorder="1" applyAlignment="1">
      <alignment horizontal="center" vertical="center"/>
    </xf>
    <xf numFmtId="165" fontId="14" fillId="0" borderId="35" xfId="5" applyNumberFormat="1" applyFill="1" applyBorder="1" applyAlignment="1">
      <alignment horizontal="center" vertical="center"/>
    </xf>
    <xf numFmtId="165" fontId="14" fillId="0" borderId="33" xfId="5" applyNumberFormat="1" applyFill="1" applyBorder="1" applyAlignment="1">
      <alignment horizontal="center"/>
    </xf>
    <xf numFmtId="165" fontId="14" fillId="5" borderId="24" xfId="3" applyNumberFormat="1" applyBorder="1" applyAlignment="1">
      <alignment horizontal="center" vertical="center"/>
    </xf>
    <xf numFmtId="0" fontId="1" fillId="0" borderId="33" xfId="1" applyNumberFormat="1" applyFont="1" applyFill="1" applyBorder="1" applyAlignment="1">
      <alignment horizontal="center" vertical="center"/>
    </xf>
    <xf numFmtId="0" fontId="14" fillId="0" borderId="33" xfId="1" applyNumberFormat="1" applyFill="1" applyBorder="1" applyAlignment="1">
      <alignment horizontal="center" vertical="center"/>
    </xf>
    <xf numFmtId="2" fontId="14" fillId="0" borderId="33" xfId="1" applyNumberFormat="1" applyFill="1" applyBorder="1" applyAlignment="1">
      <alignment horizontal="center" vertical="center"/>
    </xf>
    <xf numFmtId="165" fontId="14" fillId="0" borderId="33" xfId="1" applyNumberFormat="1" applyFill="1" applyBorder="1" applyAlignment="1">
      <alignment horizontal="center" vertical="center"/>
    </xf>
    <xf numFmtId="165" fontId="14" fillId="0" borderId="64" xfId="1" applyNumberFormat="1" applyFill="1" applyBorder="1" applyAlignment="1">
      <alignment horizontal="center" vertical="center"/>
    </xf>
    <xf numFmtId="165" fontId="14" fillId="0" borderId="35" xfId="1" applyNumberFormat="1" applyFill="1" applyBorder="1" applyAlignment="1">
      <alignment horizontal="center" vertical="center"/>
    </xf>
    <xf numFmtId="165" fontId="14" fillId="0" borderId="33" xfId="1" applyNumberFormat="1" applyFill="1" applyBorder="1" applyAlignment="1">
      <alignment horizontal="center"/>
    </xf>
    <xf numFmtId="0" fontId="14" fillId="0" borderId="33" xfId="5" applyNumberFormat="1" applyFill="1" applyBorder="1" applyAlignment="1">
      <alignment horizontal="center" vertical="center"/>
    </xf>
    <xf numFmtId="0" fontId="14" fillId="5" borderId="33" xfId="3" applyNumberFormat="1" applyBorder="1" applyAlignment="1">
      <alignment horizontal="center" vertical="center"/>
    </xf>
    <xf numFmtId="2" fontId="14" fillId="5" borderId="33" xfId="3" applyNumberFormat="1" applyBorder="1" applyAlignment="1">
      <alignment horizontal="center" vertical="center"/>
    </xf>
    <xf numFmtId="165" fontId="14" fillId="5" borderId="33" xfId="3" applyNumberFormat="1" applyBorder="1" applyAlignment="1">
      <alignment horizontal="center" vertical="center"/>
    </xf>
    <xf numFmtId="165" fontId="14" fillId="5" borderId="64" xfId="3" applyNumberFormat="1" applyBorder="1" applyAlignment="1">
      <alignment horizontal="center" vertical="center"/>
    </xf>
    <xf numFmtId="165" fontId="14" fillId="5" borderId="35" xfId="3" applyNumberFormat="1" applyBorder="1" applyAlignment="1">
      <alignment horizontal="center" vertical="center"/>
    </xf>
    <xf numFmtId="165" fontId="14" fillId="5" borderId="33" xfId="3" applyNumberFormat="1" applyBorder="1" applyAlignment="1">
      <alignment horizontal="center"/>
    </xf>
    <xf numFmtId="164" fontId="17" fillId="0" borderId="13" xfId="0" applyNumberFormat="1" applyFont="1" applyBorder="1" applyAlignment="1">
      <alignment horizontal="center" vertical="center"/>
    </xf>
    <xf numFmtId="0" fontId="16" fillId="0" borderId="14" xfId="0" applyFont="1" applyBorder="1"/>
    <xf numFmtId="0" fontId="16" fillId="0" borderId="15" xfId="0" applyFont="1" applyBorder="1"/>
    <xf numFmtId="0" fontId="16" fillId="0" borderId="16" xfId="0" applyFont="1" applyBorder="1"/>
    <xf numFmtId="0" fontId="16" fillId="0" borderId="17" xfId="0" applyFont="1" applyBorder="1"/>
    <xf numFmtId="0" fontId="16" fillId="0" borderId="18" xfId="0" applyFont="1" applyBorder="1"/>
    <xf numFmtId="0" fontId="0" fillId="0" borderId="6" xfId="0" applyFont="1" applyBorder="1" applyAlignment="1">
      <alignment horizontal="center"/>
    </xf>
    <xf numFmtId="0" fontId="16" fillId="0" borderId="7" xfId="0" applyFont="1" applyBorder="1"/>
    <xf numFmtId="0" fontId="0" fillId="0" borderId="0" xfId="0" applyFont="1" applyAlignment="1"/>
    <xf numFmtId="0" fontId="15" fillId="0" borderId="2" xfId="0" applyFont="1" applyBorder="1" applyAlignment="1">
      <alignment horizontal="center" vertical="center"/>
    </xf>
    <xf numFmtId="0" fontId="16" fillId="0" borderId="3" xfId="0" applyFont="1" applyBorder="1"/>
    <xf numFmtId="0" fontId="16" fillId="0" borderId="4" xfId="0" applyFont="1" applyBorder="1"/>
    <xf numFmtId="0" fontId="25" fillId="2" borderId="25" xfId="0" applyFont="1" applyFill="1" applyBorder="1" applyAlignment="1">
      <alignment horizontal="center" vertical="center"/>
    </xf>
    <xf numFmtId="0" fontId="25" fillId="2" borderId="65" xfId="0" applyFont="1" applyFill="1" applyBorder="1" applyAlignment="1">
      <alignment horizontal="center" vertical="center"/>
    </xf>
    <xf numFmtId="0" fontId="24" fillId="2" borderId="26" xfId="0" applyFont="1" applyFill="1" applyBorder="1" applyAlignment="1">
      <alignment horizontal="center" vertical="center"/>
    </xf>
    <xf numFmtId="0" fontId="24" fillId="2" borderId="32" xfId="0" applyFont="1" applyFill="1" applyBorder="1" applyAlignment="1">
      <alignment horizontal="center" vertical="center"/>
    </xf>
    <xf numFmtId="0" fontId="24" fillId="2" borderId="27" xfId="0" applyFont="1" applyFill="1" applyBorder="1" applyAlignment="1">
      <alignment horizontal="center" vertical="center"/>
    </xf>
    <xf numFmtId="2" fontId="24" fillId="2" borderId="26" xfId="0" applyNumberFormat="1" applyFont="1" applyFill="1" applyBorder="1" applyAlignment="1">
      <alignment horizontal="center" vertical="center"/>
    </xf>
    <xf numFmtId="2" fontId="24" fillId="2" borderId="32" xfId="0" applyNumberFormat="1" applyFont="1" applyFill="1" applyBorder="1" applyAlignment="1">
      <alignment horizontal="center" vertical="center"/>
    </xf>
    <xf numFmtId="2" fontId="24" fillId="2" borderId="27" xfId="0" applyNumberFormat="1" applyFont="1" applyFill="1" applyBorder="1" applyAlignment="1">
      <alignment horizontal="center" vertical="center"/>
    </xf>
    <xf numFmtId="2" fontId="26" fillId="2" borderId="26" xfId="0" applyNumberFormat="1" applyFont="1" applyFill="1" applyBorder="1" applyAlignment="1">
      <alignment horizontal="center" vertical="center"/>
    </xf>
    <xf numFmtId="2" fontId="26" fillId="2" borderId="32" xfId="0" applyNumberFormat="1" applyFont="1" applyFill="1" applyBorder="1" applyAlignment="1">
      <alignment horizontal="center" vertical="center"/>
    </xf>
    <xf numFmtId="2" fontId="26" fillId="2" borderId="27" xfId="0" applyNumberFormat="1" applyFont="1" applyFill="1" applyBorder="1" applyAlignment="1">
      <alignment horizontal="center" vertical="center"/>
    </xf>
    <xf numFmtId="2" fontId="25" fillId="2" borderId="30" xfId="0" applyNumberFormat="1" applyFont="1" applyFill="1" applyBorder="1" applyAlignment="1">
      <alignment horizontal="center" vertical="center"/>
    </xf>
    <xf numFmtId="2" fontId="25" fillId="2" borderId="55" xfId="0" applyNumberFormat="1" applyFont="1" applyFill="1" applyBorder="1" applyAlignment="1">
      <alignment horizontal="center" vertical="center"/>
    </xf>
    <xf numFmtId="2" fontId="25" fillId="2" borderId="60" xfId="0" applyNumberFormat="1" applyFont="1" applyFill="1" applyBorder="1" applyAlignment="1">
      <alignment horizontal="center" vertical="center"/>
    </xf>
    <xf numFmtId="0" fontId="25" fillId="2" borderId="26" xfId="0" applyFont="1" applyFill="1" applyBorder="1" applyAlignment="1">
      <alignment horizontal="center" vertical="center"/>
    </xf>
    <xf numFmtId="0" fontId="25" fillId="2" borderId="32" xfId="0" applyFont="1" applyFill="1" applyBorder="1" applyAlignment="1">
      <alignment horizontal="center" vertical="center"/>
    </xf>
    <xf numFmtId="0" fontId="25" fillId="2" borderId="27" xfId="0" applyFont="1" applyFill="1" applyBorder="1" applyAlignment="1">
      <alignment horizontal="center" vertical="center"/>
    </xf>
    <xf numFmtId="0" fontId="25" fillId="2" borderId="56" xfId="0" applyFont="1" applyFill="1" applyBorder="1" applyAlignment="1">
      <alignment horizontal="center" vertical="center"/>
    </xf>
    <xf numFmtId="2" fontId="25" fillId="2" borderId="46" xfId="0" applyNumberFormat="1" applyFont="1" applyFill="1" applyBorder="1" applyAlignment="1">
      <alignment horizontal="center" vertical="center"/>
    </xf>
    <xf numFmtId="2" fontId="25" fillId="2" borderId="67" xfId="0" applyNumberFormat="1" applyFont="1" applyFill="1" applyBorder="1" applyAlignment="1">
      <alignment horizontal="center" vertical="center"/>
    </xf>
    <xf numFmtId="0" fontId="25" fillId="2" borderId="41" xfId="0" applyFont="1" applyFill="1" applyBorder="1" applyAlignment="1">
      <alignment horizontal="center" vertical="center"/>
    </xf>
    <xf numFmtId="0" fontId="25" fillId="2" borderId="29" xfId="0" applyFont="1" applyFill="1" applyBorder="1" applyAlignment="1">
      <alignment horizontal="center" vertical="center"/>
    </xf>
    <xf numFmtId="0" fontId="25" fillId="2" borderId="24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/>
    </xf>
    <xf numFmtId="2" fontId="25" fillId="2" borderId="26" xfId="0" applyNumberFormat="1" applyFont="1" applyFill="1" applyBorder="1" applyAlignment="1">
      <alignment horizontal="center" vertical="center"/>
    </xf>
    <xf numFmtId="2" fontId="25" fillId="2" borderId="32" xfId="0" applyNumberFormat="1" applyFont="1" applyFill="1" applyBorder="1" applyAlignment="1">
      <alignment horizontal="center" vertical="center"/>
    </xf>
    <xf numFmtId="2" fontId="25" fillId="2" borderId="27" xfId="0" applyNumberFormat="1" applyFont="1" applyFill="1" applyBorder="1" applyAlignment="1">
      <alignment horizontal="center" vertical="center"/>
    </xf>
    <xf numFmtId="0" fontId="25" fillId="2" borderId="39" xfId="0" applyFont="1" applyFill="1" applyBorder="1" applyAlignment="1">
      <alignment horizontal="center" vertical="center"/>
    </xf>
    <xf numFmtId="0" fontId="25" fillId="2" borderId="40" xfId="0" applyFont="1" applyFill="1" applyBorder="1" applyAlignment="1">
      <alignment horizontal="center" vertical="center"/>
    </xf>
    <xf numFmtId="0" fontId="25" fillId="2" borderId="30" xfId="0" applyFont="1" applyFill="1" applyBorder="1" applyAlignment="1">
      <alignment horizontal="center" vertical="center"/>
    </xf>
    <xf numFmtId="0" fontId="25" fillId="2" borderId="55" xfId="0" applyFont="1" applyFill="1" applyBorder="1" applyAlignment="1">
      <alignment horizontal="center" vertical="center"/>
    </xf>
    <xf numFmtId="0" fontId="25" fillId="2" borderId="31" xfId="0" applyFont="1" applyFill="1" applyBorder="1" applyAlignment="1">
      <alignment horizontal="center" vertical="center"/>
    </xf>
    <xf numFmtId="0" fontId="25" fillId="2" borderId="50" xfId="0" applyFont="1" applyFill="1" applyBorder="1" applyAlignment="1">
      <alignment horizontal="center" vertical="center"/>
    </xf>
    <xf numFmtId="0" fontId="25" fillId="2" borderId="51" xfId="0" applyFont="1" applyFill="1" applyBorder="1" applyAlignment="1">
      <alignment horizontal="center" vertical="center"/>
    </xf>
    <xf numFmtId="0" fontId="19" fillId="0" borderId="24" xfId="0" applyNumberFormat="1" applyFont="1" applyBorder="1" applyAlignment="1">
      <alignment horizontal="center" vertical="center"/>
    </xf>
    <xf numFmtId="0" fontId="28" fillId="2" borderId="24" xfId="0" applyFont="1" applyFill="1" applyBorder="1" applyAlignment="1">
      <alignment horizontal="center" vertical="center"/>
    </xf>
  </cellXfs>
  <cellStyles count="7">
    <cellStyle name="%40 - Vurgu1" xfId="1" builtinId="31"/>
    <cellStyle name="%40 - Vurgu2" xfId="6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Normal" xfId="0" builtinId="0"/>
  </cellStyles>
  <dxfs count="1"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33" t="s">
        <v>0</v>
      </c>
      <c r="B1" s="334"/>
      <c r="C1" s="334"/>
      <c r="D1" s="334"/>
      <c r="E1" s="334"/>
      <c r="F1" s="334"/>
      <c r="G1" s="334"/>
      <c r="H1" s="33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4"/>
      <c r="AC1" s="334"/>
    </row>
    <row r="2" spans="1:29" x14ac:dyDescent="0.25">
      <c r="A2" s="335"/>
      <c r="B2" s="332"/>
      <c r="C2" s="332"/>
      <c r="D2" s="332"/>
      <c r="E2" s="332"/>
      <c r="F2" s="332"/>
      <c r="G2" s="332"/>
      <c r="H2" s="332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2"/>
      <c r="AC2" s="332"/>
    </row>
    <row r="3" spans="1:29" x14ac:dyDescent="0.25">
      <c r="A3" s="3">
        <v>1.8</v>
      </c>
      <c r="B3" s="330"/>
      <c r="C3" s="2">
        <v>2.2000000000000002</v>
      </c>
      <c r="D3" s="330"/>
      <c r="E3" s="2">
        <v>2.2999999999999998</v>
      </c>
      <c r="F3" s="330"/>
      <c r="G3" s="2">
        <v>2.4500000000000002</v>
      </c>
      <c r="H3" s="330"/>
      <c r="I3" s="2"/>
      <c r="J3" s="330"/>
      <c r="K3" s="2"/>
      <c r="L3" s="330"/>
      <c r="M3" s="2"/>
      <c r="N3" s="330"/>
      <c r="O3" s="2"/>
      <c r="P3" s="330"/>
      <c r="Q3" s="2"/>
      <c r="R3" s="330"/>
      <c r="S3" s="2"/>
      <c r="T3" s="330"/>
      <c r="U3" s="2"/>
      <c r="V3" s="330"/>
      <c r="W3" s="2"/>
      <c r="X3" s="330"/>
      <c r="Y3" s="2"/>
      <c r="Z3" s="330"/>
      <c r="AA3" s="2"/>
      <c r="AB3" s="332"/>
    </row>
    <row r="4" spans="1:29" ht="6" customHeight="1" x14ac:dyDescent="0.25">
      <c r="A4" s="4"/>
      <c r="B4" s="331"/>
      <c r="C4" s="5"/>
      <c r="D4" s="331"/>
      <c r="E4" s="5"/>
      <c r="F4" s="331"/>
      <c r="G4" s="5"/>
      <c r="H4" s="331"/>
      <c r="I4" s="5"/>
      <c r="J4" s="331"/>
      <c r="K4" s="5"/>
      <c r="L4" s="331"/>
      <c r="M4" s="5"/>
      <c r="N4" s="331"/>
      <c r="O4" s="5"/>
      <c r="P4" s="331"/>
      <c r="Q4" s="5"/>
      <c r="R4" s="331"/>
      <c r="S4" s="5"/>
      <c r="T4" s="331"/>
      <c r="U4" s="5"/>
      <c r="V4" s="331"/>
      <c r="W4" s="5"/>
      <c r="X4" s="331"/>
      <c r="Y4" s="5"/>
      <c r="Z4" s="331"/>
      <c r="AA4" s="5"/>
      <c r="AB4" s="332"/>
    </row>
    <row r="5" spans="1:29" x14ac:dyDescent="0.25">
      <c r="A5" s="6">
        <v>2035.8</v>
      </c>
      <c r="B5" s="331"/>
      <c r="C5" s="7">
        <v>2018.1</v>
      </c>
      <c r="D5" s="331"/>
      <c r="E5" s="7">
        <v>2056.1</v>
      </c>
      <c r="F5" s="331"/>
      <c r="G5" s="7">
        <v>1995.7</v>
      </c>
      <c r="H5" s="331"/>
      <c r="I5" s="7"/>
      <c r="J5" s="331"/>
      <c r="K5" s="7"/>
      <c r="L5" s="331"/>
      <c r="M5" s="7"/>
      <c r="N5" s="331"/>
      <c r="O5" s="7"/>
      <c r="P5" s="331"/>
      <c r="Q5" s="7"/>
      <c r="R5" s="331"/>
      <c r="S5" s="7"/>
      <c r="T5" s="331"/>
      <c r="U5" s="7"/>
      <c r="V5" s="331"/>
      <c r="W5" s="7"/>
      <c r="X5" s="331"/>
      <c r="Y5" s="7"/>
      <c r="Z5" s="331"/>
      <c r="AA5" s="7"/>
      <c r="AB5" s="332"/>
    </row>
    <row r="6" spans="1:29" x14ac:dyDescent="0.25">
      <c r="A6" s="6"/>
      <c r="B6" s="331"/>
      <c r="C6" s="7"/>
      <c r="D6" s="331"/>
      <c r="E6" s="7"/>
      <c r="F6" s="331"/>
      <c r="G6" s="7"/>
      <c r="H6" s="331"/>
      <c r="I6" s="7"/>
      <c r="J6" s="331"/>
      <c r="K6" s="7"/>
      <c r="L6" s="331"/>
      <c r="M6" s="7"/>
      <c r="N6" s="331"/>
      <c r="O6" s="7"/>
      <c r="P6" s="331"/>
      <c r="Q6" s="7"/>
      <c r="R6" s="331"/>
      <c r="S6" s="7"/>
      <c r="T6" s="331"/>
      <c r="U6" s="7"/>
      <c r="V6" s="331"/>
      <c r="W6" s="7"/>
      <c r="X6" s="331"/>
      <c r="Y6" s="7"/>
      <c r="Z6" s="331"/>
      <c r="AA6" s="7"/>
      <c r="AB6" s="332"/>
    </row>
    <row r="7" spans="1:29" x14ac:dyDescent="0.25">
      <c r="A7" s="6"/>
      <c r="B7" s="331"/>
      <c r="C7" s="7"/>
      <c r="D7" s="331"/>
      <c r="E7" s="7"/>
      <c r="F7" s="331"/>
      <c r="G7" s="7"/>
      <c r="H7" s="331"/>
      <c r="I7" s="7"/>
      <c r="J7" s="331"/>
      <c r="K7" s="7"/>
      <c r="L7" s="331"/>
      <c r="M7" s="7"/>
      <c r="N7" s="331"/>
      <c r="O7" s="7"/>
      <c r="P7" s="331"/>
      <c r="Q7" s="7"/>
      <c r="R7" s="331"/>
      <c r="S7" s="7"/>
      <c r="T7" s="331"/>
      <c r="U7" s="7"/>
      <c r="V7" s="331"/>
      <c r="W7" s="7"/>
      <c r="X7" s="331"/>
      <c r="Y7" s="7"/>
      <c r="Z7" s="331"/>
      <c r="AA7" s="7"/>
      <c r="AB7" s="332"/>
    </row>
    <row r="8" spans="1:29" x14ac:dyDescent="0.25">
      <c r="A8" s="6"/>
      <c r="B8" s="331"/>
      <c r="C8" s="7"/>
      <c r="D8" s="331"/>
      <c r="E8" s="7"/>
      <c r="F8" s="331"/>
      <c r="G8" s="7"/>
      <c r="H8" s="331"/>
      <c r="I8" s="7"/>
      <c r="J8" s="331"/>
      <c r="K8" s="7"/>
      <c r="L8" s="331"/>
      <c r="M8" s="7"/>
      <c r="N8" s="331"/>
      <c r="O8" s="7"/>
      <c r="P8" s="331"/>
      <c r="Q8" s="7"/>
      <c r="R8" s="331"/>
      <c r="S8" s="7"/>
      <c r="T8" s="331"/>
      <c r="U8" s="7"/>
      <c r="V8" s="331"/>
      <c r="W8" s="7"/>
      <c r="X8" s="331"/>
      <c r="Y8" s="7"/>
      <c r="Z8" s="331"/>
      <c r="AA8" s="7"/>
      <c r="AB8" s="332"/>
    </row>
    <row r="9" spans="1:29" x14ac:dyDescent="0.25">
      <c r="A9" s="6"/>
      <c r="B9" s="331"/>
      <c r="C9" s="7"/>
      <c r="D9" s="331"/>
      <c r="E9" s="7"/>
      <c r="F9" s="331"/>
      <c r="G9" s="7"/>
      <c r="H9" s="331"/>
      <c r="I9" s="7"/>
      <c r="J9" s="331"/>
      <c r="K9" s="7"/>
      <c r="L9" s="331"/>
      <c r="M9" s="7"/>
      <c r="N9" s="331"/>
      <c r="O9" s="7"/>
      <c r="P9" s="331"/>
      <c r="Q9" s="7"/>
      <c r="R9" s="331"/>
      <c r="S9" s="7"/>
      <c r="T9" s="331"/>
      <c r="U9" s="7"/>
      <c r="V9" s="331"/>
      <c r="W9" s="7"/>
      <c r="X9" s="331"/>
      <c r="Y9" s="7"/>
      <c r="Z9" s="331"/>
      <c r="AA9" s="7"/>
      <c r="AB9" s="332"/>
    </row>
    <row r="10" spans="1:29" x14ac:dyDescent="0.25">
      <c r="A10" s="6"/>
      <c r="B10" s="331"/>
      <c r="C10" s="7"/>
      <c r="D10" s="331"/>
      <c r="E10" s="7"/>
      <c r="F10" s="331"/>
      <c r="G10" s="7"/>
      <c r="H10" s="331"/>
      <c r="I10" s="7"/>
      <c r="J10" s="331"/>
      <c r="K10" s="7"/>
      <c r="L10" s="331"/>
      <c r="M10" s="7"/>
      <c r="N10" s="331"/>
      <c r="O10" s="7"/>
      <c r="P10" s="331"/>
      <c r="Q10" s="7"/>
      <c r="R10" s="331"/>
      <c r="S10" s="7"/>
      <c r="T10" s="331"/>
      <c r="U10" s="7"/>
      <c r="V10" s="331"/>
      <c r="W10" s="7"/>
      <c r="X10" s="331"/>
      <c r="Y10" s="7"/>
      <c r="Z10" s="331"/>
      <c r="AA10" s="7"/>
      <c r="AB10" s="332"/>
    </row>
    <row r="11" spans="1:29" x14ac:dyDescent="0.25">
      <c r="A11" s="6"/>
      <c r="B11" s="331"/>
      <c r="C11" s="7"/>
      <c r="D11" s="331"/>
      <c r="E11" s="7"/>
      <c r="F11" s="331"/>
      <c r="G11" s="7"/>
      <c r="H11" s="331"/>
      <c r="I11" s="7"/>
      <c r="J11" s="331"/>
      <c r="K11" s="7"/>
      <c r="L11" s="331"/>
      <c r="M11" s="7"/>
      <c r="N11" s="331"/>
      <c r="O11" s="7"/>
      <c r="P11" s="331"/>
      <c r="Q11" s="7"/>
      <c r="R11" s="331"/>
      <c r="S11" s="7"/>
      <c r="T11" s="331"/>
      <c r="U11" s="7"/>
      <c r="V11" s="331"/>
      <c r="W11" s="7"/>
      <c r="X11" s="331"/>
      <c r="Y11" s="7"/>
      <c r="Z11" s="331"/>
      <c r="AA11" s="7"/>
      <c r="AB11" s="332"/>
    </row>
    <row r="12" spans="1:29" x14ac:dyDescent="0.25">
      <c r="A12" s="6"/>
      <c r="B12" s="331"/>
      <c r="C12" s="7"/>
      <c r="D12" s="331"/>
      <c r="E12" s="7"/>
      <c r="F12" s="331"/>
      <c r="G12" s="7"/>
      <c r="H12" s="331"/>
      <c r="I12" s="7"/>
      <c r="J12" s="331"/>
      <c r="K12" s="7"/>
      <c r="L12" s="331"/>
      <c r="M12" s="7"/>
      <c r="N12" s="331"/>
      <c r="O12" s="7"/>
      <c r="P12" s="331"/>
      <c r="Q12" s="7"/>
      <c r="R12" s="331"/>
      <c r="S12" s="7"/>
      <c r="T12" s="331"/>
      <c r="U12" s="7"/>
      <c r="V12" s="331"/>
      <c r="W12" s="7"/>
      <c r="X12" s="331"/>
      <c r="Y12" s="7"/>
      <c r="Z12" s="331"/>
      <c r="AA12" s="7"/>
      <c r="AB12" s="332"/>
    </row>
    <row r="13" spans="1:29" x14ac:dyDescent="0.25">
      <c r="A13" s="6"/>
      <c r="B13" s="331"/>
      <c r="C13" s="7"/>
      <c r="D13" s="331"/>
      <c r="E13" s="7"/>
      <c r="F13" s="331"/>
      <c r="G13" s="7"/>
      <c r="H13" s="331"/>
      <c r="I13" s="7"/>
      <c r="J13" s="331"/>
      <c r="K13" s="7"/>
      <c r="L13" s="331"/>
      <c r="M13" s="7"/>
      <c r="N13" s="331"/>
      <c r="O13" s="7"/>
      <c r="P13" s="331"/>
      <c r="Q13" s="7"/>
      <c r="R13" s="331"/>
      <c r="S13" s="7"/>
      <c r="T13" s="331"/>
      <c r="U13" s="7"/>
      <c r="V13" s="331"/>
      <c r="W13" s="7"/>
      <c r="X13" s="331"/>
      <c r="Y13" s="7"/>
      <c r="Z13" s="331"/>
      <c r="AA13" s="7"/>
      <c r="AB13" s="332"/>
    </row>
    <row r="14" spans="1:29" x14ac:dyDescent="0.25">
      <c r="A14" s="6"/>
      <c r="B14" s="331"/>
      <c r="C14" s="7"/>
      <c r="D14" s="331"/>
      <c r="E14" s="7"/>
      <c r="F14" s="331"/>
      <c r="G14" s="7"/>
      <c r="H14" s="331"/>
      <c r="I14" s="7"/>
      <c r="J14" s="331"/>
      <c r="K14" s="7"/>
      <c r="L14" s="331"/>
      <c r="M14" s="7"/>
      <c r="N14" s="331"/>
      <c r="O14" s="7"/>
      <c r="P14" s="331"/>
      <c r="Q14" s="7"/>
      <c r="R14" s="331"/>
      <c r="S14" s="7"/>
      <c r="T14" s="331"/>
      <c r="U14" s="7"/>
      <c r="V14" s="331"/>
      <c r="W14" s="7"/>
      <c r="X14" s="331"/>
      <c r="Y14" s="7"/>
      <c r="Z14" s="331"/>
      <c r="AA14" s="7"/>
      <c r="AB14" s="332"/>
    </row>
    <row r="15" spans="1:29" x14ac:dyDescent="0.25">
      <c r="A15" s="6"/>
      <c r="B15" s="331"/>
      <c r="C15" s="7"/>
      <c r="D15" s="331"/>
      <c r="E15" s="7"/>
      <c r="F15" s="331"/>
      <c r="G15" s="7"/>
      <c r="H15" s="331"/>
      <c r="I15" s="7"/>
      <c r="J15" s="331"/>
      <c r="K15" s="7"/>
      <c r="L15" s="331"/>
      <c r="M15" s="7"/>
      <c r="N15" s="331"/>
      <c r="O15" s="7"/>
      <c r="P15" s="331"/>
      <c r="Q15" s="7"/>
      <c r="R15" s="331"/>
      <c r="S15" s="7"/>
      <c r="T15" s="331"/>
      <c r="U15" s="7"/>
      <c r="V15" s="331"/>
      <c r="W15" s="7"/>
      <c r="X15" s="331"/>
      <c r="Y15" s="7"/>
      <c r="Z15" s="331"/>
      <c r="AA15" s="7"/>
      <c r="AB15" s="332"/>
    </row>
    <row r="16" spans="1:29" x14ac:dyDescent="0.25">
      <c r="A16" s="6"/>
      <c r="B16" s="331"/>
      <c r="C16" s="7"/>
      <c r="D16" s="331"/>
      <c r="E16" s="7"/>
      <c r="F16" s="331"/>
      <c r="G16" s="7"/>
      <c r="H16" s="331"/>
      <c r="I16" s="7"/>
      <c r="J16" s="331"/>
      <c r="K16" s="7"/>
      <c r="L16" s="331"/>
      <c r="M16" s="7"/>
      <c r="N16" s="331"/>
      <c r="O16" s="7"/>
      <c r="P16" s="331"/>
      <c r="Q16" s="7"/>
      <c r="R16" s="331"/>
      <c r="S16" s="7"/>
      <c r="T16" s="331"/>
      <c r="U16" s="7"/>
      <c r="V16" s="331"/>
      <c r="W16" s="7"/>
      <c r="X16" s="331"/>
      <c r="Y16" s="7"/>
      <c r="Z16" s="331"/>
      <c r="AA16" s="7"/>
      <c r="AB16" s="332"/>
    </row>
    <row r="17" spans="1:28" x14ac:dyDescent="0.25">
      <c r="A17" s="6"/>
      <c r="B17" s="331"/>
      <c r="C17" s="7"/>
      <c r="D17" s="331"/>
      <c r="E17" s="7"/>
      <c r="F17" s="331"/>
      <c r="G17" s="7"/>
      <c r="H17" s="331"/>
      <c r="I17" s="7"/>
      <c r="J17" s="331"/>
      <c r="K17" s="7"/>
      <c r="L17" s="331"/>
      <c r="M17" s="7"/>
      <c r="N17" s="331"/>
      <c r="O17" s="7"/>
      <c r="P17" s="331"/>
      <c r="Q17" s="7"/>
      <c r="R17" s="331"/>
      <c r="S17" s="7"/>
      <c r="T17" s="331"/>
      <c r="U17" s="7"/>
      <c r="V17" s="331"/>
      <c r="W17" s="7"/>
      <c r="X17" s="331"/>
      <c r="Y17" s="7"/>
      <c r="Z17" s="331"/>
      <c r="AA17" s="7"/>
      <c r="AB17" s="332"/>
    </row>
    <row r="18" spans="1:28" x14ac:dyDescent="0.25">
      <c r="A18" s="6"/>
      <c r="B18" s="331"/>
      <c r="C18" s="7"/>
      <c r="D18" s="331"/>
      <c r="E18" s="7"/>
      <c r="F18" s="331"/>
      <c r="G18" s="7"/>
      <c r="H18" s="331"/>
      <c r="I18" s="7"/>
      <c r="J18" s="331"/>
      <c r="K18" s="7"/>
      <c r="L18" s="331"/>
      <c r="M18" s="7"/>
      <c r="N18" s="331"/>
      <c r="O18" s="7"/>
      <c r="P18" s="331"/>
      <c r="Q18" s="7"/>
      <c r="R18" s="331"/>
      <c r="S18" s="7"/>
      <c r="T18" s="331"/>
      <c r="U18" s="7"/>
      <c r="V18" s="331"/>
      <c r="W18" s="7"/>
      <c r="X18" s="331"/>
      <c r="Y18" s="7"/>
      <c r="Z18" s="331"/>
      <c r="AA18" s="7"/>
      <c r="AB18" s="332"/>
    </row>
    <row r="19" spans="1:28" x14ac:dyDescent="0.25">
      <c r="A19" s="6"/>
      <c r="B19" s="331"/>
      <c r="C19" s="7"/>
      <c r="D19" s="331"/>
      <c r="E19" s="7"/>
      <c r="F19" s="331"/>
      <c r="G19" s="7"/>
      <c r="H19" s="331"/>
      <c r="I19" s="7"/>
      <c r="J19" s="331"/>
      <c r="K19" s="7"/>
      <c r="L19" s="331"/>
      <c r="M19" s="7"/>
      <c r="N19" s="331"/>
      <c r="O19" s="7"/>
      <c r="P19" s="331"/>
      <c r="Q19" s="7"/>
      <c r="R19" s="331"/>
      <c r="S19" s="7"/>
      <c r="T19" s="331"/>
      <c r="U19" s="7"/>
      <c r="V19" s="331"/>
      <c r="W19" s="7"/>
      <c r="X19" s="331"/>
      <c r="Y19" s="7"/>
      <c r="Z19" s="331"/>
      <c r="AA19" s="7"/>
      <c r="AB19" s="332"/>
    </row>
    <row r="20" spans="1:28" x14ac:dyDescent="0.25">
      <c r="A20" s="6"/>
      <c r="B20" s="331"/>
      <c r="C20" s="7"/>
      <c r="D20" s="331"/>
      <c r="E20" s="7"/>
      <c r="F20" s="331"/>
      <c r="G20" s="7"/>
      <c r="H20" s="331"/>
      <c r="I20" s="7"/>
      <c r="J20" s="331"/>
      <c r="K20" s="7"/>
      <c r="L20" s="331"/>
      <c r="M20" s="7"/>
      <c r="N20" s="331"/>
      <c r="O20" s="7"/>
      <c r="P20" s="331"/>
      <c r="Q20" s="7"/>
      <c r="R20" s="331"/>
      <c r="S20" s="7"/>
      <c r="T20" s="331"/>
      <c r="U20" s="7"/>
      <c r="V20" s="331"/>
      <c r="W20" s="7"/>
      <c r="X20" s="331"/>
      <c r="Y20" s="7"/>
      <c r="Z20" s="331"/>
      <c r="AA20" s="7"/>
      <c r="AB20" s="332"/>
    </row>
    <row r="21" spans="1:28" ht="15.75" customHeight="1" x14ac:dyDescent="0.25">
      <c r="A21" s="6"/>
      <c r="B21" s="331"/>
      <c r="C21" s="7"/>
      <c r="D21" s="331"/>
      <c r="E21" s="7"/>
      <c r="F21" s="331"/>
      <c r="G21" s="7"/>
      <c r="H21" s="331"/>
      <c r="I21" s="7"/>
      <c r="J21" s="331"/>
      <c r="K21" s="7"/>
      <c r="L21" s="331"/>
      <c r="M21" s="7"/>
      <c r="N21" s="331"/>
      <c r="O21" s="7"/>
      <c r="P21" s="331"/>
      <c r="Q21" s="7"/>
      <c r="R21" s="331"/>
      <c r="S21" s="7"/>
      <c r="T21" s="331"/>
      <c r="U21" s="7"/>
      <c r="V21" s="331"/>
      <c r="W21" s="7"/>
      <c r="X21" s="331"/>
      <c r="Y21" s="7"/>
      <c r="Z21" s="331"/>
      <c r="AA21" s="7"/>
      <c r="AB21" s="332"/>
    </row>
    <row r="22" spans="1:28" ht="15.75" customHeight="1" x14ac:dyDescent="0.25">
      <c r="A22" s="6"/>
      <c r="B22" s="331"/>
      <c r="C22" s="7"/>
      <c r="D22" s="331"/>
      <c r="E22" s="7"/>
      <c r="F22" s="331"/>
      <c r="G22" s="7"/>
      <c r="H22" s="331"/>
      <c r="I22" s="7"/>
      <c r="J22" s="331"/>
      <c r="K22" s="7"/>
      <c r="L22" s="331"/>
      <c r="M22" s="7"/>
      <c r="N22" s="331"/>
      <c r="O22" s="7"/>
      <c r="P22" s="331"/>
      <c r="Q22" s="7"/>
      <c r="R22" s="331"/>
      <c r="S22" s="7"/>
      <c r="T22" s="331"/>
      <c r="U22" s="7"/>
      <c r="V22" s="331"/>
      <c r="W22" s="7"/>
      <c r="X22" s="331"/>
      <c r="Y22" s="7"/>
      <c r="Z22" s="331"/>
      <c r="AA22" s="7"/>
      <c r="AB22" s="332"/>
    </row>
    <row r="23" spans="1:28" ht="15.75" customHeight="1" x14ac:dyDescent="0.25">
      <c r="A23" s="6"/>
      <c r="B23" s="331"/>
      <c r="C23" s="7"/>
      <c r="D23" s="331"/>
      <c r="E23" s="7"/>
      <c r="F23" s="331"/>
      <c r="G23" s="7"/>
      <c r="H23" s="331"/>
      <c r="I23" s="7"/>
      <c r="J23" s="331"/>
      <c r="K23" s="7"/>
      <c r="L23" s="331"/>
      <c r="M23" s="7"/>
      <c r="N23" s="331"/>
      <c r="O23" s="7"/>
      <c r="P23" s="331"/>
      <c r="Q23" s="7"/>
      <c r="R23" s="331"/>
      <c r="S23" s="7"/>
      <c r="T23" s="331"/>
      <c r="U23" s="7"/>
      <c r="V23" s="331"/>
      <c r="W23" s="7"/>
      <c r="X23" s="331"/>
      <c r="Y23" s="7"/>
      <c r="Z23" s="331"/>
      <c r="AA23" s="7"/>
      <c r="AB23" s="332"/>
    </row>
    <row r="24" spans="1:28" ht="15.75" customHeight="1" x14ac:dyDescent="0.25">
      <c r="A24" s="6"/>
      <c r="B24" s="331"/>
      <c r="C24" s="7"/>
      <c r="D24" s="331"/>
      <c r="E24" s="7"/>
      <c r="F24" s="331"/>
      <c r="G24" s="7"/>
      <c r="H24" s="331"/>
      <c r="I24" s="7"/>
      <c r="J24" s="331"/>
      <c r="K24" s="7"/>
      <c r="L24" s="331"/>
      <c r="M24" s="7"/>
      <c r="N24" s="331"/>
      <c r="O24" s="7"/>
      <c r="P24" s="331"/>
      <c r="Q24" s="7"/>
      <c r="R24" s="331"/>
      <c r="S24" s="7"/>
      <c r="T24" s="331"/>
      <c r="U24" s="7"/>
      <c r="V24" s="331"/>
      <c r="W24" s="7"/>
      <c r="X24" s="331"/>
      <c r="Y24" s="7"/>
      <c r="Z24" s="331"/>
      <c r="AA24" s="7"/>
      <c r="AB24" s="332"/>
    </row>
    <row r="25" spans="1:28" ht="15.75" customHeight="1" x14ac:dyDescent="0.25">
      <c r="A25" s="6"/>
      <c r="B25" s="331"/>
      <c r="C25" s="7"/>
      <c r="D25" s="331"/>
      <c r="E25" s="7"/>
      <c r="F25" s="331"/>
      <c r="G25" s="7"/>
      <c r="H25" s="331"/>
      <c r="I25" s="7"/>
      <c r="J25" s="331"/>
      <c r="K25" s="7"/>
      <c r="L25" s="331"/>
      <c r="M25" s="7"/>
      <c r="N25" s="331"/>
      <c r="O25" s="7"/>
      <c r="P25" s="331"/>
      <c r="Q25" s="7"/>
      <c r="R25" s="331"/>
      <c r="S25" s="7"/>
      <c r="T25" s="331"/>
      <c r="U25" s="7"/>
      <c r="V25" s="331"/>
      <c r="W25" s="7"/>
      <c r="X25" s="331"/>
      <c r="Y25" s="7"/>
      <c r="Z25" s="331"/>
      <c r="AA25" s="7"/>
      <c r="AB25" s="332"/>
    </row>
    <row r="26" spans="1:28" ht="15.75" customHeight="1" x14ac:dyDescent="0.25">
      <c r="A26" s="6"/>
      <c r="B26" s="331"/>
      <c r="C26" s="7"/>
      <c r="D26" s="331"/>
      <c r="E26" s="7"/>
      <c r="F26" s="331"/>
      <c r="G26" s="7"/>
      <c r="H26" s="331"/>
      <c r="I26" s="7"/>
      <c r="J26" s="331"/>
      <c r="K26" s="7"/>
      <c r="L26" s="331"/>
      <c r="M26" s="7"/>
      <c r="N26" s="331"/>
      <c r="O26" s="7"/>
      <c r="P26" s="331"/>
      <c r="Q26" s="7"/>
      <c r="R26" s="331"/>
      <c r="S26" s="7"/>
      <c r="T26" s="331"/>
      <c r="U26" s="7"/>
      <c r="V26" s="331"/>
      <c r="W26" s="7"/>
      <c r="X26" s="331"/>
      <c r="Y26" s="7"/>
      <c r="Z26" s="331"/>
      <c r="AA26" s="7"/>
      <c r="AB26" s="332"/>
    </row>
    <row r="27" spans="1:28" ht="15.75" customHeight="1" x14ac:dyDescent="0.25">
      <c r="A27" s="6"/>
      <c r="B27" s="331"/>
      <c r="C27" s="7"/>
      <c r="D27" s="331"/>
      <c r="E27" s="7"/>
      <c r="F27" s="331"/>
      <c r="G27" s="7"/>
      <c r="H27" s="331"/>
      <c r="I27" s="7"/>
      <c r="J27" s="331"/>
      <c r="K27" s="7"/>
      <c r="L27" s="331"/>
      <c r="M27" s="7"/>
      <c r="N27" s="331"/>
      <c r="O27" s="7"/>
      <c r="P27" s="331"/>
      <c r="Q27" s="7"/>
      <c r="R27" s="331"/>
      <c r="S27" s="7"/>
      <c r="T27" s="331"/>
      <c r="U27" s="7"/>
      <c r="V27" s="331"/>
      <c r="W27" s="7"/>
      <c r="X27" s="331"/>
      <c r="Y27" s="7"/>
      <c r="Z27" s="331"/>
      <c r="AA27" s="7"/>
      <c r="AB27" s="332"/>
    </row>
    <row r="28" spans="1:28" ht="15.75" customHeight="1" x14ac:dyDescent="0.25">
      <c r="A28" s="6"/>
      <c r="B28" s="331"/>
      <c r="C28" s="7"/>
      <c r="D28" s="331"/>
      <c r="E28" s="7"/>
      <c r="F28" s="331"/>
      <c r="G28" s="7"/>
      <c r="H28" s="331"/>
      <c r="I28" s="7"/>
      <c r="J28" s="331"/>
      <c r="K28" s="7"/>
      <c r="L28" s="331"/>
      <c r="M28" s="7"/>
      <c r="N28" s="331"/>
      <c r="O28" s="7"/>
      <c r="P28" s="331"/>
      <c r="Q28" s="7"/>
      <c r="R28" s="331"/>
      <c r="S28" s="7"/>
      <c r="T28" s="331"/>
      <c r="U28" s="7"/>
      <c r="V28" s="331"/>
      <c r="W28" s="7"/>
      <c r="X28" s="331"/>
      <c r="Y28" s="7"/>
      <c r="Z28" s="331"/>
      <c r="AA28" s="7"/>
      <c r="AB28" s="332"/>
    </row>
    <row r="29" spans="1:28" ht="15.75" customHeight="1" x14ac:dyDescent="0.25">
      <c r="A29" s="6"/>
      <c r="B29" s="331"/>
      <c r="C29" s="7"/>
      <c r="D29" s="331"/>
      <c r="E29" s="7"/>
      <c r="F29" s="331"/>
      <c r="G29" s="7"/>
      <c r="H29" s="331"/>
      <c r="I29" s="7"/>
      <c r="J29" s="331"/>
      <c r="K29" s="7"/>
      <c r="L29" s="331"/>
      <c r="M29" s="7"/>
      <c r="N29" s="331"/>
      <c r="O29" s="7"/>
      <c r="P29" s="331"/>
      <c r="Q29" s="7"/>
      <c r="R29" s="331"/>
      <c r="S29" s="7"/>
      <c r="T29" s="331"/>
      <c r="U29" s="7"/>
      <c r="V29" s="331"/>
      <c r="W29" s="7"/>
      <c r="X29" s="331"/>
      <c r="Y29" s="7"/>
      <c r="Z29" s="331"/>
      <c r="AA29" s="7"/>
      <c r="AB29" s="332"/>
    </row>
    <row r="30" spans="1:28" ht="15.75" customHeight="1" x14ac:dyDescent="0.25">
      <c r="A30" s="6"/>
      <c r="B30" s="331"/>
      <c r="C30" s="7"/>
      <c r="D30" s="331"/>
      <c r="E30" s="7"/>
      <c r="F30" s="331"/>
      <c r="G30" s="7"/>
      <c r="H30" s="331"/>
      <c r="I30" s="7"/>
      <c r="J30" s="331"/>
      <c r="K30" s="7"/>
      <c r="L30" s="331"/>
      <c r="M30" s="7"/>
      <c r="N30" s="331"/>
      <c r="O30" s="7"/>
      <c r="P30" s="331"/>
      <c r="Q30" s="7"/>
      <c r="R30" s="331"/>
      <c r="S30" s="7"/>
      <c r="T30" s="331"/>
      <c r="U30" s="7"/>
      <c r="V30" s="331"/>
      <c r="W30" s="7"/>
      <c r="X30" s="331"/>
      <c r="Y30" s="7"/>
      <c r="Z30" s="331"/>
      <c r="AA30" s="7"/>
      <c r="AB30" s="332"/>
    </row>
    <row r="31" spans="1:28" ht="15.75" customHeight="1" x14ac:dyDescent="0.25">
      <c r="A31" s="6"/>
      <c r="B31" s="331"/>
      <c r="C31" s="7"/>
      <c r="D31" s="331"/>
      <c r="E31" s="7"/>
      <c r="F31" s="331"/>
      <c r="G31" s="7"/>
      <c r="H31" s="331"/>
      <c r="I31" s="7"/>
      <c r="J31" s="331"/>
      <c r="K31" s="7"/>
      <c r="L31" s="331"/>
      <c r="M31" s="7"/>
      <c r="N31" s="331"/>
      <c r="O31" s="7"/>
      <c r="P31" s="331"/>
      <c r="Q31" s="7"/>
      <c r="R31" s="331"/>
      <c r="S31" s="7"/>
      <c r="T31" s="331"/>
      <c r="U31" s="7"/>
      <c r="V31" s="331"/>
      <c r="W31" s="7"/>
      <c r="X31" s="331"/>
      <c r="Y31" s="7"/>
      <c r="Z31" s="331"/>
      <c r="AA31" s="7"/>
      <c r="AB31" s="332"/>
    </row>
    <row r="32" spans="1:28" ht="15.75" customHeight="1" x14ac:dyDescent="0.25">
      <c r="A32" s="6"/>
      <c r="B32" s="331"/>
      <c r="C32" s="7"/>
      <c r="D32" s="331"/>
      <c r="E32" s="7"/>
      <c r="F32" s="331"/>
      <c r="G32" s="7"/>
      <c r="H32" s="331"/>
      <c r="I32" s="7"/>
      <c r="J32" s="331"/>
      <c r="K32" s="7"/>
      <c r="L32" s="331"/>
      <c r="M32" s="7"/>
      <c r="N32" s="331"/>
      <c r="O32" s="7"/>
      <c r="P32" s="331"/>
      <c r="Q32" s="7"/>
      <c r="R32" s="331"/>
      <c r="S32" s="7"/>
      <c r="T32" s="331"/>
      <c r="U32" s="7"/>
      <c r="V32" s="331"/>
      <c r="W32" s="7"/>
      <c r="X32" s="331"/>
      <c r="Y32" s="7"/>
      <c r="Z32" s="331"/>
      <c r="AA32" s="7"/>
      <c r="AB32" s="332"/>
    </row>
    <row r="33" spans="1:30" ht="15.75" customHeight="1" x14ac:dyDescent="0.25">
      <c r="A33" s="6"/>
      <c r="B33" s="331"/>
      <c r="C33" s="7"/>
      <c r="D33" s="331"/>
      <c r="E33" s="7"/>
      <c r="F33" s="331"/>
      <c r="G33" s="7"/>
      <c r="H33" s="331"/>
      <c r="I33" s="7"/>
      <c r="J33" s="331"/>
      <c r="K33" s="7"/>
      <c r="L33" s="331"/>
      <c r="M33" s="7"/>
      <c r="N33" s="331"/>
      <c r="O33" s="7"/>
      <c r="P33" s="331"/>
      <c r="Q33" s="7"/>
      <c r="R33" s="331"/>
      <c r="S33" s="7"/>
      <c r="T33" s="331"/>
      <c r="U33" s="7"/>
      <c r="V33" s="331"/>
      <c r="W33" s="7"/>
      <c r="X33" s="331"/>
      <c r="Y33" s="7"/>
      <c r="Z33" s="331"/>
      <c r="AA33" s="7"/>
      <c r="AB33" s="332"/>
    </row>
    <row r="34" spans="1:30" ht="15.75" customHeight="1" x14ac:dyDescent="0.25">
      <c r="A34" s="6"/>
      <c r="B34" s="331"/>
      <c r="C34" s="7"/>
      <c r="D34" s="331"/>
      <c r="E34" s="7"/>
      <c r="F34" s="331"/>
      <c r="G34" s="7"/>
      <c r="H34" s="331"/>
      <c r="I34" s="7"/>
      <c r="J34" s="331"/>
      <c r="K34" s="7"/>
      <c r="L34" s="331"/>
      <c r="M34" s="7"/>
      <c r="N34" s="331"/>
      <c r="O34" s="7"/>
      <c r="P34" s="331"/>
      <c r="Q34" s="7"/>
      <c r="R34" s="331"/>
      <c r="S34" s="7"/>
      <c r="T34" s="331"/>
      <c r="U34" s="7"/>
      <c r="V34" s="331"/>
      <c r="W34" s="7"/>
      <c r="X34" s="331"/>
      <c r="Y34" s="7"/>
      <c r="Z34" s="331"/>
      <c r="AA34" s="7"/>
      <c r="AB34" s="332"/>
    </row>
    <row r="35" spans="1:30" ht="15.75" customHeight="1" x14ac:dyDescent="0.25">
      <c r="A35" s="6"/>
      <c r="B35" s="331"/>
      <c r="C35" s="7"/>
      <c r="D35" s="331"/>
      <c r="E35" s="7"/>
      <c r="F35" s="331"/>
      <c r="G35" s="7"/>
      <c r="H35" s="331"/>
      <c r="I35" s="7"/>
      <c r="J35" s="331"/>
      <c r="K35" s="7"/>
      <c r="L35" s="331"/>
      <c r="M35" s="7"/>
      <c r="N35" s="331"/>
      <c r="O35" s="7"/>
      <c r="P35" s="331"/>
      <c r="Q35" s="7"/>
      <c r="R35" s="331"/>
      <c r="S35" s="7"/>
      <c r="T35" s="331"/>
      <c r="U35" s="7"/>
      <c r="V35" s="331"/>
      <c r="W35" s="7"/>
      <c r="X35" s="331"/>
      <c r="Y35" s="7"/>
      <c r="Z35" s="331"/>
      <c r="AA35" s="7"/>
      <c r="AB35" s="332"/>
    </row>
    <row r="36" spans="1:30" ht="15.75" customHeight="1" x14ac:dyDescent="0.25">
      <c r="A36" s="4"/>
      <c r="B36" s="331"/>
      <c r="C36" s="5"/>
      <c r="D36" s="331"/>
      <c r="E36" s="5"/>
      <c r="F36" s="331"/>
      <c r="G36" s="5"/>
      <c r="H36" s="331"/>
      <c r="I36" s="5"/>
      <c r="J36" s="331"/>
      <c r="K36" s="5"/>
      <c r="L36" s="331"/>
      <c r="M36" s="5"/>
      <c r="N36" s="331"/>
      <c r="O36" s="5"/>
      <c r="P36" s="331"/>
      <c r="Q36" s="5"/>
      <c r="R36" s="331"/>
      <c r="S36" s="5"/>
      <c r="T36" s="331"/>
      <c r="U36" s="5"/>
      <c r="V36" s="331"/>
      <c r="W36" s="5"/>
      <c r="X36" s="331"/>
      <c r="Y36" s="5"/>
      <c r="Z36" s="331"/>
      <c r="AA36" s="5"/>
      <c r="AB36" s="332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24">
        <f>SUM(A38:AC38)</f>
        <v>8105.7</v>
      </c>
      <c r="B40" s="325"/>
      <c r="C40" s="325"/>
      <c r="D40" s="326"/>
    </row>
    <row r="41" spans="1:30" ht="15.75" customHeight="1" x14ac:dyDescent="0.25">
      <c r="A41" s="327"/>
      <c r="B41" s="328"/>
      <c r="C41" s="328"/>
      <c r="D41" s="329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986"/>
  <sheetViews>
    <sheetView tabSelected="1" zoomScale="129" zoomScaleNormal="129" zoomScalePageLayoutView="55" workbookViewId="0">
      <selection sqref="A1:K1"/>
    </sheetView>
  </sheetViews>
  <sheetFormatPr defaultColWidth="9.140625" defaultRowHeight="26.25" x14ac:dyDescent="0.4"/>
  <cols>
    <col min="1" max="1" width="14.7109375" style="183" customWidth="1"/>
    <col min="2" max="3" width="14.7109375" style="64" customWidth="1"/>
    <col min="4" max="4" width="8.7109375" style="64" customWidth="1"/>
    <col min="5" max="5" width="21.7109375" style="64" customWidth="1"/>
    <col min="6" max="11" width="21.7109375" style="65" customWidth="1"/>
    <col min="12" max="16384" width="9.140625" style="64"/>
  </cols>
  <sheetData>
    <row r="1" spans="1:24" ht="24.95" customHeight="1" thickBot="1" x14ac:dyDescent="0.45">
      <c r="A1" s="338" t="s">
        <v>15</v>
      </c>
      <c r="B1" s="339"/>
      <c r="C1" s="339"/>
      <c r="D1" s="339"/>
      <c r="E1" s="339"/>
      <c r="F1" s="339"/>
      <c r="G1" s="339"/>
      <c r="H1" s="339"/>
      <c r="I1" s="339"/>
      <c r="J1" s="339"/>
      <c r="K1" s="340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1.95" customHeight="1" thickBot="1" x14ac:dyDescent="0.45">
      <c r="A2" s="350" t="s">
        <v>18</v>
      </c>
      <c r="B2" s="351"/>
      <c r="C2" s="352"/>
      <c r="D2" s="112" t="s">
        <v>27</v>
      </c>
      <c r="E2" s="113" t="s">
        <v>4</v>
      </c>
      <c r="F2" s="114" t="s">
        <v>16</v>
      </c>
      <c r="G2" s="115" t="s">
        <v>17</v>
      </c>
      <c r="H2" s="115" t="s">
        <v>3</v>
      </c>
      <c r="I2" s="115" t="s">
        <v>2</v>
      </c>
      <c r="J2" s="115" t="s">
        <v>6</v>
      </c>
      <c r="K2" s="116" t="s">
        <v>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</row>
    <row r="3" spans="1:24" s="73" customFormat="1" ht="18.600000000000001" customHeight="1" x14ac:dyDescent="0.35">
      <c r="A3" s="117" t="s">
        <v>30</v>
      </c>
      <c r="B3" s="356" t="s">
        <v>7</v>
      </c>
      <c r="C3" s="357"/>
      <c r="D3" s="118">
        <v>102</v>
      </c>
      <c r="E3" s="119">
        <f>SUM(F3:K3)</f>
        <v>8.7850000000000001</v>
      </c>
      <c r="F3" s="120"/>
      <c r="G3" s="121">
        <f>'STOK DETAY'!D6</f>
        <v>8.7850000000000001</v>
      </c>
      <c r="H3" s="121"/>
      <c r="I3" s="121"/>
      <c r="J3" s="121"/>
      <c r="K3" s="122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</row>
    <row r="4" spans="1:24" s="73" customFormat="1" ht="18.600000000000001" customHeight="1" x14ac:dyDescent="0.35">
      <c r="A4" s="123" t="s">
        <v>31</v>
      </c>
      <c r="B4" s="358" t="s">
        <v>7</v>
      </c>
      <c r="C4" s="359"/>
      <c r="D4" s="124">
        <v>102</v>
      </c>
      <c r="E4" s="125">
        <f>SUM(F4:K4)</f>
        <v>0</v>
      </c>
      <c r="F4" s="126"/>
      <c r="G4" s="127">
        <f>'STOK DETAY'!E6</f>
        <v>0</v>
      </c>
      <c r="H4" s="127"/>
      <c r="I4" s="127"/>
      <c r="J4" s="127"/>
      <c r="K4" s="128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</row>
    <row r="5" spans="1:24" s="73" customFormat="1" ht="18.600000000000001" customHeight="1" x14ac:dyDescent="0.35">
      <c r="A5" s="123" t="s">
        <v>32</v>
      </c>
      <c r="B5" s="358" t="s">
        <v>7</v>
      </c>
      <c r="C5" s="359"/>
      <c r="D5" s="124">
        <v>102</v>
      </c>
      <c r="E5" s="125">
        <f>SUM(F5:K5)</f>
        <v>33.14</v>
      </c>
      <c r="F5" s="126"/>
      <c r="G5" s="127">
        <f>'STOK DETAY'!F6</f>
        <v>33.14</v>
      </c>
      <c r="H5" s="127"/>
      <c r="I5" s="127"/>
      <c r="J5" s="127"/>
      <c r="K5" s="128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</row>
    <row r="6" spans="1:24" s="73" customFormat="1" ht="18.600000000000001" customHeight="1" thickBot="1" x14ac:dyDescent="0.4">
      <c r="A6" s="129" t="s">
        <v>33</v>
      </c>
      <c r="B6" s="363" t="s">
        <v>7</v>
      </c>
      <c r="C6" s="364"/>
      <c r="D6" s="130"/>
      <c r="E6" s="131">
        <f>SUM(F6:K6)</f>
        <v>0</v>
      </c>
      <c r="F6" s="132"/>
      <c r="G6" s="133">
        <f>'STOK DETAY'!G6</f>
        <v>0</v>
      </c>
      <c r="H6" s="133"/>
      <c r="I6" s="133"/>
      <c r="J6" s="133"/>
      <c r="K6" s="13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</row>
    <row r="7" spans="1:24" ht="21.95" customHeight="1" thickBot="1" x14ac:dyDescent="0.45">
      <c r="A7" s="347" t="s">
        <v>4</v>
      </c>
      <c r="B7" s="348"/>
      <c r="C7" s="348"/>
      <c r="D7" s="349"/>
      <c r="E7" s="135">
        <f>SUM(F7:K7)</f>
        <v>41.924999999999997</v>
      </c>
      <c r="F7" s="136">
        <f>SUM(F3:F6)</f>
        <v>0</v>
      </c>
      <c r="G7" s="137">
        <f t="shared" ref="G7:J7" si="0">SUM(G3:G6)</f>
        <v>41.924999999999997</v>
      </c>
      <c r="H7" s="137">
        <f>SUM(H3:H6)</f>
        <v>0</v>
      </c>
      <c r="I7" s="137">
        <f>SUM(I3:I6)</f>
        <v>0</v>
      </c>
      <c r="J7" s="137">
        <f t="shared" si="0"/>
        <v>0</v>
      </c>
      <c r="K7" s="138">
        <f>SUM(K3:K6)</f>
        <v>0</v>
      </c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</row>
    <row r="8" spans="1:24" ht="21.95" customHeight="1" thickBot="1" x14ac:dyDescent="0.45">
      <c r="A8" s="365" t="s">
        <v>14</v>
      </c>
      <c r="B8" s="366"/>
      <c r="C8" s="367"/>
      <c r="D8" s="113" t="s">
        <v>27</v>
      </c>
      <c r="E8" s="113" t="s">
        <v>4</v>
      </c>
      <c r="F8" s="177" t="s">
        <v>16</v>
      </c>
      <c r="G8" s="178" t="s">
        <v>17</v>
      </c>
      <c r="H8" s="178" t="s">
        <v>3</v>
      </c>
      <c r="I8" s="178" t="s">
        <v>2</v>
      </c>
      <c r="J8" s="178" t="s">
        <v>6</v>
      </c>
      <c r="K8" s="179" t="s">
        <v>5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</row>
    <row r="9" spans="1:24" s="73" customFormat="1" ht="18.600000000000001" customHeight="1" x14ac:dyDescent="0.35">
      <c r="A9" s="117" t="s">
        <v>34</v>
      </c>
      <c r="B9" s="139" t="s">
        <v>7</v>
      </c>
      <c r="C9" s="140" t="s">
        <v>14</v>
      </c>
      <c r="D9" s="141">
        <v>312</v>
      </c>
      <c r="E9" s="119">
        <f t="shared" ref="E9:E52" si="1">SUM(F9:K9)</f>
        <v>92.75</v>
      </c>
      <c r="F9" s="120">
        <f>'STOK DETAY'!H6</f>
        <v>92.75</v>
      </c>
      <c r="G9" s="121"/>
      <c r="H9" s="121"/>
      <c r="I9" s="121"/>
      <c r="J9" s="121"/>
      <c r="K9" s="122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</row>
    <row r="10" spans="1:24" s="73" customFormat="1" ht="18.600000000000001" customHeight="1" x14ac:dyDescent="0.35">
      <c r="A10" s="117">
        <v>0.15</v>
      </c>
      <c r="B10" s="169" t="s">
        <v>7</v>
      </c>
      <c r="C10" s="170" t="s">
        <v>14</v>
      </c>
      <c r="D10" s="141">
        <v>113</v>
      </c>
      <c r="E10" s="125">
        <f t="shared" si="1"/>
        <v>2.1</v>
      </c>
      <c r="F10" s="171">
        <f>'STOK DETAY'!I6</f>
        <v>2.1</v>
      </c>
      <c r="G10" s="172"/>
      <c r="H10" s="172"/>
      <c r="I10" s="172"/>
      <c r="J10" s="172"/>
      <c r="K10" s="173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</row>
    <row r="11" spans="1:24" s="73" customFormat="1" ht="18.600000000000001" customHeight="1" x14ac:dyDescent="0.35">
      <c r="A11" s="123">
        <v>0.16</v>
      </c>
      <c r="B11" s="142" t="s">
        <v>7</v>
      </c>
      <c r="C11" s="143" t="s">
        <v>14</v>
      </c>
      <c r="D11" s="144">
        <v>113</v>
      </c>
      <c r="E11" s="125">
        <f t="shared" si="1"/>
        <v>32.06</v>
      </c>
      <c r="F11" s="145">
        <f>'STOK DETAY'!J6</f>
        <v>32.06</v>
      </c>
      <c r="G11" s="146"/>
      <c r="H11" s="146"/>
      <c r="I11" s="146"/>
      <c r="J11" s="146"/>
      <c r="K11" s="147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</row>
    <row r="12" spans="1:24" s="73" customFormat="1" ht="18.600000000000001" customHeight="1" x14ac:dyDescent="0.35">
      <c r="A12" s="123">
        <v>0.2</v>
      </c>
      <c r="B12" s="148" t="s">
        <v>7</v>
      </c>
      <c r="C12" s="143" t="s">
        <v>14</v>
      </c>
      <c r="D12" s="144">
        <v>103</v>
      </c>
      <c r="E12" s="125">
        <f t="shared" si="1"/>
        <v>0</v>
      </c>
      <c r="F12" s="145">
        <f>'STOK DETAY'!K6</f>
        <v>0</v>
      </c>
      <c r="G12" s="146"/>
      <c r="H12" s="146"/>
      <c r="I12" s="146"/>
      <c r="J12" s="146"/>
      <c r="K12" s="147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</row>
    <row r="13" spans="1:24" s="73" customFormat="1" ht="18.600000000000001" customHeight="1" x14ac:dyDescent="0.35">
      <c r="A13" s="123">
        <v>0.25</v>
      </c>
      <c r="B13" s="148" t="s">
        <v>7</v>
      </c>
      <c r="C13" s="143" t="s">
        <v>14</v>
      </c>
      <c r="D13" s="144">
        <v>103</v>
      </c>
      <c r="E13" s="125">
        <f t="shared" si="1"/>
        <v>2.5150000000000001</v>
      </c>
      <c r="F13" s="145">
        <f>'STOK DETAY'!L6</f>
        <v>0</v>
      </c>
      <c r="G13" s="146"/>
      <c r="H13" s="146">
        <f>'STOK DETAY'!M6</f>
        <v>2.5150000000000001</v>
      </c>
      <c r="I13" s="146"/>
      <c r="J13" s="146"/>
      <c r="K13" s="147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</row>
    <row r="14" spans="1:24" s="73" customFormat="1" ht="18.600000000000001" customHeight="1" x14ac:dyDescent="0.35">
      <c r="A14" s="123">
        <v>0.28000000000000003</v>
      </c>
      <c r="B14" s="148" t="s">
        <v>8</v>
      </c>
      <c r="C14" s="143" t="s">
        <v>14</v>
      </c>
      <c r="D14" s="144">
        <v>212</v>
      </c>
      <c r="E14" s="125">
        <f t="shared" si="1"/>
        <v>89.04</v>
      </c>
      <c r="F14" s="145">
        <f>'STOK DETAY'!N6</f>
        <v>89.04</v>
      </c>
      <c r="G14" s="146"/>
      <c r="H14" s="146"/>
      <c r="I14" s="146"/>
      <c r="J14" s="146"/>
      <c r="K14" s="147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</row>
    <row r="15" spans="1:24" s="73" customFormat="1" ht="18.600000000000001" customHeight="1" x14ac:dyDescent="0.35">
      <c r="A15" s="123">
        <v>0.3</v>
      </c>
      <c r="B15" s="148" t="s">
        <v>7</v>
      </c>
      <c r="C15" s="143" t="s">
        <v>14</v>
      </c>
      <c r="D15" s="144">
        <v>201</v>
      </c>
      <c r="E15" s="125">
        <f t="shared" si="1"/>
        <v>5.5750000000000002</v>
      </c>
      <c r="F15" s="145">
        <f>'STOK DETAY'!O6</f>
        <v>0</v>
      </c>
      <c r="G15" s="146"/>
      <c r="H15" s="146">
        <f>'STOK DETAY'!P6</f>
        <v>5.5750000000000002</v>
      </c>
      <c r="I15" s="149"/>
      <c r="J15" s="146"/>
      <c r="K15" s="147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</row>
    <row r="16" spans="1:24" s="73" customFormat="1" ht="18.600000000000001" customHeight="1" x14ac:dyDescent="0.35">
      <c r="A16" s="123">
        <v>0.35</v>
      </c>
      <c r="B16" s="148" t="s">
        <v>7</v>
      </c>
      <c r="C16" s="143" t="s">
        <v>14</v>
      </c>
      <c r="D16" s="144">
        <v>201</v>
      </c>
      <c r="E16" s="125">
        <f t="shared" si="1"/>
        <v>8.3949999999999996</v>
      </c>
      <c r="F16" s="145">
        <f>'STOK DETAY'!Q6</f>
        <v>0</v>
      </c>
      <c r="G16" s="146"/>
      <c r="H16" s="146">
        <f>'STOK DETAY'!R6</f>
        <v>8.3949999999999996</v>
      </c>
      <c r="I16" s="146"/>
      <c r="J16" s="146"/>
      <c r="K16" s="147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</row>
    <row r="17" spans="1:24" s="73" customFormat="1" ht="18.600000000000001" customHeight="1" x14ac:dyDescent="0.35">
      <c r="A17" s="123">
        <v>0.4</v>
      </c>
      <c r="B17" s="148" t="s">
        <v>7</v>
      </c>
      <c r="C17" s="143" t="s">
        <v>14</v>
      </c>
      <c r="D17" s="144">
        <v>202</v>
      </c>
      <c r="E17" s="125">
        <f t="shared" si="1"/>
        <v>8.41</v>
      </c>
      <c r="F17" s="145">
        <f>'STOK DETAY'!S6</f>
        <v>0</v>
      </c>
      <c r="G17" s="146"/>
      <c r="H17" s="146">
        <f>'STOK DETAY'!T6</f>
        <v>8.41</v>
      </c>
      <c r="I17" s="146"/>
      <c r="J17" s="146"/>
      <c r="K17" s="147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</row>
    <row r="18" spans="1:24" s="73" customFormat="1" ht="18.600000000000001" customHeight="1" x14ac:dyDescent="0.35">
      <c r="A18" s="123">
        <v>0.45</v>
      </c>
      <c r="B18" s="148" t="s">
        <v>7</v>
      </c>
      <c r="C18" s="143" t="s">
        <v>14</v>
      </c>
      <c r="D18" s="144">
        <v>202</v>
      </c>
      <c r="E18" s="125">
        <f t="shared" si="1"/>
        <v>5.9649999999999999</v>
      </c>
      <c r="F18" s="145">
        <f>'STOK DETAY'!U6</f>
        <v>0</v>
      </c>
      <c r="G18" s="146">
        <f>'STOK DETAY'!V6</f>
        <v>0</v>
      </c>
      <c r="H18" s="146">
        <f>'STOK DETAY'!W6</f>
        <v>5.9649999999999999</v>
      </c>
      <c r="I18" s="146"/>
      <c r="J18" s="146"/>
      <c r="K18" s="147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</row>
    <row r="19" spans="1:24" s="73" customFormat="1" ht="18.600000000000001" customHeight="1" x14ac:dyDescent="0.35">
      <c r="A19" s="126">
        <v>0.47499999999999998</v>
      </c>
      <c r="B19" s="148" t="s">
        <v>7</v>
      </c>
      <c r="C19" s="143" t="s">
        <v>14</v>
      </c>
      <c r="D19" s="144">
        <v>212</v>
      </c>
      <c r="E19" s="125">
        <f t="shared" si="1"/>
        <v>24.22</v>
      </c>
      <c r="F19" s="145">
        <f>'STOK DETAY'!X6</f>
        <v>24.22</v>
      </c>
      <c r="G19" s="146"/>
      <c r="H19" s="146"/>
      <c r="I19" s="146"/>
      <c r="J19" s="146"/>
      <c r="K19" s="147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</row>
    <row r="20" spans="1:24" s="73" customFormat="1" ht="18.600000000000001" customHeight="1" x14ac:dyDescent="0.35">
      <c r="A20" s="123">
        <v>0.5</v>
      </c>
      <c r="B20" s="148" t="s">
        <v>7</v>
      </c>
      <c r="C20" s="176" t="s">
        <v>14</v>
      </c>
      <c r="D20" s="144">
        <v>203</v>
      </c>
      <c r="E20" s="125">
        <f t="shared" si="1"/>
        <v>16.86</v>
      </c>
      <c r="F20" s="145">
        <f>'STOK DETAY'!Y6</f>
        <v>0</v>
      </c>
      <c r="G20" s="146"/>
      <c r="H20" s="146">
        <f>'STOK DETAY'!AA6</f>
        <v>16.86</v>
      </c>
      <c r="I20" s="146"/>
      <c r="J20" s="146"/>
      <c r="K20" s="147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</row>
    <row r="21" spans="1:24" s="73" customFormat="1" ht="18.600000000000001" customHeight="1" x14ac:dyDescent="0.35">
      <c r="A21" s="123">
        <v>0.55000000000000004</v>
      </c>
      <c r="B21" s="148" t="s">
        <v>7</v>
      </c>
      <c r="C21" s="176" t="s">
        <v>14</v>
      </c>
      <c r="D21" s="144">
        <v>203</v>
      </c>
      <c r="E21" s="125">
        <f t="shared" si="1"/>
        <v>0</v>
      </c>
      <c r="F21" s="145">
        <f>'STOK DETAY'!AB6</f>
        <v>0</v>
      </c>
      <c r="G21" s="146">
        <f>'STOK DETAY'!AC6</f>
        <v>0</v>
      </c>
      <c r="H21" s="146">
        <f>'STOK DETAY'!AD6</f>
        <v>0</v>
      </c>
      <c r="I21" s="146"/>
      <c r="J21" s="146"/>
      <c r="K21" s="147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</row>
    <row r="22" spans="1:24" s="73" customFormat="1" ht="18.600000000000001" customHeight="1" x14ac:dyDescent="0.35">
      <c r="A22" s="123">
        <v>0.6</v>
      </c>
      <c r="B22" s="148" t="s">
        <v>7</v>
      </c>
      <c r="C22" s="176" t="s">
        <v>14</v>
      </c>
      <c r="D22" s="144">
        <v>301</v>
      </c>
      <c r="E22" s="125">
        <f t="shared" si="1"/>
        <v>0</v>
      </c>
      <c r="F22" s="145">
        <f>'STOK DETAY'!AE6</f>
        <v>0</v>
      </c>
      <c r="G22" s="146">
        <f>'STOK DETAY'!AF6</f>
        <v>0</v>
      </c>
      <c r="H22" s="146">
        <f>'STOK DETAY'!AG6</f>
        <v>0</v>
      </c>
      <c r="I22" s="146"/>
      <c r="J22" s="146"/>
      <c r="K22" s="147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</row>
    <row r="23" spans="1:24" s="73" customFormat="1" ht="18.600000000000001" customHeight="1" x14ac:dyDescent="0.35">
      <c r="A23" s="123">
        <v>0.65</v>
      </c>
      <c r="B23" s="148" t="s">
        <v>7</v>
      </c>
      <c r="C23" s="176" t="s">
        <v>14</v>
      </c>
      <c r="D23" s="144">
        <v>301</v>
      </c>
      <c r="E23" s="125">
        <f t="shared" si="1"/>
        <v>0</v>
      </c>
      <c r="F23" s="145">
        <f>'STOK DETAY'!AH6</f>
        <v>0</v>
      </c>
      <c r="G23" s="146">
        <f>'STOK DETAY'!AI6</f>
        <v>0</v>
      </c>
      <c r="H23" s="146">
        <f>'STOK DETAY'!AJ6</f>
        <v>0</v>
      </c>
      <c r="I23" s="146"/>
      <c r="J23" s="146"/>
      <c r="K23" s="147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</row>
    <row r="24" spans="1:24" s="73" customFormat="1" ht="18.600000000000001" customHeight="1" x14ac:dyDescent="0.35">
      <c r="A24" s="123">
        <v>0.7</v>
      </c>
      <c r="B24" s="148" t="s">
        <v>7</v>
      </c>
      <c r="C24" s="176" t="s">
        <v>14</v>
      </c>
      <c r="D24" s="144">
        <v>302</v>
      </c>
      <c r="E24" s="125">
        <f t="shared" si="1"/>
        <v>0</v>
      </c>
      <c r="F24" s="145">
        <f>'STOK DETAY'!AK6</f>
        <v>0</v>
      </c>
      <c r="G24" s="146">
        <f>'STOK DETAY'!AL6</f>
        <v>0</v>
      </c>
      <c r="H24" s="146">
        <f>'STOK DETAY'!AM6</f>
        <v>0</v>
      </c>
      <c r="I24" s="146"/>
      <c r="J24" s="146"/>
      <c r="K24" s="147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spans="1:24" s="73" customFormat="1" ht="18.600000000000001" customHeight="1" x14ac:dyDescent="0.35">
      <c r="A25" s="123">
        <v>0.75</v>
      </c>
      <c r="B25" s="148" t="s">
        <v>7</v>
      </c>
      <c r="C25" s="176" t="s">
        <v>14</v>
      </c>
      <c r="D25" s="144">
        <v>302</v>
      </c>
      <c r="E25" s="125">
        <f t="shared" si="1"/>
        <v>42.28</v>
      </c>
      <c r="F25" s="188">
        <f>'STOK DETAY'!AN6</f>
        <v>0</v>
      </c>
      <c r="G25" s="146">
        <f>'STOK DETAY'!AO6</f>
        <v>8.4</v>
      </c>
      <c r="H25" s="146">
        <f>'STOK DETAY'!AP6</f>
        <v>33.880000000000003</v>
      </c>
      <c r="I25" s="146"/>
      <c r="J25" s="146"/>
      <c r="K25" s="147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spans="1:24" s="73" customFormat="1" ht="18.600000000000001" customHeight="1" x14ac:dyDescent="0.35">
      <c r="A26" s="123">
        <v>0.8</v>
      </c>
      <c r="B26" s="148" t="s">
        <v>7</v>
      </c>
      <c r="C26" s="176" t="s">
        <v>14</v>
      </c>
      <c r="D26" s="144">
        <v>303</v>
      </c>
      <c r="E26" s="125">
        <f t="shared" si="1"/>
        <v>17.22</v>
      </c>
      <c r="F26" s="145">
        <f>'STOK DETAY'!AQ6</f>
        <v>0</v>
      </c>
      <c r="G26" s="146">
        <f>'STOK DETAY'!AR6</f>
        <v>8.7850000000000001</v>
      </c>
      <c r="H26" s="146">
        <f>'STOK DETAY'!AS6</f>
        <v>8.4350000000000005</v>
      </c>
      <c r="I26" s="146"/>
      <c r="J26" s="146"/>
      <c r="K26" s="147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</row>
    <row r="27" spans="1:24" s="73" customFormat="1" ht="18.600000000000001" customHeight="1" x14ac:dyDescent="0.35">
      <c r="A27" s="123">
        <v>0.85</v>
      </c>
      <c r="B27" s="148" t="s">
        <v>7</v>
      </c>
      <c r="C27" s="176" t="s">
        <v>14</v>
      </c>
      <c r="D27" s="144">
        <v>303</v>
      </c>
      <c r="E27" s="125">
        <f t="shared" si="1"/>
        <v>8.4949999999999992</v>
      </c>
      <c r="F27" s="145">
        <f>'STOK DETAY'!AT6</f>
        <v>0</v>
      </c>
      <c r="G27" s="146">
        <f>'STOK DETAY'!AU6</f>
        <v>0</v>
      </c>
      <c r="H27" s="146">
        <f>'STOK DETAY'!AV6</f>
        <v>8.4949999999999992</v>
      </c>
      <c r="I27" s="146"/>
      <c r="J27" s="146"/>
      <c r="K27" s="147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</row>
    <row r="28" spans="1:24" s="73" customFormat="1" ht="18.600000000000001" customHeight="1" x14ac:dyDescent="0.35">
      <c r="A28" s="123">
        <v>0.9</v>
      </c>
      <c r="B28" s="148" t="s">
        <v>7</v>
      </c>
      <c r="C28" s="176" t="s">
        <v>14</v>
      </c>
      <c r="D28" s="144">
        <v>401</v>
      </c>
      <c r="E28" s="125">
        <f t="shared" si="1"/>
        <v>0</v>
      </c>
      <c r="F28" s="145">
        <f>'STOK DETAY'!AW6</f>
        <v>0</v>
      </c>
      <c r="G28" s="146">
        <f>'STOK DETAY'!AX6</f>
        <v>0</v>
      </c>
      <c r="H28" s="146">
        <f>'STOK DETAY'!AY6</f>
        <v>0</v>
      </c>
      <c r="I28" s="146"/>
      <c r="J28" s="146"/>
      <c r="K28" s="147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</row>
    <row r="29" spans="1:24" s="73" customFormat="1" ht="18.600000000000001" customHeight="1" x14ac:dyDescent="0.35">
      <c r="A29" s="123">
        <v>0.95</v>
      </c>
      <c r="B29" s="148" t="s">
        <v>7</v>
      </c>
      <c r="C29" s="176" t="s">
        <v>14</v>
      </c>
      <c r="D29" s="144">
        <v>401</v>
      </c>
      <c r="E29" s="125">
        <f t="shared" si="1"/>
        <v>17.14</v>
      </c>
      <c r="F29" s="145">
        <f>'STOK DETAY'!AZ6</f>
        <v>0</v>
      </c>
      <c r="G29" s="146">
        <f>'STOK DETAY'!BA6</f>
        <v>0</v>
      </c>
      <c r="H29" s="146">
        <f>'STOK DETAY'!BB6</f>
        <v>17.14</v>
      </c>
      <c r="I29" s="146"/>
      <c r="J29" s="146"/>
      <c r="K29" s="147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</row>
    <row r="30" spans="1:24" s="73" customFormat="1" ht="18.600000000000001" customHeight="1" x14ac:dyDescent="0.35">
      <c r="A30" s="123">
        <v>1</v>
      </c>
      <c r="B30" s="148" t="s">
        <v>7</v>
      </c>
      <c r="C30" s="176" t="s">
        <v>14</v>
      </c>
      <c r="D30" s="144">
        <v>402</v>
      </c>
      <c r="E30" s="125">
        <f t="shared" si="1"/>
        <v>17.03</v>
      </c>
      <c r="F30" s="145">
        <f>'STOK DETAY'!BC6</f>
        <v>0</v>
      </c>
      <c r="G30" s="146">
        <f>'STOK DETAY'!BD6</f>
        <v>0</v>
      </c>
      <c r="H30" s="146">
        <f>'STOK DETAY'!BE6</f>
        <v>17.03</v>
      </c>
      <c r="I30" s="146"/>
      <c r="J30" s="146"/>
      <c r="K30" s="147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</row>
    <row r="31" spans="1:24" s="73" customFormat="1" ht="18.600000000000001" customHeight="1" x14ac:dyDescent="0.35">
      <c r="A31" s="123">
        <v>1.05</v>
      </c>
      <c r="B31" s="148" t="s">
        <v>7</v>
      </c>
      <c r="C31" s="176" t="s">
        <v>14</v>
      </c>
      <c r="D31" s="144">
        <v>402</v>
      </c>
      <c r="E31" s="125">
        <f t="shared" si="1"/>
        <v>0</v>
      </c>
      <c r="F31" s="145">
        <f>'STOK DETAY'!BF6</f>
        <v>0</v>
      </c>
      <c r="G31" s="146">
        <f>'STOK DETAY'!BG6</f>
        <v>0</v>
      </c>
      <c r="H31" s="146">
        <f>'STOK DETAY'!BH6</f>
        <v>0</v>
      </c>
      <c r="I31" s="146"/>
      <c r="J31" s="146"/>
      <c r="K31" s="147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</row>
    <row r="32" spans="1:24" s="73" customFormat="1" ht="18.600000000000001" customHeight="1" x14ac:dyDescent="0.35">
      <c r="A32" s="123">
        <v>1.1000000000000001</v>
      </c>
      <c r="B32" s="148" t="s">
        <v>7</v>
      </c>
      <c r="C32" s="176" t="s">
        <v>14</v>
      </c>
      <c r="D32" s="144">
        <v>403</v>
      </c>
      <c r="E32" s="125">
        <f t="shared" si="1"/>
        <v>8.3699999999999992</v>
      </c>
      <c r="F32" s="145">
        <f>'STOK DETAY'!BI6</f>
        <v>0</v>
      </c>
      <c r="G32" s="146">
        <f>'STOK DETAY'!BJ6</f>
        <v>0</v>
      </c>
      <c r="H32" s="146">
        <f>'STOK DETAY'!BK6</f>
        <v>0</v>
      </c>
      <c r="I32" s="146"/>
      <c r="J32" s="146">
        <f>'STOK DETAY'!BL6</f>
        <v>8.3699999999999992</v>
      </c>
      <c r="K32" s="147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</row>
    <row r="33" spans="1:24" s="73" customFormat="1" ht="18.600000000000001" customHeight="1" x14ac:dyDescent="0.35">
      <c r="A33" s="123">
        <v>1.1499999999999999</v>
      </c>
      <c r="B33" s="148" t="s">
        <v>7</v>
      </c>
      <c r="C33" s="176" t="s">
        <v>14</v>
      </c>
      <c r="D33" s="144">
        <v>403</v>
      </c>
      <c r="E33" s="125">
        <f t="shared" si="1"/>
        <v>16.68</v>
      </c>
      <c r="F33" s="145">
        <f>'STOK DETAY'!BM6</f>
        <v>0</v>
      </c>
      <c r="G33" s="146">
        <f>'STOK DETAY'!BN6</f>
        <v>16.68</v>
      </c>
      <c r="H33" s="146">
        <f>'STOK DETAY'!BO6</f>
        <v>0</v>
      </c>
      <c r="I33" s="146"/>
      <c r="J33" s="146">
        <f>'STOK DETAY'!BP6</f>
        <v>0</v>
      </c>
      <c r="K33" s="147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spans="1:24" s="73" customFormat="1" ht="18.600000000000001" customHeight="1" x14ac:dyDescent="0.35">
      <c r="A34" s="123">
        <v>1.2</v>
      </c>
      <c r="B34" s="148" t="s">
        <v>7</v>
      </c>
      <c r="C34" s="176" t="s">
        <v>14</v>
      </c>
      <c r="D34" s="144">
        <v>501</v>
      </c>
      <c r="E34" s="125">
        <f t="shared" si="1"/>
        <v>0</v>
      </c>
      <c r="F34" s="145">
        <f>'STOK DETAY'!BQ6</f>
        <v>0</v>
      </c>
      <c r="G34" s="146">
        <f>'STOK DETAY'!BR6</f>
        <v>0</v>
      </c>
      <c r="H34" s="146">
        <f>'STOK DETAY'!BS6</f>
        <v>0</v>
      </c>
      <c r="J34" s="146"/>
      <c r="K34" s="147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</row>
    <row r="35" spans="1:24" s="73" customFormat="1" ht="18.600000000000001" customHeight="1" x14ac:dyDescent="0.35">
      <c r="A35" s="123">
        <v>1.25</v>
      </c>
      <c r="B35" s="148" t="s">
        <v>7</v>
      </c>
      <c r="C35" s="176" t="s">
        <v>14</v>
      </c>
      <c r="D35" s="144">
        <v>501</v>
      </c>
      <c r="E35" s="125">
        <f t="shared" si="1"/>
        <v>8.4550000000000001</v>
      </c>
      <c r="F35" s="145">
        <f>'STOK DETAY'!BT6</f>
        <v>0</v>
      </c>
      <c r="G35" s="146">
        <f>'STOK DETAY'!BU6</f>
        <v>0</v>
      </c>
      <c r="H35" s="146">
        <f>'STOK DETAY'!BV6</f>
        <v>8.4550000000000001</v>
      </c>
      <c r="I35" s="146"/>
      <c r="J35" s="146"/>
      <c r="K35" s="147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</row>
    <row r="36" spans="1:24" s="73" customFormat="1" ht="18.600000000000001" customHeight="1" x14ac:dyDescent="0.35">
      <c r="A36" s="123">
        <v>1.3</v>
      </c>
      <c r="B36" s="148" t="s">
        <v>7</v>
      </c>
      <c r="C36" s="176" t="s">
        <v>14</v>
      </c>
      <c r="D36" s="144">
        <v>502</v>
      </c>
      <c r="E36" s="125">
        <f t="shared" si="1"/>
        <v>0</v>
      </c>
      <c r="F36" s="145">
        <f>'STOK DETAY'!BW6</f>
        <v>0</v>
      </c>
      <c r="G36" s="146">
        <f>'STOK DETAY'!BX6</f>
        <v>0</v>
      </c>
      <c r="H36" s="146">
        <f>'STOK DETAY'!BY6</f>
        <v>0</v>
      </c>
      <c r="I36" s="146"/>
      <c r="J36" s="146"/>
      <c r="K36" s="147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</row>
    <row r="37" spans="1:24" s="73" customFormat="1" ht="18.600000000000001" customHeight="1" x14ac:dyDescent="0.35">
      <c r="A37" s="123">
        <v>1.35</v>
      </c>
      <c r="B37" s="148" t="s">
        <v>7</v>
      </c>
      <c r="C37" s="176" t="s">
        <v>14</v>
      </c>
      <c r="D37" s="144">
        <v>502</v>
      </c>
      <c r="E37" s="125">
        <f t="shared" si="1"/>
        <v>41.23</v>
      </c>
      <c r="F37" s="145">
        <f>'STOK DETAY'!BZ6</f>
        <v>31.04</v>
      </c>
      <c r="G37" s="146"/>
      <c r="H37" s="146"/>
      <c r="I37" s="146"/>
      <c r="J37" s="146">
        <f>'STOK DETAY'!CA6</f>
        <v>8.44</v>
      </c>
      <c r="K37" s="147">
        <f>'STOK DETAY'!CB6</f>
        <v>1.75</v>
      </c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</row>
    <row r="38" spans="1:24" s="73" customFormat="1" ht="18.600000000000001" customHeight="1" x14ac:dyDescent="0.35">
      <c r="A38" s="123">
        <v>1.4</v>
      </c>
      <c r="B38" s="148" t="s">
        <v>7</v>
      </c>
      <c r="C38" s="176" t="s">
        <v>14</v>
      </c>
      <c r="D38" s="144">
        <v>503</v>
      </c>
      <c r="E38" s="125">
        <f t="shared" si="1"/>
        <v>34.75</v>
      </c>
      <c r="F38" s="145">
        <f>'STOK DETAY'!CC6</f>
        <v>0</v>
      </c>
      <c r="G38" s="146"/>
      <c r="H38" s="146"/>
      <c r="I38" s="146"/>
      <c r="J38" s="146">
        <f>'STOK DETAY'!CD6</f>
        <v>34.75</v>
      </c>
      <c r="K38" s="147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</row>
    <row r="39" spans="1:24" s="73" customFormat="1" ht="18.600000000000001" customHeight="1" x14ac:dyDescent="0.35">
      <c r="A39" s="123">
        <v>1.45</v>
      </c>
      <c r="B39" s="148" t="s">
        <v>7</v>
      </c>
      <c r="C39" s="176" t="s">
        <v>14</v>
      </c>
      <c r="D39" s="144">
        <v>503</v>
      </c>
      <c r="E39" s="125">
        <f t="shared" si="1"/>
        <v>16.170000000000002</v>
      </c>
      <c r="F39" s="145">
        <f>'STOK DETAY'!CE6</f>
        <v>16.170000000000002</v>
      </c>
      <c r="G39" s="146"/>
      <c r="H39" s="146"/>
      <c r="I39" s="146"/>
      <c r="J39" s="146">
        <f>'STOK DETAY'!CF6</f>
        <v>0</v>
      </c>
      <c r="K39" s="147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</row>
    <row r="40" spans="1:24" s="73" customFormat="1" ht="18.600000000000001" customHeight="1" x14ac:dyDescent="0.35">
      <c r="A40" s="123">
        <v>1.5</v>
      </c>
      <c r="B40" s="148" t="s">
        <v>7</v>
      </c>
      <c r="C40" s="176" t="s">
        <v>14</v>
      </c>
      <c r="D40" s="144"/>
      <c r="E40" s="125">
        <f t="shared" si="1"/>
        <v>0</v>
      </c>
      <c r="F40" s="145"/>
      <c r="G40" s="146"/>
      <c r="H40" s="146"/>
      <c r="I40" s="146"/>
      <c r="J40" s="146">
        <f>'STOK DETAY'!CG6</f>
        <v>0</v>
      </c>
      <c r="K40" s="147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</row>
    <row r="41" spans="1:24" s="73" customFormat="1" ht="18.600000000000001" customHeight="1" x14ac:dyDescent="0.35">
      <c r="A41" s="123">
        <v>1.55</v>
      </c>
      <c r="B41" s="148" t="s">
        <v>20</v>
      </c>
      <c r="C41" s="143" t="s">
        <v>14</v>
      </c>
      <c r="D41" s="144">
        <v>211</v>
      </c>
      <c r="E41" s="125">
        <f t="shared" si="1"/>
        <v>27.65</v>
      </c>
      <c r="F41" s="145"/>
      <c r="G41" s="146"/>
      <c r="H41" s="146"/>
      <c r="I41" s="146"/>
      <c r="J41" s="146">
        <f>'STOK DETAY'!CH6</f>
        <v>27.65</v>
      </c>
      <c r="K41" s="147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</row>
    <row r="42" spans="1:24" s="73" customFormat="1" ht="18.600000000000001" customHeight="1" x14ac:dyDescent="0.35">
      <c r="A42" s="123">
        <v>1.6</v>
      </c>
      <c r="B42" s="148" t="s">
        <v>9</v>
      </c>
      <c r="C42" s="143" t="s">
        <v>14</v>
      </c>
      <c r="D42" s="144"/>
      <c r="E42" s="125">
        <f t="shared" si="1"/>
        <v>0</v>
      </c>
      <c r="F42" s="145">
        <f>'STOK DETAY'!CI6</f>
        <v>0</v>
      </c>
      <c r="G42" s="146"/>
      <c r="H42" s="146"/>
      <c r="I42" s="146"/>
      <c r="J42" s="146"/>
      <c r="K42" s="147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</row>
    <row r="43" spans="1:24" s="73" customFormat="1" ht="18.600000000000001" customHeight="1" x14ac:dyDescent="0.35">
      <c r="A43" s="123">
        <v>1.85</v>
      </c>
      <c r="B43" s="148" t="s">
        <v>20</v>
      </c>
      <c r="C43" s="143" t="s">
        <v>14</v>
      </c>
      <c r="D43" s="144">
        <v>112</v>
      </c>
      <c r="E43" s="125">
        <f t="shared" si="1"/>
        <v>28</v>
      </c>
      <c r="F43" s="145"/>
      <c r="G43" s="146"/>
      <c r="H43" s="146"/>
      <c r="I43" s="146"/>
      <c r="J43" s="146">
        <f>'STOK DETAY'!CJ6</f>
        <v>28</v>
      </c>
      <c r="K43" s="147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</row>
    <row r="44" spans="1:24" s="73" customFormat="1" ht="18.600000000000001" customHeight="1" x14ac:dyDescent="0.35">
      <c r="A44" s="123">
        <v>1.9</v>
      </c>
      <c r="B44" s="148" t="s">
        <v>9</v>
      </c>
      <c r="C44" s="176" t="s">
        <v>14</v>
      </c>
      <c r="D44" s="144"/>
      <c r="E44" s="125">
        <f t="shared" si="1"/>
        <v>0</v>
      </c>
      <c r="F44" s="145">
        <f>'STOK DETAY'!CK6</f>
        <v>0</v>
      </c>
      <c r="G44" s="146"/>
      <c r="H44" s="146"/>
      <c r="I44" s="146"/>
      <c r="J44" s="146"/>
      <c r="K44" s="147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</row>
    <row r="45" spans="1:24" s="73" customFormat="1" ht="18.600000000000001" customHeight="1" x14ac:dyDescent="0.35">
      <c r="A45" s="123">
        <v>2</v>
      </c>
      <c r="B45" s="148" t="s">
        <v>9</v>
      </c>
      <c r="C45" s="143" t="s">
        <v>14</v>
      </c>
      <c r="D45" s="144"/>
      <c r="E45" s="125">
        <f t="shared" si="1"/>
        <v>0</v>
      </c>
      <c r="F45" s="145">
        <f>'STOK DETAY'!CL6</f>
        <v>0</v>
      </c>
      <c r="G45" s="146"/>
      <c r="H45" s="146"/>
      <c r="I45" s="146"/>
      <c r="J45" s="146"/>
      <c r="K45" s="147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</row>
    <row r="46" spans="1:24" s="73" customFormat="1" ht="18.600000000000001" customHeight="1" x14ac:dyDescent="0.35">
      <c r="A46" s="123">
        <v>2.2000000000000002</v>
      </c>
      <c r="B46" s="148" t="s">
        <v>9</v>
      </c>
      <c r="C46" s="143" t="s">
        <v>14</v>
      </c>
      <c r="D46" s="144">
        <v>211</v>
      </c>
      <c r="E46" s="125">
        <f t="shared" si="1"/>
        <v>21.65</v>
      </c>
      <c r="F46" s="145"/>
      <c r="G46" s="146"/>
      <c r="H46" s="146"/>
      <c r="I46" s="146"/>
      <c r="J46" s="146">
        <f>'STOK DETAY'!CM6</f>
        <v>21.65</v>
      </c>
      <c r="K46" s="147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</row>
    <row r="47" spans="1:24" s="73" customFormat="1" ht="18.600000000000001" customHeight="1" x14ac:dyDescent="0.35">
      <c r="A47" s="123">
        <v>2.5</v>
      </c>
      <c r="B47" s="148" t="s">
        <v>9</v>
      </c>
      <c r="C47" s="143" t="s">
        <v>14</v>
      </c>
      <c r="D47" s="144"/>
      <c r="E47" s="125">
        <f t="shared" si="1"/>
        <v>0</v>
      </c>
      <c r="F47" s="145"/>
      <c r="G47" s="146"/>
      <c r="H47" s="146"/>
      <c r="I47" s="146"/>
      <c r="J47" s="146"/>
      <c r="K47" s="147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</row>
    <row r="48" spans="1:24" s="73" customFormat="1" ht="18.600000000000001" customHeight="1" x14ac:dyDescent="0.35">
      <c r="A48" s="123">
        <v>2.6</v>
      </c>
      <c r="B48" s="148" t="s">
        <v>9</v>
      </c>
      <c r="C48" s="143" t="s">
        <v>14</v>
      </c>
      <c r="D48" s="144">
        <v>211</v>
      </c>
      <c r="E48" s="125">
        <f t="shared" si="1"/>
        <v>24.4</v>
      </c>
      <c r="F48" s="145"/>
      <c r="G48" s="146"/>
      <c r="H48" s="146"/>
      <c r="I48" s="146"/>
      <c r="J48" s="146">
        <f>'STOK DETAY'!CO6</f>
        <v>24.4</v>
      </c>
      <c r="K48" s="147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</row>
    <row r="49" spans="1:24" s="73" customFormat="1" ht="18.600000000000001" customHeight="1" x14ac:dyDescent="0.35">
      <c r="A49" s="123">
        <v>2.7</v>
      </c>
      <c r="B49" s="148" t="s">
        <v>9</v>
      </c>
      <c r="C49" s="176" t="s">
        <v>14</v>
      </c>
      <c r="D49" s="144">
        <v>211</v>
      </c>
      <c r="E49" s="125">
        <f t="shared" si="1"/>
        <v>9.1999999999999993</v>
      </c>
      <c r="F49" s="145"/>
      <c r="G49" s="146"/>
      <c r="H49" s="146"/>
      <c r="I49" s="146">
        <f>'STOK DETAY'!CP6</f>
        <v>9.1999999999999993</v>
      </c>
      <c r="J49" s="146"/>
      <c r="K49" s="147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</row>
    <row r="50" spans="1:24" s="73" customFormat="1" ht="18.600000000000001" customHeight="1" x14ac:dyDescent="0.35">
      <c r="A50" s="123">
        <v>3</v>
      </c>
      <c r="B50" s="148" t="s">
        <v>9</v>
      </c>
      <c r="C50" s="176" t="s">
        <v>14</v>
      </c>
      <c r="D50" s="144">
        <v>113</v>
      </c>
      <c r="E50" s="125">
        <f t="shared" si="1"/>
        <v>89.45</v>
      </c>
      <c r="F50" s="145"/>
      <c r="G50" s="146"/>
      <c r="H50" s="146"/>
      <c r="I50" s="146"/>
      <c r="J50" s="146">
        <f>'STOK DETAY'!CQ6</f>
        <v>89.45</v>
      </c>
      <c r="K50" s="147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</row>
    <row r="51" spans="1:24" s="73" customFormat="1" ht="18.600000000000001" customHeight="1" thickBot="1" x14ac:dyDescent="0.4">
      <c r="A51" s="123">
        <v>3.2</v>
      </c>
      <c r="B51" s="148" t="s">
        <v>9</v>
      </c>
      <c r="C51" s="176" t="s">
        <v>14</v>
      </c>
      <c r="D51" s="144">
        <v>112</v>
      </c>
      <c r="E51" s="125">
        <f t="shared" si="1"/>
        <v>21.45</v>
      </c>
      <c r="F51" s="145"/>
      <c r="G51" s="146"/>
      <c r="H51" s="146"/>
      <c r="I51" s="146"/>
      <c r="J51" s="146">
        <f>'STOK DETAY'!CR6</f>
        <v>21.45</v>
      </c>
      <c r="K51" s="147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spans="1:24" ht="21.95" customHeight="1" thickBot="1" x14ac:dyDescent="0.45">
      <c r="A52" s="347" t="s">
        <v>4</v>
      </c>
      <c r="B52" s="348"/>
      <c r="C52" s="348"/>
      <c r="D52" s="349"/>
      <c r="E52" s="135">
        <f t="shared" si="1"/>
        <v>737.51</v>
      </c>
      <c r="F52" s="136">
        <f t="shared" ref="F52:K52" si="2">SUM(F9:F51)</f>
        <v>287.38</v>
      </c>
      <c r="G52" s="137">
        <f t="shared" si="2"/>
        <v>33.865000000000002</v>
      </c>
      <c r="H52" s="137">
        <f>SUM(H9:H51)</f>
        <v>141.155</v>
      </c>
      <c r="I52" s="137">
        <f t="shared" si="2"/>
        <v>9.1999999999999993</v>
      </c>
      <c r="J52" s="137">
        <f t="shared" si="2"/>
        <v>264.16000000000003</v>
      </c>
      <c r="K52" s="138">
        <f t="shared" si="2"/>
        <v>1.75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</row>
    <row r="53" spans="1:24" ht="21.95" customHeight="1" thickBot="1" x14ac:dyDescent="0.45">
      <c r="A53" s="350" t="s">
        <v>12</v>
      </c>
      <c r="B53" s="351"/>
      <c r="C53" s="352"/>
      <c r="D53" s="112" t="s">
        <v>27</v>
      </c>
      <c r="E53" s="135" t="s">
        <v>4</v>
      </c>
      <c r="F53" s="177" t="s">
        <v>16</v>
      </c>
      <c r="G53" s="178" t="s">
        <v>17</v>
      </c>
      <c r="H53" s="178" t="s">
        <v>3</v>
      </c>
      <c r="I53" s="178" t="s">
        <v>2</v>
      </c>
      <c r="J53" s="178" t="s">
        <v>6</v>
      </c>
      <c r="K53" s="179" t="s">
        <v>5</v>
      </c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</row>
    <row r="54" spans="1:24" s="73" customFormat="1" ht="18.600000000000001" customHeight="1" x14ac:dyDescent="0.35">
      <c r="A54" s="123">
        <v>0.08</v>
      </c>
      <c r="B54" s="142" t="s">
        <v>7</v>
      </c>
      <c r="C54" s="143" t="s">
        <v>12</v>
      </c>
      <c r="D54" s="151">
        <v>312</v>
      </c>
      <c r="E54" s="125">
        <f t="shared" ref="E54:E70" si="3">SUM(F54:K54)</f>
        <v>54.058</v>
      </c>
      <c r="F54" s="145">
        <f>'STOK DETAY'!CS6</f>
        <v>54.058</v>
      </c>
      <c r="G54" s="146"/>
      <c r="H54" s="146"/>
      <c r="I54" s="146"/>
      <c r="J54" s="146"/>
      <c r="K54" s="147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</row>
    <row r="55" spans="1:24" s="73" customFormat="1" ht="18.600000000000001" customHeight="1" x14ac:dyDescent="0.35">
      <c r="A55" s="123">
        <v>0.12</v>
      </c>
      <c r="B55" s="142" t="s">
        <v>7</v>
      </c>
      <c r="C55" s="150" t="s">
        <v>12</v>
      </c>
      <c r="D55" s="151"/>
      <c r="E55" s="125">
        <f t="shared" si="3"/>
        <v>0</v>
      </c>
      <c r="F55" s="145">
        <f>'STOK DETAY'!CT6</f>
        <v>0</v>
      </c>
      <c r="G55" s="146"/>
      <c r="H55" s="146"/>
      <c r="I55" s="146"/>
      <c r="J55" s="146"/>
      <c r="K55" s="147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</row>
    <row r="56" spans="1:24" s="73" customFormat="1" ht="18.600000000000001" customHeight="1" x14ac:dyDescent="0.35">
      <c r="A56" s="123">
        <v>0.14000000000000001</v>
      </c>
      <c r="B56" s="175" t="s">
        <v>7</v>
      </c>
      <c r="C56" s="150" t="s">
        <v>12</v>
      </c>
      <c r="D56" s="151"/>
      <c r="E56" s="125">
        <f t="shared" si="3"/>
        <v>0</v>
      </c>
      <c r="F56" s="145">
        <f>'STOK DETAY'!CU6</f>
        <v>0</v>
      </c>
      <c r="G56" s="146"/>
      <c r="H56" s="146"/>
      <c r="I56" s="146"/>
      <c r="J56" s="146"/>
      <c r="K56" s="147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</row>
    <row r="57" spans="1:24" s="73" customFormat="1" ht="18.600000000000001" customHeight="1" x14ac:dyDescent="0.35">
      <c r="A57" s="123">
        <v>0.2</v>
      </c>
      <c r="B57" s="175" t="s">
        <v>8</v>
      </c>
      <c r="C57" s="150" t="s">
        <v>12</v>
      </c>
      <c r="D57" s="151">
        <v>212</v>
      </c>
      <c r="E57" s="125">
        <f t="shared" si="3"/>
        <v>0</v>
      </c>
      <c r="F57" s="145">
        <f>'STOK DETAY'!CV6</f>
        <v>0</v>
      </c>
      <c r="G57" s="146">
        <f>'STOK DETAY'!CW6</f>
        <v>0</v>
      </c>
      <c r="H57" s="146"/>
      <c r="I57" s="146"/>
      <c r="J57" s="146"/>
      <c r="K57" s="147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</row>
    <row r="58" spans="1:24" s="73" customFormat="1" ht="18.600000000000001" customHeight="1" x14ac:dyDescent="0.35">
      <c r="A58" s="123">
        <v>0.23</v>
      </c>
      <c r="B58" s="175" t="s">
        <v>7</v>
      </c>
      <c r="C58" s="150" t="s">
        <v>12</v>
      </c>
      <c r="D58" s="151">
        <v>212</v>
      </c>
      <c r="E58" s="125">
        <f t="shared" si="3"/>
        <v>0</v>
      </c>
      <c r="F58" s="145"/>
      <c r="G58" s="146"/>
      <c r="H58" s="146"/>
      <c r="I58" s="146">
        <f>'STOK DETAY'!CX6</f>
        <v>0</v>
      </c>
      <c r="J58" s="146"/>
      <c r="K58" s="147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</row>
    <row r="59" spans="1:24" s="73" customFormat="1" ht="18.600000000000001" customHeight="1" x14ac:dyDescent="0.35">
      <c r="A59" s="123">
        <v>0.25</v>
      </c>
      <c r="B59" s="175" t="s">
        <v>7</v>
      </c>
      <c r="C59" s="150" t="s">
        <v>12</v>
      </c>
      <c r="D59" s="151"/>
      <c r="E59" s="125">
        <f t="shared" si="3"/>
        <v>0</v>
      </c>
      <c r="F59" s="145">
        <f>'STOK DETAY'!CY6</f>
        <v>0</v>
      </c>
      <c r="G59" s="146">
        <f>'STOK DETAY'!CZ6</f>
        <v>0</v>
      </c>
      <c r="H59" s="146"/>
      <c r="I59" s="146">
        <f>'STOK DETAY'!DA6</f>
        <v>0</v>
      </c>
      <c r="J59" s="146"/>
      <c r="K59" s="147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</row>
    <row r="60" spans="1:24" s="73" customFormat="1" ht="18.600000000000001" customHeight="1" x14ac:dyDescent="0.35">
      <c r="A60" s="123">
        <v>0.28000000000000003</v>
      </c>
      <c r="B60" s="181" t="s">
        <v>7</v>
      </c>
      <c r="C60" s="150" t="s">
        <v>12</v>
      </c>
      <c r="D60" s="151"/>
      <c r="E60" s="125">
        <f t="shared" si="3"/>
        <v>0</v>
      </c>
      <c r="F60" s="145">
        <f>'STOK DETAY'!DB6</f>
        <v>0</v>
      </c>
      <c r="G60" s="146"/>
      <c r="H60" s="146"/>
      <c r="I60" s="146"/>
      <c r="J60" s="146"/>
      <c r="K60" s="147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</row>
    <row r="61" spans="1:24" s="73" customFormat="1" ht="18.600000000000001" customHeight="1" x14ac:dyDescent="0.35">
      <c r="A61" s="123">
        <v>0.3</v>
      </c>
      <c r="B61" s="175" t="s">
        <v>7</v>
      </c>
      <c r="C61" s="150" t="s">
        <v>12</v>
      </c>
      <c r="D61" s="151">
        <v>311</v>
      </c>
      <c r="E61" s="125">
        <f t="shared" si="3"/>
        <v>6.6349999999999998</v>
      </c>
      <c r="F61" s="145">
        <f>'STOK DETAY'!DC6</f>
        <v>0</v>
      </c>
      <c r="G61" s="146">
        <f>'STOK DETAY'!DD6</f>
        <v>6.6349999999999998</v>
      </c>
      <c r="H61" s="146"/>
      <c r="I61" s="146"/>
      <c r="J61" s="146"/>
      <c r="K61" s="147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</row>
    <row r="62" spans="1:24" s="73" customFormat="1" ht="18.600000000000001" customHeight="1" x14ac:dyDescent="0.35">
      <c r="A62" s="123">
        <v>0.32</v>
      </c>
      <c r="B62" s="175" t="s">
        <v>7</v>
      </c>
      <c r="C62" s="150" t="s">
        <v>12</v>
      </c>
      <c r="D62" s="151">
        <v>311</v>
      </c>
      <c r="E62" s="125">
        <f t="shared" si="3"/>
        <v>8.9849999999999994</v>
      </c>
      <c r="F62" s="145">
        <f>'STOK DETAY'!DE6</f>
        <v>8.9849999999999994</v>
      </c>
      <c r="G62" s="146"/>
      <c r="H62" s="146"/>
      <c r="I62" s="146"/>
      <c r="J62" s="146"/>
      <c r="K62" s="147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</row>
    <row r="63" spans="1:24" s="73" customFormat="1" ht="18.600000000000001" customHeight="1" x14ac:dyDescent="0.35">
      <c r="A63" s="123">
        <v>0.35</v>
      </c>
      <c r="B63" s="175" t="s">
        <v>7</v>
      </c>
      <c r="C63" s="150" t="s">
        <v>12</v>
      </c>
      <c r="D63" s="151"/>
      <c r="E63" s="125">
        <f t="shared" si="3"/>
        <v>0</v>
      </c>
      <c r="F63" s="145">
        <f>'STOK DETAY'!DF6</f>
        <v>0</v>
      </c>
      <c r="G63" s="146"/>
      <c r="H63" s="146"/>
      <c r="I63" s="146"/>
      <c r="J63" s="146"/>
      <c r="K63" s="147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</row>
    <row r="64" spans="1:24" s="73" customFormat="1" ht="18.600000000000001" customHeight="1" x14ac:dyDescent="0.35">
      <c r="A64" s="123">
        <v>0.38</v>
      </c>
      <c r="B64" s="175" t="s">
        <v>7</v>
      </c>
      <c r="C64" s="150" t="s">
        <v>12</v>
      </c>
      <c r="D64" s="151"/>
      <c r="E64" s="125">
        <f t="shared" si="3"/>
        <v>0</v>
      </c>
      <c r="F64" s="145">
        <f>'STOK DETAY'!DG6</f>
        <v>0</v>
      </c>
      <c r="G64" s="146"/>
      <c r="H64" s="146"/>
      <c r="I64" s="146"/>
      <c r="J64" s="146"/>
      <c r="K64" s="147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</row>
    <row r="65" spans="1:24" s="73" customFormat="1" ht="18.600000000000001" customHeight="1" x14ac:dyDescent="0.35">
      <c r="A65" s="123">
        <v>0.4</v>
      </c>
      <c r="B65" s="175" t="s">
        <v>7</v>
      </c>
      <c r="C65" s="150" t="s">
        <v>12</v>
      </c>
      <c r="D65" s="151"/>
      <c r="E65" s="125">
        <f t="shared" si="3"/>
        <v>0</v>
      </c>
      <c r="F65" s="145">
        <f>'STOK DETAY'!DH6</f>
        <v>0</v>
      </c>
      <c r="G65" s="146">
        <f>'STOK DETAY'!DI6</f>
        <v>0</v>
      </c>
      <c r="H65" s="146"/>
      <c r="I65" s="146"/>
      <c r="J65" s="146"/>
      <c r="K65" s="147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</row>
    <row r="66" spans="1:24" s="73" customFormat="1" ht="18.600000000000001" customHeight="1" x14ac:dyDescent="0.35">
      <c r="A66" s="123">
        <v>0.45</v>
      </c>
      <c r="B66" s="175" t="s">
        <v>7</v>
      </c>
      <c r="C66" s="150" t="s">
        <v>12</v>
      </c>
      <c r="D66" s="151">
        <v>213</v>
      </c>
      <c r="E66" s="125">
        <f t="shared" si="3"/>
        <v>93.39</v>
      </c>
      <c r="F66" s="145"/>
      <c r="G66" s="146"/>
      <c r="H66" s="146"/>
      <c r="I66" s="146">
        <f>'STOK DETAY'!DJ6</f>
        <v>93.39</v>
      </c>
      <c r="J66" s="146"/>
      <c r="K66" s="147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</row>
    <row r="67" spans="1:24" s="73" customFormat="1" ht="18.600000000000001" customHeight="1" x14ac:dyDescent="0.35">
      <c r="A67" s="123">
        <v>0.45</v>
      </c>
      <c r="B67" s="175" t="s">
        <v>7</v>
      </c>
      <c r="C67" s="150" t="s">
        <v>19</v>
      </c>
      <c r="D67" s="151">
        <v>213</v>
      </c>
      <c r="E67" s="125">
        <f t="shared" si="3"/>
        <v>14.9</v>
      </c>
      <c r="F67" s="145">
        <f>'STOK DETAY'!DK6</f>
        <v>14.9</v>
      </c>
      <c r="G67" s="146"/>
      <c r="H67" s="146"/>
      <c r="I67" s="146"/>
      <c r="J67" s="146"/>
      <c r="K67" s="147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</row>
    <row r="68" spans="1:24" s="73" customFormat="1" ht="18.600000000000001" customHeight="1" x14ac:dyDescent="0.35">
      <c r="A68" s="123">
        <v>0.6</v>
      </c>
      <c r="B68" s="175" t="s">
        <v>7</v>
      </c>
      <c r="C68" s="150" t="s">
        <v>12</v>
      </c>
      <c r="D68" s="151">
        <v>312</v>
      </c>
      <c r="E68" s="125">
        <f t="shared" si="3"/>
        <v>6.02</v>
      </c>
      <c r="F68" s="145"/>
      <c r="G68" s="146"/>
      <c r="H68" s="146"/>
      <c r="I68" s="146">
        <f>'STOK DETAY'!DL6</f>
        <v>6.02</v>
      </c>
      <c r="J68" s="146"/>
      <c r="K68" s="147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</row>
    <row r="69" spans="1:24" s="73" customFormat="1" ht="18.600000000000001" customHeight="1" thickBot="1" x14ac:dyDescent="0.4">
      <c r="A69" s="123">
        <v>0.95</v>
      </c>
      <c r="B69" s="175" t="s">
        <v>7</v>
      </c>
      <c r="C69" s="150" t="s">
        <v>12</v>
      </c>
      <c r="D69" s="151">
        <v>312</v>
      </c>
      <c r="E69" s="125">
        <f t="shared" si="3"/>
        <v>2.25</v>
      </c>
      <c r="F69" s="145">
        <f>'STOK DETAY'!DM6</f>
        <v>2.25</v>
      </c>
      <c r="G69" s="146"/>
      <c r="H69" s="146"/>
      <c r="I69" s="146"/>
      <c r="J69" s="146"/>
      <c r="K69" s="147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</row>
    <row r="70" spans="1:24" ht="21.95" customHeight="1" thickBot="1" x14ac:dyDescent="0.45">
      <c r="A70" s="344" t="s">
        <v>4</v>
      </c>
      <c r="B70" s="345"/>
      <c r="C70" s="345"/>
      <c r="D70" s="346"/>
      <c r="E70" s="135">
        <f t="shared" si="3"/>
        <v>186.238</v>
      </c>
      <c r="F70" s="136">
        <f t="shared" ref="F70:K70" si="4">SUM(F54:F69)</f>
        <v>80.192999999999998</v>
      </c>
      <c r="G70" s="137">
        <f t="shared" si="4"/>
        <v>6.6349999999999998</v>
      </c>
      <c r="H70" s="137">
        <f>SUM(H54:H69)</f>
        <v>0</v>
      </c>
      <c r="I70" s="137">
        <f t="shared" si="4"/>
        <v>99.41</v>
      </c>
      <c r="J70" s="137">
        <f t="shared" si="4"/>
        <v>0</v>
      </c>
      <c r="K70" s="138">
        <f t="shared" si="4"/>
        <v>0</v>
      </c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</row>
    <row r="71" spans="1:24" ht="21.95" customHeight="1" thickBot="1" x14ac:dyDescent="0.45">
      <c r="A71" s="350" t="s">
        <v>10</v>
      </c>
      <c r="B71" s="351"/>
      <c r="C71" s="353"/>
      <c r="D71" s="152" t="s">
        <v>27</v>
      </c>
      <c r="E71" s="135" t="s">
        <v>4</v>
      </c>
      <c r="F71" s="177" t="s">
        <v>16</v>
      </c>
      <c r="G71" s="178" t="s">
        <v>17</v>
      </c>
      <c r="H71" s="178" t="s">
        <v>3</v>
      </c>
      <c r="I71" s="178" t="s">
        <v>2</v>
      </c>
      <c r="J71" s="178" t="s">
        <v>6</v>
      </c>
      <c r="K71" s="179" t="s">
        <v>5</v>
      </c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</row>
    <row r="72" spans="1:24" s="73" customFormat="1" ht="18.600000000000001" customHeight="1" x14ac:dyDescent="0.35">
      <c r="A72" s="153">
        <v>0.3</v>
      </c>
      <c r="B72" s="368"/>
      <c r="C72" s="369"/>
      <c r="D72" s="154">
        <v>511</v>
      </c>
      <c r="E72" s="155">
        <f>SUM(F72:K72)</f>
        <v>3.28</v>
      </c>
      <c r="F72" s="208"/>
      <c r="G72" s="209"/>
      <c r="H72" s="156">
        <f>'STOK DETAY'!DN6</f>
        <v>3.28</v>
      </c>
      <c r="I72" s="156"/>
      <c r="J72" s="156"/>
      <c r="K72" s="157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</row>
    <row r="73" spans="1:24" s="73" customFormat="1" ht="18.600000000000001" customHeight="1" x14ac:dyDescent="0.35">
      <c r="A73" s="123">
        <v>0.5</v>
      </c>
      <c r="B73" s="336"/>
      <c r="C73" s="337"/>
      <c r="D73" s="154">
        <v>511</v>
      </c>
      <c r="E73" s="125">
        <f>SUM(F73:K73)</f>
        <v>63.54</v>
      </c>
      <c r="F73" s="145"/>
      <c r="G73" s="210"/>
      <c r="H73" s="146">
        <f>'STOK DETAY'!DO6</f>
        <v>63.54</v>
      </c>
      <c r="I73" s="146"/>
      <c r="J73" s="146"/>
      <c r="K73" s="147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</row>
    <row r="74" spans="1:24" s="73" customFormat="1" ht="18.600000000000001" customHeight="1" x14ac:dyDescent="0.35">
      <c r="A74" s="123">
        <v>0.55000000000000004</v>
      </c>
      <c r="B74" s="336"/>
      <c r="C74" s="337"/>
      <c r="D74" s="154">
        <v>511</v>
      </c>
      <c r="E74" s="125">
        <f>SUM(F74:K74)</f>
        <v>10.45</v>
      </c>
      <c r="F74" s="145"/>
      <c r="G74" s="210"/>
      <c r="H74" s="146">
        <f>'STOK DETAY'!DP6</f>
        <v>10.45</v>
      </c>
      <c r="I74" s="146"/>
      <c r="J74" s="146"/>
      <c r="K74" s="147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</row>
    <row r="75" spans="1:24" s="73" customFormat="1" ht="18.600000000000001" customHeight="1" x14ac:dyDescent="0.35">
      <c r="A75" s="123">
        <v>0.6</v>
      </c>
      <c r="B75" s="336"/>
      <c r="C75" s="337"/>
      <c r="D75" s="154">
        <v>101</v>
      </c>
      <c r="E75" s="125">
        <f>SUM(G75:K75)</f>
        <v>0</v>
      </c>
      <c r="F75" s="211"/>
      <c r="G75" s="146"/>
      <c r="H75" s="146"/>
      <c r="I75" s="146">
        <f>'STOK DETAY'!DQ6</f>
        <v>0</v>
      </c>
      <c r="J75" s="146"/>
      <c r="K75" s="147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</row>
    <row r="76" spans="1:24" s="73" customFormat="1" ht="18.600000000000001" customHeight="1" x14ac:dyDescent="0.35">
      <c r="A76" s="123">
        <v>0.7</v>
      </c>
      <c r="B76" s="336"/>
      <c r="C76" s="337"/>
      <c r="D76" s="154">
        <v>101</v>
      </c>
      <c r="E76" s="125">
        <f>SUM(G76:J76)</f>
        <v>80.83</v>
      </c>
      <c r="F76" s="211"/>
      <c r="G76" s="146">
        <f>'STOK DETAY'!DR6</f>
        <v>80.83</v>
      </c>
      <c r="H76" s="146"/>
      <c r="I76" s="146">
        <f>'STOK DETAY'!DS6</f>
        <v>0</v>
      </c>
      <c r="J76" s="146"/>
      <c r="K76" s="212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</row>
    <row r="77" spans="1:24" s="73" customFormat="1" ht="18.600000000000001" customHeight="1" x14ac:dyDescent="0.35">
      <c r="A77" s="123">
        <v>1</v>
      </c>
      <c r="B77" s="336"/>
      <c r="C77" s="337"/>
      <c r="D77" s="154">
        <v>511</v>
      </c>
      <c r="E77" s="125">
        <f t="shared" ref="E77:E85" si="5">SUM(F77:K77)</f>
        <v>2.5</v>
      </c>
      <c r="F77" s="145"/>
      <c r="G77" s="210"/>
      <c r="H77" s="146">
        <f>'STOK DETAY'!DT6</f>
        <v>2.5</v>
      </c>
      <c r="I77" s="146"/>
      <c r="J77" s="146"/>
      <c r="K77" s="147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</row>
    <row r="78" spans="1:24" s="73" customFormat="1" ht="18.600000000000001" customHeight="1" x14ac:dyDescent="0.35">
      <c r="A78" s="123">
        <v>1.2</v>
      </c>
      <c r="B78" s="336"/>
      <c r="C78" s="337"/>
      <c r="D78" s="154">
        <v>511</v>
      </c>
      <c r="E78" s="125">
        <f t="shared" si="5"/>
        <v>14.7</v>
      </c>
      <c r="F78" s="145"/>
      <c r="G78" s="210"/>
      <c r="H78" s="146">
        <f>'STOK DETAY'!DU6</f>
        <v>14.7</v>
      </c>
      <c r="I78" s="146"/>
      <c r="J78" s="146"/>
      <c r="K78" s="147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</row>
    <row r="79" spans="1:24" s="73" customFormat="1" ht="18.600000000000001" customHeight="1" x14ac:dyDescent="0.35">
      <c r="A79" s="123">
        <v>1.3</v>
      </c>
      <c r="B79" s="336"/>
      <c r="C79" s="337"/>
      <c r="D79" s="154">
        <v>511</v>
      </c>
      <c r="E79" s="125">
        <f t="shared" si="5"/>
        <v>2.85</v>
      </c>
      <c r="F79" s="145"/>
      <c r="G79" s="210"/>
      <c r="H79" s="146">
        <f>'STOK DETAY'!DV6</f>
        <v>2.85</v>
      </c>
      <c r="I79" s="146"/>
      <c r="J79" s="146"/>
      <c r="K79" s="147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</row>
    <row r="80" spans="1:24" s="73" customFormat="1" ht="18.600000000000001" customHeight="1" x14ac:dyDescent="0.35">
      <c r="A80" s="123">
        <v>1.4</v>
      </c>
      <c r="B80" s="336"/>
      <c r="C80" s="337"/>
      <c r="D80" s="154">
        <v>511</v>
      </c>
      <c r="E80" s="125">
        <f t="shared" si="5"/>
        <v>6.83</v>
      </c>
      <c r="F80" s="145"/>
      <c r="G80" s="210"/>
      <c r="H80" s="146">
        <f>'STOK DETAY'!DW6</f>
        <v>6.83</v>
      </c>
      <c r="I80" s="146"/>
      <c r="J80" s="146"/>
      <c r="K80" s="147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</row>
    <row r="81" spans="1:24" s="73" customFormat="1" ht="18.600000000000001" customHeight="1" x14ac:dyDescent="0.35">
      <c r="A81" s="123">
        <v>1.6</v>
      </c>
      <c r="B81" s="336"/>
      <c r="C81" s="337"/>
      <c r="D81" s="154">
        <v>511</v>
      </c>
      <c r="E81" s="125">
        <f t="shared" si="5"/>
        <v>9.2200000000000006</v>
      </c>
      <c r="F81" s="145"/>
      <c r="G81" s="210"/>
      <c r="H81" s="146">
        <f>'STOK DETAY'!DX6</f>
        <v>9.2200000000000006</v>
      </c>
      <c r="I81" s="146"/>
      <c r="J81" s="146"/>
      <c r="K81" s="147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</row>
    <row r="82" spans="1:24" s="73" customFormat="1" ht="18.600000000000001" customHeight="1" x14ac:dyDescent="0.35">
      <c r="A82" s="123">
        <v>1.7</v>
      </c>
      <c r="B82" s="336"/>
      <c r="C82" s="337"/>
      <c r="D82" s="154">
        <v>511</v>
      </c>
      <c r="E82" s="125">
        <f t="shared" si="5"/>
        <v>18.5</v>
      </c>
      <c r="F82" s="145"/>
      <c r="G82" s="210"/>
      <c r="H82" s="146">
        <f>'STOK DETAY'!DY6</f>
        <v>18.5</v>
      </c>
      <c r="I82" s="146"/>
      <c r="J82" s="146"/>
      <c r="K82" s="147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</row>
    <row r="83" spans="1:24" s="73" customFormat="1" ht="18.600000000000001" customHeight="1" thickBot="1" x14ac:dyDescent="0.4">
      <c r="A83" s="158">
        <v>3.5</v>
      </c>
      <c r="B83" s="354"/>
      <c r="C83" s="355"/>
      <c r="D83" s="159">
        <v>511</v>
      </c>
      <c r="E83" s="160">
        <f t="shared" si="5"/>
        <v>52.36</v>
      </c>
      <c r="F83" s="132"/>
      <c r="G83" s="213"/>
      <c r="H83" s="133">
        <f>'STOK DETAY'!DZ6</f>
        <v>52.36</v>
      </c>
      <c r="I83" s="133"/>
      <c r="J83" s="133"/>
      <c r="K83" s="13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</row>
    <row r="84" spans="1:24" ht="21.95" customHeight="1" thickBot="1" x14ac:dyDescent="0.45">
      <c r="A84" s="360" t="s">
        <v>4</v>
      </c>
      <c r="B84" s="361"/>
      <c r="C84" s="361"/>
      <c r="D84" s="362"/>
      <c r="E84" s="135">
        <f t="shared" si="5"/>
        <v>265.06</v>
      </c>
      <c r="F84" s="136">
        <f t="shared" ref="F84:K84" si="6">SUM(F72:F83)</f>
        <v>0</v>
      </c>
      <c r="G84" s="137">
        <f t="shared" si="6"/>
        <v>80.83</v>
      </c>
      <c r="H84" s="137">
        <f>SUM(H72:H83)</f>
        <v>184.23</v>
      </c>
      <c r="I84" s="137">
        <f t="shared" si="6"/>
        <v>0</v>
      </c>
      <c r="J84" s="137">
        <f t="shared" si="6"/>
        <v>0</v>
      </c>
      <c r="K84" s="138">
        <f t="shared" si="6"/>
        <v>0</v>
      </c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</row>
    <row r="85" spans="1:24" ht="21.95" customHeight="1" thickBot="1" x14ac:dyDescent="0.45">
      <c r="A85" s="341" t="s">
        <v>1</v>
      </c>
      <c r="B85" s="342"/>
      <c r="C85" s="342"/>
      <c r="D85" s="343"/>
      <c r="E85" s="161">
        <f t="shared" si="5"/>
        <v>1230.7329999999999</v>
      </c>
      <c r="F85" s="162">
        <f t="shared" ref="F85:K85" si="7">F7+F52+F70+F84</f>
        <v>367.57299999999998</v>
      </c>
      <c r="G85" s="163">
        <f t="shared" si="7"/>
        <v>163.255</v>
      </c>
      <c r="H85" s="163">
        <f>H7+H52+H70+H84</f>
        <v>325.38499999999999</v>
      </c>
      <c r="I85" s="163">
        <f t="shared" si="7"/>
        <v>108.61</v>
      </c>
      <c r="J85" s="163">
        <f t="shared" si="7"/>
        <v>264.16000000000003</v>
      </c>
      <c r="K85" s="164">
        <f t="shared" si="7"/>
        <v>1.75</v>
      </c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</row>
    <row r="86" spans="1:24" ht="15.75" customHeight="1" x14ac:dyDescent="0.4">
      <c r="A86" s="182"/>
      <c r="B86" s="65"/>
      <c r="C86" s="65"/>
      <c r="D86" s="65"/>
      <c r="E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</row>
    <row r="87" spans="1:24" ht="15.75" customHeight="1" x14ac:dyDescent="0.4">
      <c r="A87" s="182"/>
      <c r="B87" s="65"/>
      <c r="C87" s="65"/>
      <c r="D87" s="65"/>
      <c r="E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</row>
    <row r="88" spans="1:24" ht="15.75" customHeight="1" x14ac:dyDescent="0.4">
      <c r="A88" s="182"/>
      <c r="B88" s="65"/>
      <c r="C88" s="65"/>
      <c r="D88" s="65"/>
      <c r="E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</row>
    <row r="89" spans="1:24" ht="15.75" customHeight="1" x14ac:dyDescent="0.4">
      <c r="A89" s="182"/>
      <c r="B89" s="65"/>
      <c r="C89" s="65"/>
      <c r="D89" s="65"/>
      <c r="E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</row>
    <row r="90" spans="1:24" ht="15.75" customHeight="1" x14ac:dyDescent="0.4">
      <c r="A90" s="182"/>
      <c r="B90" s="65"/>
      <c r="C90" s="65"/>
      <c r="D90" s="65"/>
      <c r="E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</row>
    <row r="91" spans="1:24" ht="15.75" customHeight="1" x14ac:dyDescent="0.4">
      <c r="A91" s="182"/>
      <c r="B91" s="65"/>
      <c r="C91" s="65"/>
      <c r="D91" s="65"/>
      <c r="E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</row>
    <row r="92" spans="1:24" ht="15.75" customHeight="1" x14ac:dyDescent="0.4">
      <c r="A92" s="182"/>
      <c r="B92" s="65"/>
      <c r="C92" s="65"/>
      <c r="D92" s="65"/>
      <c r="E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</row>
    <row r="93" spans="1:24" ht="15.75" customHeight="1" x14ac:dyDescent="0.4">
      <c r="A93" s="182"/>
      <c r="B93" s="65"/>
      <c r="C93" s="65"/>
      <c r="D93" s="65"/>
      <c r="E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</row>
    <row r="94" spans="1:24" ht="15.75" customHeight="1" x14ac:dyDescent="0.4">
      <c r="A94" s="182"/>
      <c r="B94" s="65"/>
      <c r="C94" s="65"/>
      <c r="D94" s="65"/>
      <c r="E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</row>
    <row r="95" spans="1:24" ht="15.75" customHeight="1" x14ac:dyDescent="0.4">
      <c r="A95" s="182"/>
      <c r="B95" s="65"/>
      <c r="C95" s="65"/>
      <c r="D95" s="65"/>
      <c r="E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</row>
    <row r="96" spans="1:24" ht="15.75" customHeight="1" x14ac:dyDescent="0.4">
      <c r="A96" s="182"/>
      <c r="B96" s="65"/>
      <c r="C96" s="65"/>
      <c r="D96" s="65"/>
      <c r="E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</row>
    <row r="97" spans="1:24" ht="15.75" customHeight="1" x14ac:dyDescent="0.4">
      <c r="A97" s="182"/>
      <c r="B97" s="65"/>
      <c r="C97" s="65"/>
      <c r="D97" s="65"/>
      <c r="E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</row>
    <row r="98" spans="1:24" ht="15.75" customHeight="1" x14ac:dyDescent="0.4">
      <c r="A98" s="182"/>
      <c r="B98" s="65"/>
      <c r="C98" s="65"/>
      <c r="D98" s="65"/>
      <c r="E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</row>
    <row r="99" spans="1:24" ht="15.75" customHeight="1" x14ac:dyDescent="0.4">
      <c r="A99" s="182"/>
      <c r="B99" s="65"/>
      <c r="C99" s="65"/>
      <c r="D99" s="65"/>
      <c r="E99" s="65"/>
      <c r="H99" s="66"/>
      <c r="J99" s="66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</row>
    <row r="100" spans="1:24" ht="15.75" customHeight="1" x14ac:dyDescent="0.4">
      <c r="A100" s="182"/>
      <c r="B100" s="65"/>
      <c r="C100" s="65"/>
      <c r="D100" s="65"/>
      <c r="E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</row>
    <row r="101" spans="1:24" ht="15.75" customHeight="1" x14ac:dyDescent="0.4">
      <c r="A101" s="182"/>
      <c r="B101" s="65"/>
      <c r="C101" s="65"/>
      <c r="D101" s="65"/>
      <c r="E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</row>
    <row r="102" spans="1:24" ht="15.75" customHeight="1" x14ac:dyDescent="0.4">
      <c r="A102" s="182"/>
      <c r="B102" s="65"/>
      <c r="C102" s="65"/>
      <c r="D102" s="65"/>
      <c r="E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</row>
    <row r="103" spans="1:24" ht="15.75" customHeight="1" x14ac:dyDescent="0.4">
      <c r="A103" s="182"/>
      <c r="B103" s="65"/>
      <c r="C103" s="65"/>
      <c r="D103" s="65"/>
      <c r="E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</row>
    <row r="104" spans="1:24" ht="15.75" customHeight="1" x14ac:dyDescent="0.4">
      <c r="A104" s="182"/>
      <c r="B104" s="65"/>
      <c r="C104" s="65"/>
      <c r="D104" s="65"/>
      <c r="E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</row>
    <row r="105" spans="1:24" ht="15.75" customHeight="1" x14ac:dyDescent="0.4">
      <c r="A105" s="182"/>
      <c r="B105" s="65"/>
      <c r="C105" s="65"/>
      <c r="D105" s="65"/>
      <c r="E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</row>
    <row r="106" spans="1:24" ht="15.75" customHeight="1" x14ac:dyDescent="0.4">
      <c r="A106" s="182"/>
      <c r="B106" s="65"/>
      <c r="C106" s="65"/>
      <c r="D106" s="65"/>
      <c r="E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</row>
    <row r="107" spans="1:24" ht="15.75" customHeight="1" x14ac:dyDescent="0.4">
      <c r="A107" s="182"/>
      <c r="B107" s="65"/>
      <c r="C107" s="65"/>
      <c r="D107" s="65"/>
      <c r="E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</row>
    <row r="108" spans="1:24" ht="15.75" customHeight="1" x14ac:dyDescent="0.4">
      <c r="A108" s="182"/>
      <c r="B108" s="65"/>
      <c r="C108" s="65"/>
      <c r="D108" s="65"/>
      <c r="E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</row>
    <row r="109" spans="1:24" ht="15.75" customHeight="1" x14ac:dyDescent="0.4">
      <c r="A109" s="182"/>
      <c r="B109" s="65"/>
      <c r="C109" s="65"/>
      <c r="D109" s="65"/>
      <c r="E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</row>
    <row r="110" spans="1:24" ht="15.75" customHeight="1" x14ac:dyDescent="0.4">
      <c r="A110" s="182"/>
      <c r="B110" s="65"/>
      <c r="C110" s="65"/>
      <c r="D110" s="65"/>
      <c r="E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</row>
    <row r="111" spans="1:24" ht="15.75" customHeight="1" x14ac:dyDescent="0.4">
      <c r="A111" s="182"/>
      <c r="B111" s="65"/>
      <c r="C111" s="65"/>
      <c r="D111" s="65"/>
      <c r="E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</row>
    <row r="112" spans="1:24" ht="15.75" customHeight="1" x14ac:dyDescent="0.4">
      <c r="A112" s="182"/>
      <c r="B112" s="65"/>
      <c r="C112" s="65"/>
      <c r="D112" s="65"/>
      <c r="E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</row>
    <row r="113" spans="1:24" ht="15.75" customHeight="1" x14ac:dyDescent="0.4">
      <c r="A113" s="182"/>
      <c r="B113" s="65"/>
      <c r="C113" s="65"/>
      <c r="D113" s="65"/>
      <c r="E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</row>
    <row r="114" spans="1:24" ht="15.75" customHeight="1" x14ac:dyDescent="0.4">
      <c r="A114" s="182"/>
      <c r="B114" s="65"/>
      <c r="C114" s="65"/>
      <c r="D114" s="65"/>
      <c r="E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</row>
    <row r="115" spans="1:24" ht="15.75" customHeight="1" x14ac:dyDescent="0.4">
      <c r="A115" s="182"/>
      <c r="B115" s="65"/>
      <c r="C115" s="65"/>
      <c r="D115" s="65"/>
      <c r="E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</row>
    <row r="116" spans="1:24" ht="15.75" customHeight="1" x14ac:dyDescent="0.4">
      <c r="A116" s="182"/>
      <c r="B116" s="65"/>
      <c r="C116" s="65"/>
      <c r="D116" s="65"/>
      <c r="E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</row>
    <row r="117" spans="1:24" ht="15.75" customHeight="1" x14ac:dyDescent="0.4">
      <c r="A117" s="182"/>
      <c r="B117" s="65"/>
      <c r="C117" s="65"/>
      <c r="D117" s="65"/>
      <c r="E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</row>
    <row r="118" spans="1:24" ht="15.75" customHeight="1" x14ac:dyDescent="0.4">
      <c r="A118" s="182"/>
      <c r="B118" s="65"/>
      <c r="C118" s="65"/>
      <c r="D118" s="65"/>
      <c r="E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</row>
    <row r="119" spans="1:24" ht="15.75" customHeight="1" x14ac:dyDescent="0.4">
      <c r="A119" s="182"/>
      <c r="B119" s="65"/>
      <c r="C119" s="65"/>
      <c r="D119" s="65"/>
      <c r="E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</row>
    <row r="120" spans="1:24" ht="15.75" customHeight="1" x14ac:dyDescent="0.4">
      <c r="A120" s="182"/>
      <c r="B120" s="65"/>
      <c r="C120" s="65"/>
      <c r="D120" s="65"/>
      <c r="E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</row>
    <row r="121" spans="1:24" ht="15.75" customHeight="1" x14ac:dyDescent="0.4">
      <c r="A121" s="182"/>
      <c r="B121" s="65"/>
      <c r="C121" s="65"/>
      <c r="D121" s="65"/>
      <c r="E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</row>
    <row r="122" spans="1:24" ht="15.75" customHeight="1" x14ac:dyDescent="0.4">
      <c r="A122" s="182"/>
      <c r="B122" s="65"/>
      <c r="C122" s="65"/>
      <c r="D122" s="65"/>
      <c r="E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</row>
    <row r="123" spans="1:24" ht="15.75" customHeight="1" x14ac:dyDescent="0.4">
      <c r="A123" s="182"/>
      <c r="B123" s="65"/>
      <c r="C123" s="65"/>
      <c r="D123" s="65"/>
      <c r="E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</row>
    <row r="124" spans="1:24" ht="15.75" customHeight="1" x14ac:dyDescent="0.4">
      <c r="A124" s="182"/>
      <c r="B124" s="65"/>
      <c r="C124" s="65"/>
      <c r="D124" s="65"/>
      <c r="E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</row>
    <row r="125" spans="1:24" ht="15.75" customHeight="1" x14ac:dyDescent="0.4">
      <c r="A125" s="182"/>
      <c r="B125" s="65"/>
      <c r="C125" s="65"/>
      <c r="D125" s="65"/>
      <c r="E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</row>
    <row r="126" spans="1:24" ht="15.75" customHeight="1" x14ac:dyDescent="0.4">
      <c r="A126" s="182"/>
      <c r="B126" s="65"/>
      <c r="C126" s="65"/>
      <c r="D126" s="65"/>
      <c r="E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</row>
    <row r="127" spans="1:24" ht="15.75" customHeight="1" x14ac:dyDescent="0.4">
      <c r="A127" s="182"/>
      <c r="B127" s="65"/>
      <c r="C127" s="65"/>
      <c r="D127" s="65"/>
      <c r="E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</row>
    <row r="128" spans="1:24" ht="15.75" customHeight="1" x14ac:dyDescent="0.4">
      <c r="A128" s="182"/>
      <c r="B128" s="65"/>
      <c r="C128" s="65"/>
      <c r="D128" s="65"/>
      <c r="E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</row>
    <row r="129" spans="1:24" ht="15.75" customHeight="1" x14ac:dyDescent="0.4">
      <c r="A129" s="182"/>
      <c r="B129" s="65"/>
      <c r="C129" s="65"/>
      <c r="D129" s="65"/>
      <c r="E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</row>
    <row r="130" spans="1:24" ht="15.75" customHeight="1" x14ac:dyDescent="0.4">
      <c r="A130" s="182"/>
      <c r="B130" s="65"/>
      <c r="C130" s="65"/>
      <c r="D130" s="65"/>
      <c r="E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</row>
    <row r="131" spans="1:24" ht="15.75" customHeight="1" x14ac:dyDescent="0.4">
      <c r="A131" s="182"/>
      <c r="B131" s="65"/>
      <c r="C131" s="65"/>
      <c r="D131" s="65"/>
      <c r="E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</row>
    <row r="132" spans="1:24" ht="15.75" customHeight="1" x14ac:dyDescent="0.4">
      <c r="A132" s="182"/>
      <c r="B132" s="65"/>
      <c r="C132" s="65"/>
      <c r="D132" s="65"/>
      <c r="E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</row>
    <row r="133" spans="1:24" ht="15.75" customHeight="1" x14ac:dyDescent="0.4">
      <c r="A133" s="182"/>
      <c r="B133" s="65"/>
      <c r="C133" s="65"/>
      <c r="D133" s="65"/>
      <c r="E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</row>
    <row r="134" spans="1:24" ht="15.75" customHeight="1" x14ac:dyDescent="0.4">
      <c r="A134" s="182"/>
      <c r="B134" s="65"/>
      <c r="C134" s="65"/>
      <c r="D134" s="65"/>
      <c r="E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</row>
    <row r="135" spans="1:24" ht="15.75" customHeight="1" x14ac:dyDescent="0.4">
      <c r="A135" s="182"/>
      <c r="B135" s="65"/>
      <c r="C135" s="65"/>
      <c r="D135" s="65"/>
      <c r="E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</row>
    <row r="136" spans="1:24" ht="15.75" customHeight="1" x14ac:dyDescent="0.4">
      <c r="A136" s="182"/>
      <c r="B136" s="65"/>
      <c r="C136" s="65"/>
      <c r="D136" s="65"/>
      <c r="E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</row>
    <row r="137" spans="1:24" ht="15.75" customHeight="1" x14ac:dyDescent="0.4">
      <c r="A137" s="182"/>
      <c r="B137" s="65"/>
      <c r="C137" s="65"/>
      <c r="D137" s="65"/>
      <c r="E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</row>
    <row r="138" spans="1:24" ht="15.75" customHeight="1" x14ac:dyDescent="0.4">
      <c r="A138" s="182"/>
      <c r="B138" s="65"/>
      <c r="C138" s="65"/>
      <c r="D138" s="65"/>
      <c r="E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</row>
    <row r="139" spans="1:24" ht="15.75" customHeight="1" x14ac:dyDescent="0.4">
      <c r="A139" s="182"/>
      <c r="B139" s="65"/>
      <c r="C139" s="65"/>
      <c r="D139" s="65"/>
      <c r="E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</row>
    <row r="140" spans="1:24" ht="15.75" customHeight="1" x14ac:dyDescent="0.4">
      <c r="A140" s="182"/>
      <c r="B140" s="65"/>
      <c r="C140" s="65"/>
      <c r="D140" s="65"/>
      <c r="E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</row>
    <row r="141" spans="1:24" ht="15.75" customHeight="1" x14ac:dyDescent="0.4">
      <c r="A141" s="182"/>
      <c r="B141" s="65"/>
      <c r="C141" s="65"/>
      <c r="D141" s="65"/>
      <c r="E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</row>
    <row r="142" spans="1:24" ht="15.75" customHeight="1" x14ac:dyDescent="0.4">
      <c r="A142" s="182"/>
      <c r="B142" s="65"/>
      <c r="C142" s="65"/>
      <c r="D142" s="65"/>
      <c r="E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</row>
    <row r="143" spans="1:24" ht="15.75" customHeight="1" x14ac:dyDescent="0.4">
      <c r="A143" s="182"/>
      <c r="B143" s="65"/>
      <c r="C143" s="65"/>
      <c r="D143" s="65"/>
      <c r="E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</row>
    <row r="144" spans="1:24" ht="15.75" customHeight="1" x14ac:dyDescent="0.4">
      <c r="A144" s="182"/>
      <c r="B144" s="65"/>
      <c r="C144" s="65"/>
      <c r="D144" s="65"/>
      <c r="E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</row>
    <row r="145" spans="1:24" ht="15.75" customHeight="1" x14ac:dyDescent="0.4">
      <c r="A145" s="182"/>
      <c r="B145" s="65"/>
      <c r="C145" s="65"/>
      <c r="D145" s="65"/>
      <c r="E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</row>
    <row r="146" spans="1:24" ht="15.75" customHeight="1" x14ac:dyDescent="0.4">
      <c r="A146" s="182"/>
      <c r="B146" s="65"/>
      <c r="C146" s="65"/>
      <c r="D146" s="65"/>
      <c r="E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</row>
    <row r="147" spans="1:24" ht="15.75" customHeight="1" x14ac:dyDescent="0.4">
      <c r="A147" s="182"/>
      <c r="B147" s="65"/>
      <c r="C147" s="65"/>
      <c r="D147" s="65"/>
      <c r="E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</row>
    <row r="148" spans="1:24" ht="15.75" customHeight="1" x14ac:dyDescent="0.4">
      <c r="A148" s="182"/>
      <c r="B148" s="65"/>
      <c r="C148" s="65"/>
      <c r="D148" s="65"/>
      <c r="E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</row>
    <row r="149" spans="1:24" ht="15.75" customHeight="1" x14ac:dyDescent="0.4">
      <c r="A149" s="182"/>
      <c r="B149" s="65"/>
      <c r="C149" s="65"/>
      <c r="D149" s="65"/>
      <c r="E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</row>
    <row r="150" spans="1:24" ht="15.75" customHeight="1" x14ac:dyDescent="0.4">
      <c r="A150" s="182"/>
      <c r="B150" s="65"/>
      <c r="C150" s="65"/>
      <c r="D150" s="65"/>
      <c r="E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</row>
    <row r="151" spans="1:24" ht="15.75" customHeight="1" x14ac:dyDescent="0.4">
      <c r="A151" s="182"/>
      <c r="B151" s="65"/>
      <c r="C151" s="65"/>
      <c r="D151" s="65"/>
      <c r="E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</row>
    <row r="152" spans="1:24" ht="15.75" customHeight="1" x14ac:dyDescent="0.4">
      <c r="A152" s="182"/>
      <c r="B152" s="65"/>
      <c r="C152" s="65"/>
      <c r="D152" s="65"/>
      <c r="E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</row>
    <row r="153" spans="1:24" ht="15.75" customHeight="1" x14ac:dyDescent="0.4">
      <c r="A153" s="182"/>
      <c r="B153" s="65"/>
      <c r="C153" s="65"/>
      <c r="D153" s="65"/>
      <c r="E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</row>
    <row r="154" spans="1:24" ht="15.75" customHeight="1" x14ac:dyDescent="0.4">
      <c r="A154" s="182"/>
      <c r="B154" s="65"/>
      <c r="C154" s="65"/>
      <c r="D154" s="65"/>
      <c r="E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</row>
    <row r="155" spans="1:24" ht="15.75" customHeight="1" x14ac:dyDescent="0.4">
      <c r="A155" s="182"/>
      <c r="B155" s="65"/>
      <c r="C155" s="65"/>
      <c r="D155" s="65"/>
      <c r="E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</row>
    <row r="156" spans="1:24" ht="15.75" customHeight="1" x14ac:dyDescent="0.4">
      <c r="A156" s="182"/>
      <c r="B156" s="65"/>
      <c r="C156" s="65"/>
      <c r="D156" s="65"/>
      <c r="E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</row>
    <row r="157" spans="1:24" ht="15.75" customHeight="1" x14ac:dyDescent="0.4">
      <c r="A157" s="182"/>
      <c r="B157" s="65"/>
      <c r="C157" s="65"/>
      <c r="D157" s="65"/>
      <c r="E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</row>
    <row r="158" spans="1:24" ht="15.75" customHeight="1" x14ac:dyDescent="0.4">
      <c r="A158" s="182"/>
      <c r="B158" s="65"/>
      <c r="C158" s="65"/>
      <c r="D158" s="65"/>
      <c r="E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</row>
    <row r="159" spans="1:24" ht="15.75" customHeight="1" x14ac:dyDescent="0.4">
      <c r="A159" s="182"/>
      <c r="B159" s="65"/>
      <c r="C159" s="65"/>
      <c r="D159" s="65"/>
      <c r="E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</row>
    <row r="160" spans="1:24" ht="15.75" customHeight="1" x14ac:dyDescent="0.4">
      <c r="A160" s="182"/>
      <c r="B160" s="65"/>
      <c r="C160" s="65"/>
      <c r="D160" s="65"/>
      <c r="E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</row>
    <row r="161" spans="1:24" ht="15.75" customHeight="1" x14ac:dyDescent="0.4">
      <c r="A161" s="182"/>
      <c r="B161" s="65"/>
      <c r="C161" s="65"/>
      <c r="D161" s="65"/>
      <c r="E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</row>
    <row r="162" spans="1:24" ht="15.75" customHeight="1" x14ac:dyDescent="0.4">
      <c r="A162" s="182"/>
      <c r="B162" s="65"/>
      <c r="C162" s="65"/>
      <c r="D162" s="65"/>
      <c r="E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</row>
    <row r="163" spans="1:24" ht="15.75" customHeight="1" x14ac:dyDescent="0.4">
      <c r="A163" s="182"/>
      <c r="B163" s="65"/>
      <c r="C163" s="65"/>
      <c r="D163" s="65"/>
      <c r="E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</row>
    <row r="164" spans="1:24" ht="15.75" customHeight="1" x14ac:dyDescent="0.4">
      <c r="A164" s="182"/>
      <c r="B164" s="65"/>
      <c r="C164" s="65"/>
      <c r="D164" s="65"/>
      <c r="E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</row>
    <row r="165" spans="1:24" ht="15.75" customHeight="1" x14ac:dyDescent="0.4">
      <c r="A165" s="182"/>
      <c r="B165" s="65"/>
      <c r="C165" s="65"/>
      <c r="D165" s="65"/>
      <c r="E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</row>
    <row r="166" spans="1:24" ht="15.75" customHeight="1" x14ac:dyDescent="0.4">
      <c r="A166" s="182"/>
      <c r="B166" s="65"/>
      <c r="C166" s="65"/>
      <c r="D166" s="65"/>
      <c r="E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</row>
    <row r="167" spans="1:24" ht="15.75" customHeight="1" x14ac:dyDescent="0.4">
      <c r="A167" s="182"/>
      <c r="B167" s="65"/>
      <c r="C167" s="65"/>
      <c r="D167" s="65"/>
      <c r="E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</row>
    <row r="168" spans="1:24" ht="15.75" customHeight="1" x14ac:dyDescent="0.4">
      <c r="A168" s="182"/>
      <c r="B168" s="65"/>
      <c r="C168" s="65"/>
      <c r="D168" s="65"/>
      <c r="E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</row>
    <row r="169" spans="1:24" ht="15.75" customHeight="1" x14ac:dyDescent="0.4">
      <c r="A169" s="182"/>
      <c r="B169" s="65"/>
      <c r="C169" s="65"/>
      <c r="D169" s="65"/>
      <c r="E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</row>
    <row r="170" spans="1:24" ht="15.75" customHeight="1" x14ac:dyDescent="0.4">
      <c r="A170" s="182"/>
      <c r="B170" s="65"/>
      <c r="C170" s="65"/>
      <c r="D170" s="65"/>
      <c r="E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</row>
    <row r="171" spans="1:24" ht="15.75" customHeight="1" x14ac:dyDescent="0.4">
      <c r="A171" s="182"/>
      <c r="B171" s="65"/>
      <c r="C171" s="65"/>
      <c r="D171" s="65"/>
      <c r="E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</row>
    <row r="172" spans="1:24" ht="15.75" customHeight="1" x14ac:dyDescent="0.4">
      <c r="A172" s="182"/>
      <c r="B172" s="65"/>
      <c r="C172" s="65"/>
      <c r="D172" s="65"/>
      <c r="E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</row>
    <row r="173" spans="1:24" ht="15.75" customHeight="1" x14ac:dyDescent="0.4">
      <c r="A173" s="182"/>
      <c r="B173" s="65"/>
      <c r="C173" s="65"/>
      <c r="D173" s="65"/>
      <c r="E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</row>
    <row r="174" spans="1:24" ht="15.75" customHeight="1" x14ac:dyDescent="0.4">
      <c r="A174" s="182"/>
      <c r="B174" s="65"/>
      <c r="C174" s="65"/>
      <c r="D174" s="65"/>
      <c r="E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</row>
    <row r="175" spans="1:24" ht="15.75" customHeight="1" x14ac:dyDescent="0.4">
      <c r="A175" s="182"/>
      <c r="B175" s="65"/>
      <c r="C175" s="65"/>
      <c r="D175" s="65"/>
      <c r="E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</row>
    <row r="176" spans="1:24" ht="15.75" customHeight="1" x14ac:dyDescent="0.4">
      <c r="A176" s="182"/>
      <c r="B176" s="65"/>
      <c r="C176" s="65"/>
      <c r="D176" s="65"/>
      <c r="E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</row>
    <row r="177" spans="1:24" ht="15.75" customHeight="1" x14ac:dyDescent="0.4">
      <c r="A177" s="182"/>
      <c r="B177" s="65"/>
      <c r="C177" s="65"/>
      <c r="D177" s="65"/>
      <c r="E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</row>
    <row r="178" spans="1:24" ht="15.75" customHeight="1" x14ac:dyDescent="0.4">
      <c r="A178" s="182"/>
      <c r="B178" s="65"/>
      <c r="C178" s="65"/>
      <c r="D178" s="65"/>
      <c r="E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</row>
    <row r="179" spans="1:24" ht="15.75" customHeight="1" x14ac:dyDescent="0.4">
      <c r="A179" s="182"/>
      <c r="B179" s="65"/>
      <c r="C179" s="65"/>
      <c r="D179" s="65"/>
      <c r="E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</row>
    <row r="180" spans="1:24" ht="15.75" customHeight="1" x14ac:dyDescent="0.4">
      <c r="A180" s="182"/>
      <c r="B180" s="65"/>
      <c r="C180" s="65"/>
      <c r="D180" s="65"/>
      <c r="E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</row>
    <row r="181" spans="1:24" ht="15.75" customHeight="1" x14ac:dyDescent="0.4">
      <c r="A181" s="182"/>
      <c r="B181" s="65"/>
      <c r="C181" s="65"/>
      <c r="D181" s="65"/>
      <c r="E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</row>
    <row r="182" spans="1:24" ht="15.75" customHeight="1" x14ac:dyDescent="0.4">
      <c r="A182" s="182"/>
      <c r="B182" s="65"/>
      <c r="C182" s="65"/>
      <c r="D182" s="65"/>
      <c r="E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</row>
    <row r="183" spans="1:24" ht="15.75" customHeight="1" x14ac:dyDescent="0.4">
      <c r="A183" s="182"/>
      <c r="B183" s="65"/>
      <c r="C183" s="65"/>
      <c r="D183" s="65"/>
      <c r="E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</row>
    <row r="184" spans="1:24" ht="15.75" customHeight="1" x14ac:dyDescent="0.4">
      <c r="A184" s="182"/>
      <c r="B184" s="65"/>
      <c r="C184" s="65"/>
      <c r="D184" s="65"/>
      <c r="E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</row>
    <row r="185" spans="1:24" ht="15.75" customHeight="1" x14ac:dyDescent="0.4">
      <c r="A185" s="182"/>
      <c r="B185" s="65"/>
      <c r="C185" s="65"/>
      <c r="D185" s="65"/>
      <c r="E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</row>
    <row r="186" spans="1:24" ht="15.75" customHeight="1" x14ac:dyDescent="0.4">
      <c r="A186" s="182"/>
      <c r="B186" s="65"/>
      <c r="C186" s="65"/>
      <c r="D186" s="65"/>
      <c r="E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</row>
    <row r="187" spans="1:24" ht="15.75" customHeight="1" x14ac:dyDescent="0.4">
      <c r="A187" s="182"/>
      <c r="B187" s="65"/>
      <c r="C187" s="65"/>
      <c r="D187" s="65"/>
      <c r="E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</row>
    <row r="188" spans="1:24" ht="15.75" customHeight="1" x14ac:dyDescent="0.4">
      <c r="A188" s="182"/>
      <c r="B188" s="65"/>
      <c r="C188" s="65"/>
      <c r="D188" s="65"/>
      <c r="E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</row>
    <row r="189" spans="1:24" ht="15.75" customHeight="1" x14ac:dyDescent="0.4">
      <c r="A189" s="182"/>
      <c r="B189" s="65"/>
      <c r="C189" s="65"/>
      <c r="D189" s="65"/>
      <c r="E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</row>
    <row r="190" spans="1:24" ht="15.75" customHeight="1" x14ac:dyDescent="0.4">
      <c r="A190" s="182"/>
      <c r="B190" s="65"/>
      <c r="C190" s="65"/>
      <c r="D190" s="65"/>
      <c r="E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</row>
    <row r="191" spans="1:24" ht="15.75" customHeight="1" x14ac:dyDescent="0.4">
      <c r="A191" s="182"/>
      <c r="B191" s="65"/>
      <c r="C191" s="65"/>
      <c r="D191" s="65"/>
      <c r="E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</row>
    <row r="192" spans="1:24" ht="15.75" customHeight="1" x14ac:dyDescent="0.4">
      <c r="A192" s="182"/>
      <c r="B192" s="65"/>
      <c r="C192" s="65"/>
      <c r="D192" s="65"/>
      <c r="E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</row>
    <row r="193" spans="1:24" ht="15.75" customHeight="1" x14ac:dyDescent="0.4">
      <c r="A193" s="182"/>
      <c r="B193" s="65"/>
      <c r="C193" s="65"/>
      <c r="D193" s="65"/>
      <c r="E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</row>
    <row r="194" spans="1:24" ht="15.75" customHeight="1" x14ac:dyDescent="0.4">
      <c r="A194" s="182"/>
      <c r="B194" s="65"/>
      <c r="C194" s="65"/>
      <c r="D194" s="65"/>
      <c r="E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</row>
    <row r="195" spans="1:24" ht="15.75" customHeight="1" x14ac:dyDescent="0.4">
      <c r="A195" s="182"/>
      <c r="B195" s="65"/>
      <c r="C195" s="65"/>
      <c r="D195" s="65"/>
      <c r="E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</row>
    <row r="196" spans="1:24" ht="15.75" customHeight="1" x14ac:dyDescent="0.4">
      <c r="A196" s="182"/>
      <c r="B196" s="65"/>
      <c r="C196" s="65"/>
      <c r="D196" s="65"/>
      <c r="E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</row>
    <row r="197" spans="1:24" ht="15.75" customHeight="1" x14ac:dyDescent="0.4">
      <c r="A197" s="182"/>
      <c r="B197" s="65"/>
      <c r="C197" s="65"/>
      <c r="D197" s="65"/>
      <c r="E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</row>
    <row r="198" spans="1:24" ht="15.75" customHeight="1" x14ac:dyDescent="0.4">
      <c r="A198" s="182"/>
      <c r="B198" s="65"/>
      <c r="C198" s="65"/>
      <c r="D198" s="65"/>
      <c r="E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</row>
    <row r="199" spans="1:24" ht="15.75" customHeight="1" x14ac:dyDescent="0.4">
      <c r="A199" s="182"/>
      <c r="B199" s="65"/>
      <c r="C199" s="65"/>
      <c r="D199" s="65"/>
      <c r="E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</row>
    <row r="200" spans="1:24" ht="15.75" customHeight="1" x14ac:dyDescent="0.4">
      <c r="A200" s="182"/>
      <c r="B200" s="65"/>
      <c r="C200" s="65"/>
      <c r="D200" s="65"/>
      <c r="E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</row>
    <row r="201" spans="1:24" ht="15.75" customHeight="1" x14ac:dyDescent="0.4">
      <c r="A201" s="182"/>
      <c r="B201" s="65"/>
      <c r="C201" s="65"/>
      <c r="D201" s="65"/>
      <c r="E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</row>
    <row r="202" spans="1:24" ht="15.75" customHeight="1" x14ac:dyDescent="0.4">
      <c r="A202" s="182"/>
      <c r="B202" s="65"/>
      <c r="C202" s="65"/>
      <c r="D202" s="65"/>
      <c r="E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</row>
    <row r="203" spans="1:24" ht="15.75" customHeight="1" x14ac:dyDescent="0.4">
      <c r="A203" s="182"/>
      <c r="B203" s="65"/>
      <c r="C203" s="65"/>
      <c r="D203" s="65"/>
      <c r="E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</row>
    <row r="204" spans="1:24" ht="15.75" customHeight="1" x14ac:dyDescent="0.4">
      <c r="A204" s="182"/>
      <c r="B204" s="65"/>
      <c r="C204" s="65"/>
      <c r="D204" s="65"/>
      <c r="E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</row>
    <row r="205" spans="1:24" ht="15.75" customHeight="1" x14ac:dyDescent="0.4">
      <c r="A205" s="182"/>
      <c r="B205" s="65"/>
      <c r="C205" s="65"/>
      <c r="D205" s="65"/>
      <c r="E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</row>
    <row r="206" spans="1:24" ht="15.75" customHeight="1" x14ac:dyDescent="0.4">
      <c r="A206" s="182"/>
      <c r="B206" s="65"/>
      <c r="C206" s="65"/>
      <c r="D206" s="65"/>
      <c r="E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</row>
    <row r="207" spans="1:24" ht="15.75" customHeight="1" x14ac:dyDescent="0.4">
      <c r="A207" s="182"/>
      <c r="B207" s="65"/>
      <c r="C207" s="65"/>
      <c r="D207" s="65"/>
      <c r="E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</row>
    <row r="208" spans="1:24" ht="15.75" customHeight="1" x14ac:dyDescent="0.4">
      <c r="A208" s="182"/>
      <c r="B208" s="65"/>
      <c r="C208" s="65"/>
      <c r="D208" s="65"/>
      <c r="E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</row>
    <row r="209" spans="1:24" ht="15.75" customHeight="1" x14ac:dyDescent="0.4">
      <c r="A209" s="182"/>
      <c r="B209" s="65"/>
      <c r="C209" s="65"/>
      <c r="D209" s="65"/>
      <c r="E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</row>
    <row r="210" spans="1:24" ht="15.75" customHeight="1" x14ac:dyDescent="0.4">
      <c r="A210" s="182"/>
      <c r="B210" s="65"/>
      <c r="C210" s="65"/>
      <c r="D210" s="65"/>
      <c r="E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</row>
    <row r="211" spans="1:24" ht="15.75" customHeight="1" x14ac:dyDescent="0.4">
      <c r="A211" s="182"/>
      <c r="B211" s="65"/>
      <c r="C211" s="65"/>
      <c r="D211" s="65"/>
      <c r="E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</row>
    <row r="212" spans="1:24" ht="15.75" customHeight="1" x14ac:dyDescent="0.4">
      <c r="A212" s="182"/>
      <c r="B212" s="65"/>
      <c r="C212" s="65"/>
      <c r="D212" s="65"/>
      <c r="E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</row>
    <row r="213" spans="1:24" ht="15.75" customHeight="1" x14ac:dyDescent="0.4">
      <c r="A213" s="182"/>
      <c r="B213" s="65"/>
      <c r="C213" s="65"/>
      <c r="D213" s="65"/>
      <c r="E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</row>
    <row r="214" spans="1:24" ht="15.75" customHeight="1" x14ac:dyDescent="0.4">
      <c r="A214" s="182"/>
      <c r="B214" s="65"/>
      <c r="C214" s="65"/>
      <c r="D214" s="65"/>
      <c r="E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</row>
    <row r="215" spans="1:24" ht="15.75" customHeight="1" x14ac:dyDescent="0.4">
      <c r="A215" s="182"/>
      <c r="B215" s="65"/>
      <c r="C215" s="65"/>
      <c r="D215" s="65"/>
      <c r="E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</row>
    <row r="216" spans="1:24" ht="15.75" customHeight="1" x14ac:dyDescent="0.4">
      <c r="A216" s="182"/>
      <c r="B216" s="65"/>
      <c r="C216" s="65"/>
      <c r="D216" s="65"/>
      <c r="E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</row>
    <row r="217" spans="1:24" ht="15.75" customHeight="1" x14ac:dyDescent="0.4">
      <c r="A217" s="182"/>
      <c r="B217" s="65"/>
      <c r="C217" s="65"/>
      <c r="D217" s="65"/>
      <c r="E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</row>
    <row r="218" spans="1:24" ht="15.75" customHeight="1" x14ac:dyDescent="0.4">
      <c r="A218" s="182"/>
      <c r="B218" s="65"/>
      <c r="C218" s="65"/>
      <c r="D218" s="65"/>
      <c r="E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</row>
    <row r="219" spans="1:24" ht="15.75" customHeight="1" x14ac:dyDescent="0.4">
      <c r="A219" s="182"/>
      <c r="B219" s="65"/>
      <c r="C219" s="65"/>
      <c r="D219" s="65"/>
      <c r="E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</row>
    <row r="220" spans="1:24" ht="15.75" customHeight="1" x14ac:dyDescent="0.4">
      <c r="A220" s="182"/>
      <c r="B220" s="65"/>
      <c r="C220" s="65"/>
      <c r="D220" s="65"/>
      <c r="E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</row>
    <row r="221" spans="1:24" ht="15.75" customHeight="1" x14ac:dyDescent="0.4">
      <c r="A221" s="182"/>
      <c r="B221" s="65"/>
      <c r="C221" s="65"/>
      <c r="D221" s="65"/>
      <c r="E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</row>
    <row r="222" spans="1:24" ht="15.75" customHeight="1" x14ac:dyDescent="0.4">
      <c r="A222" s="182"/>
      <c r="B222" s="65"/>
      <c r="C222" s="65"/>
      <c r="D222" s="65"/>
      <c r="E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</row>
    <row r="223" spans="1:24" ht="15.75" customHeight="1" x14ac:dyDescent="0.4">
      <c r="A223" s="182"/>
      <c r="B223" s="65"/>
      <c r="C223" s="65"/>
      <c r="D223" s="65"/>
      <c r="E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</row>
    <row r="224" spans="1:24" ht="15.75" customHeight="1" x14ac:dyDescent="0.4">
      <c r="A224" s="182"/>
      <c r="B224" s="65"/>
      <c r="C224" s="65"/>
      <c r="D224" s="65"/>
      <c r="E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</row>
    <row r="225" spans="1:24" ht="15.75" customHeight="1" x14ac:dyDescent="0.4">
      <c r="A225" s="182"/>
      <c r="B225" s="65"/>
      <c r="C225" s="65"/>
      <c r="D225" s="65"/>
      <c r="E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</row>
    <row r="226" spans="1:24" ht="15.75" customHeight="1" x14ac:dyDescent="0.4">
      <c r="A226" s="182"/>
      <c r="B226" s="65"/>
      <c r="C226" s="65"/>
      <c r="D226" s="65"/>
      <c r="E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</row>
    <row r="227" spans="1:24" ht="15.75" customHeight="1" x14ac:dyDescent="0.4">
      <c r="A227" s="182"/>
      <c r="B227" s="65"/>
      <c r="C227" s="65"/>
      <c r="D227" s="65"/>
      <c r="E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</row>
    <row r="228" spans="1:24" ht="15.75" customHeight="1" x14ac:dyDescent="0.4">
      <c r="A228" s="182"/>
      <c r="B228" s="65"/>
      <c r="C228" s="65"/>
      <c r="D228" s="65"/>
      <c r="E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</row>
    <row r="229" spans="1:24" ht="15.75" customHeight="1" x14ac:dyDescent="0.4">
      <c r="A229" s="182"/>
      <c r="B229" s="65"/>
      <c r="C229" s="65"/>
      <c r="D229" s="65"/>
      <c r="E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</row>
    <row r="230" spans="1:24" ht="15.75" customHeight="1" x14ac:dyDescent="0.4">
      <c r="A230" s="182"/>
      <c r="B230" s="65"/>
      <c r="C230" s="65"/>
      <c r="D230" s="65"/>
      <c r="E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</row>
    <row r="231" spans="1:24" ht="15.75" customHeight="1" x14ac:dyDescent="0.4">
      <c r="A231" s="182"/>
      <c r="B231" s="65"/>
      <c r="C231" s="65"/>
      <c r="D231" s="65"/>
      <c r="E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</row>
    <row r="232" spans="1:24" ht="15.75" customHeight="1" x14ac:dyDescent="0.4">
      <c r="A232" s="182"/>
      <c r="B232" s="65"/>
      <c r="C232" s="65"/>
      <c r="D232" s="65"/>
      <c r="E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</row>
    <row r="233" spans="1:24" ht="15.75" customHeight="1" x14ac:dyDescent="0.4">
      <c r="A233" s="182"/>
      <c r="B233" s="65"/>
      <c r="C233" s="65"/>
      <c r="D233" s="65"/>
      <c r="E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</row>
    <row r="234" spans="1:24" ht="15.75" customHeight="1" x14ac:dyDescent="0.4">
      <c r="A234" s="182"/>
      <c r="B234" s="65"/>
      <c r="C234" s="65"/>
      <c r="D234" s="65"/>
      <c r="E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</row>
    <row r="235" spans="1:24" ht="15.75" customHeight="1" x14ac:dyDescent="0.4">
      <c r="A235" s="182"/>
      <c r="B235" s="65"/>
      <c r="C235" s="65"/>
      <c r="D235" s="65"/>
      <c r="E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</row>
    <row r="236" spans="1:24" ht="15.75" customHeight="1" x14ac:dyDescent="0.4">
      <c r="A236" s="182"/>
      <c r="B236" s="65"/>
      <c r="C236" s="65"/>
      <c r="D236" s="65"/>
      <c r="E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</row>
    <row r="237" spans="1:24" ht="15.75" customHeight="1" x14ac:dyDescent="0.4">
      <c r="A237" s="182"/>
      <c r="B237" s="65"/>
      <c r="C237" s="65"/>
      <c r="D237" s="65"/>
      <c r="E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</row>
    <row r="238" spans="1:24" ht="15.75" customHeight="1" x14ac:dyDescent="0.4">
      <c r="A238" s="182"/>
      <c r="B238" s="65"/>
      <c r="C238" s="65"/>
      <c r="D238" s="65"/>
      <c r="E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</row>
    <row r="239" spans="1:24" ht="15.75" customHeight="1" x14ac:dyDescent="0.4">
      <c r="A239" s="182"/>
      <c r="B239" s="65"/>
      <c r="C239" s="65"/>
      <c r="D239" s="65"/>
      <c r="E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</row>
    <row r="240" spans="1:24" ht="15.75" customHeight="1" x14ac:dyDescent="0.4">
      <c r="A240" s="182"/>
      <c r="B240" s="65"/>
      <c r="C240" s="65"/>
      <c r="D240" s="65"/>
      <c r="E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</row>
    <row r="241" spans="1:24" ht="15.75" customHeight="1" x14ac:dyDescent="0.4">
      <c r="A241" s="182"/>
      <c r="B241" s="65"/>
      <c r="C241" s="65"/>
      <c r="D241" s="65"/>
      <c r="E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</row>
    <row r="242" spans="1:24" ht="15.75" customHeight="1" x14ac:dyDescent="0.4">
      <c r="A242" s="182"/>
      <c r="B242" s="65"/>
      <c r="C242" s="65"/>
      <c r="D242" s="65"/>
      <c r="E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</row>
    <row r="243" spans="1:24" ht="15.75" customHeight="1" x14ac:dyDescent="0.4">
      <c r="A243" s="182"/>
      <c r="B243" s="65"/>
      <c r="C243" s="65"/>
      <c r="D243" s="65"/>
      <c r="E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</row>
    <row r="244" spans="1:24" ht="15.75" customHeight="1" x14ac:dyDescent="0.4">
      <c r="A244" s="182"/>
      <c r="B244" s="65"/>
      <c r="C244" s="65"/>
      <c r="D244" s="65"/>
      <c r="E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</row>
    <row r="245" spans="1:24" ht="15.75" customHeight="1" x14ac:dyDescent="0.4">
      <c r="A245" s="182"/>
      <c r="B245" s="65"/>
      <c r="C245" s="65"/>
      <c r="D245" s="65"/>
      <c r="E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</row>
    <row r="246" spans="1:24" ht="15.75" customHeight="1" x14ac:dyDescent="0.4">
      <c r="A246" s="182"/>
      <c r="B246" s="65"/>
      <c r="C246" s="65"/>
      <c r="D246" s="65"/>
      <c r="E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</row>
    <row r="247" spans="1:24" ht="15.75" customHeight="1" x14ac:dyDescent="0.4">
      <c r="A247" s="182"/>
      <c r="B247" s="65"/>
      <c r="C247" s="65"/>
      <c r="D247" s="65"/>
      <c r="E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</row>
    <row r="248" spans="1:24" ht="15.75" customHeight="1" x14ac:dyDescent="0.4">
      <c r="A248" s="182"/>
      <c r="B248" s="65"/>
      <c r="C248" s="65"/>
      <c r="D248" s="65"/>
      <c r="E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</row>
    <row r="249" spans="1:24" ht="15.75" customHeight="1" x14ac:dyDescent="0.4">
      <c r="A249" s="182"/>
      <c r="B249" s="65"/>
      <c r="C249" s="65"/>
      <c r="D249" s="65"/>
      <c r="E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</row>
    <row r="250" spans="1:24" ht="15.75" customHeight="1" x14ac:dyDescent="0.4">
      <c r="A250" s="182"/>
      <c r="B250" s="65"/>
      <c r="C250" s="65"/>
      <c r="D250" s="65"/>
      <c r="E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</row>
    <row r="251" spans="1:24" ht="15.75" customHeight="1" x14ac:dyDescent="0.4">
      <c r="A251" s="182"/>
      <c r="B251" s="65"/>
      <c r="C251" s="65"/>
      <c r="D251" s="65"/>
      <c r="E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</row>
    <row r="252" spans="1:24" ht="15.75" customHeight="1" x14ac:dyDescent="0.4">
      <c r="A252" s="182"/>
      <c r="B252" s="65"/>
      <c r="C252" s="65"/>
      <c r="D252" s="65"/>
      <c r="E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</row>
    <row r="253" spans="1:24" ht="15.75" customHeight="1" x14ac:dyDescent="0.4">
      <c r="A253" s="182"/>
      <c r="B253" s="65"/>
      <c r="C253" s="65"/>
      <c r="D253" s="65"/>
      <c r="E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</row>
    <row r="254" spans="1:24" ht="15.75" customHeight="1" x14ac:dyDescent="0.4">
      <c r="A254" s="182"/>
      <c r="B254" s="65"/>
      <c r="C254" s="65"/>
      <c r="D254" s="65"/>
      <c r="E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</row>
    <row r="255" spans="1:24" ht="15.75" customHeight="1" x14ac:dyDescent="0.4">
      <c r="A255" s="182"/>
      <c r="B255" s="65"/>
      <c r="C255" s="65"/>
      <c r="D255" s="65"/>
      <c r="E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</row>
    <row r="256" spans="1:24" ht="15.75" customHeight="1" x14ac:dyDescent="0.4">
      <c r="A256" s="182"/>
      <c r="B256" s="65"/>
      <c r="C256" s="65"/>
      <c r="D256" s="65"/>
      <c r="E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</row>
    <row r="257" spans="1:24" ht="15.75" customHeight="1" x14ac:dyDescent="0.4">
      <c r="A257" s="182"/>
      <c r="B257" s="65"/>
      <c r="C257" s="65"/>
      <c r="D257" s="65"/>
      <c r="E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</row>
    <row r="258" spans="1:24" ht="15.75" customHeight="1" x14ac:dyDescent="0.4">
      <c r="A258" s="182"/>
      <c r="B258" s="65"/>
      <c r="C258" s="65"/>
      <c r="D258" s="65"/>
      <c r="E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</row>
    <row r="259" spans="1:24" ht="15.75" customHeight="1" x14ac:dyDescent="0.4">
      <c r="A259" s="182"/>
      <c r="B259" s="65"/>
      <c r="C259" s="65"/>
      <c r="D259" s="65"/>
      <c r="E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</row>
    <row r="260" spans="1:24" ht="15.75" customHeight="1" x14ac:dyDescent="0.4">
      <c r="A260" s="182"/>
      <c r="B260" s="65"/>
      <c r="C260" s="65"/>
      <c r="D260" s="65"/>
      <c r="E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</row>
    <row r="261" spans="1:24" ht="15.75" customHeight="1" x14ac:dyDescent="0.4">
      <c r="A261" s="182"/>
      <c r="B261" s="65"/>
      <c r="C261" s="65"/>
      <c r="D261" s="65"/>
      <c r="E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</row>
    <row r="262" spans="1:24" ht="15.75" customHeight="1" x14ac:dyDescent="0.4">
      <c r="A262" s="182"/>
      <c r="B262" s="65"/>
      <c r="C262" s="65"/>
      <c r="D262" s="65"/>
      <c r="E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</row>
    <row r="263" spans="1:24" ht="15.75" customHeight="1" x14ac:dyDescent="0.4">
      <c r="A263" s="182"/>
      <c r="B263" s="65"/>
      <c r="C263" s="65"/>
      <c r="D263" s="65"/>
      <c r="E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</row>
    <row r="264" spans="1:24" ht="15.75" customHeight="1" x14ac:dyDescent="0.4">
      <c r="A264" s="182"/>
      <c r="B264" s="65"/>
      <c r="C264" s="65"/>
      <c r="D264" s="65"/>
      <c r="E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</row>
    <row r="265" spans="1:24" ht="15.75" customHeight="1" x14ac:dyDescent="0.4">
      <c r="A265" s="182"/>
      <c r="B265" s="65"/>
      <c r="C265" s="65"/>
      <c r="D265" s="65"/>
      <c r="E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</row>
    <row r="266" spans="1:24" ht="15.75" customHeight="1" x14ac:dyDescent="0.4">
      <c r="A266" s="182"/>
      <c r="B266" s="65"/>
      <c r="C266" s="65"/>
      <c r="D266" s="65"/>
      <c r="E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</row>
    <row r="267" spans="1:24" ht="15.75" customHeight="1" x14ac:dyDescent="0.4">
      <c r="A267" s="182"/>
      <c r="B267" s="65"/>
      <c r="C267" s="65"/>
      <c r="D267" s="65"/>
      <c r="E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</row>
    <row r="268" spans="1:24" ht="15.75" customHeight="1" x14ac:dyDescent="0.4">
      <c r="A268" s="182"/>
      <c r="B268" s="65"/>
      <c r="C268" s="65"/>
      <c r="D268" s="65"/>
      <c r="E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</row>
    <row r="269" spans="1:24" ht="15.75" customHeight="1" x14ac:dyDescent="0.4">
      <c r="A269" s="182"/>
      <c r="B269" s="65"/>
      <c r="C269" s="65"/>
      <c r="D269" s="65"/>
      <c r="E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</row>
    <row r="270" spans="1:24" ht="15.75" customHeight="1" x14ac:dyDescent="0.4">
      <c r="A270" s="182"/>
      <c r="B270" s="65"/>
      <c r="C270" s="65"/>
      <c r="D270" s="65"/>
      <c r="E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</row>
    <row r="271" spans="1:24" ht="15.75" customHeight="1" x14ac:dyDescent="0.4">
      <c r="A271" s="182"/>
      <c r="B271" s="65"/>
      <c r="C271" s="65"/>
      <c r="D271" s="65"/>
      <c r="E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</row>
    <row r="272" spans="1:24" ht="15.75" customHeight="1" x14ac:dyDescent="0.4">
      <c r="A272" s="182"/>
      <c r="B272" s="65"/>
      <c r="C272" s="65"/>
      <c r="D272" s="65"/>
      <c r="E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</row>
    <row r="273" spans="1:24" ht="15.75" customHeight="1" x14ac:dyDescent="0.4">
      <c r="A273" s="182"/>
      <c r="B273" s="65"/>
      <c r="C273" s="65"/>
      <c r="D273" s="65"/>
      <c r="E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</row>
    <row r="274" spans="1:24" ht="15.75" customHeight="1" x14ac:dyDescent="0.4">
      <c r="A274" s="182"/>
      <c r="B274" s="65"/>
      <c r="C274" s="65"/>
      <c r="D274" s="65"/>
      <c r="E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</row>
    <row r="275" spans="1:24" ht="15.75" customHeight="1" x14ac:dyDescent="0.4">
      <c r="A275" s="182"/>
      <c r="B275" s="65"/>
      <c r="C275" s="65"/>
      <c r="D275" s="65"/>
      <c r="E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</row>
    <row r="276" spans="1:24" ht="15.75" customHeight="1" x14ac:dyDescent="0.4">
      <c r="A276" s="182"/>
      <c r="B276" s="65"/>
      <c r="C276" s="65"/>
      <c r="D276" s="65"/>
      <c r="E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</row>
    <row r="277" spans="1:24" ht="15.75" customHeight="1" x14ac:dyDescent="0.4">
      <c r="A277" s="182"/>
      <c r="B277" s="65"/>
      <c r="C277" s="65"/>
      <c r="D277" s="65"/>
      <c r="E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</row>
    <row r="278" spans="1:24" ht="15.75" customHeight="1" x14ac:dyDescent="0.4">
      <c r="A278" s="182"/>
      <c r="B278" s="65"/>
      <c r="C278" s="65"/>
      <c r="D278" s="65"/>
      <c r="E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</row>
    <row r="279" spans="1:24" ht="15.75" customHeight="1" x14ac:dyDescent="0.4">
      <c r="A279" s="182"/>
      <c r="B279" s="65"/>
      <c r="C279" s="65"/>
      <c r="D279" s="65"/>
      <c r="E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</row>
    <row r="280" spans="1:24" ht="15.75" customHeight="1" x14ac:dyDescent="0.4">
      <c r="A280" s="182"/>
      <c r="B280" s="65"/>
      <c r="C280" s="65"/>
      <c r="D280" s="65"/>
      <c r="E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</row>
    <row r="281" spans="1:24" ht="15.75" customHeight="1" x14ac:dyDescent="0.4">
      <c r="A281" s="182"/>
      <c r="B281" s="65"/>
      <c r="C281" s="65"/>
      <c r="D281" s="65"/>
      <c r="E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</row>
    <row r="282" spans="1:24" ht="15.75" customHeight="1" x14ac:dyDescent="0.4">
      <c r="A282" s="182"/>
      <c r="B282" s="65"/>
      <c r="C282" s="65"/>
      <c r="D282" s="65"/>
      <c r="E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</row>
    <row r="283" spans="1:24" ht="15.75" customHeight="1" x14ac:dyDescent="0.4">
      <c r="A283" s="182"/>
      <c r="B283" s="65"/>
      <c r="C283" s="65"/>
      <c r="D283" s="65"/>
      <c r="E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</row>
    <row r="284" spans="1:24" ht="15.75" customHeight="1" x14ac:dyDescent="0.4">
      <c r="A284" s="182"/>
      <c r="B284" s="65"/>
      <c r="C284" s="65"/>
      <c r="D284" s="65"/>
      <c r="E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</row>
    <row r="285" spans="1:24" ht="15.75" customHeight="1" x14ac:dyDescent="0.4">
      <c r="A285" s="182"/>
      <c r="B285" s="65"/>
      <c r="C285" s="65"/>
      <c r="D285" s="65"/>
      <c r="E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</row>
    <row r="286" spans="1:24" ht="15.75" customHeight="1" x14ac:dyDescent="0.4">
      <c r="A286" s="182"/>
      <c r="B286" s="65"/>
      <c r="C286" s="65"/>
      <c r="D286" s="65"/>
      <c r="E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</row>
    <row r="287" spans="1:24" ht="15.75" customHeight="1" x14ac:dyDescent="0.4">
      <c r="A287" s="182"/>
      <c r="B287" s="65"/>
      <c r="C287" s="65"/>
      <c r="D287" s="65"/>
      <c r="E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</row>
    <row r="288" spans="1:24" ht="15.75" customHeight="1" x14ac:dyDescent="0.4">
      <c r="A288" s="182"/>
      <c r="B288" s="65"/>
      <c r="C288" s="65"/>
      <c r="D288" s="65"/>
      <c r="E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</row>
    <row r="289" spans="1:24" ht="15.75" customHeight="1" x14ac:dyDescent="0.4">
      <c r="A289" s="182"/>
      <c r="B289" s="65"/>
      <c r="C289" s="65"/>
      <c r="D289" s="65"/>
      <c r="E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</row>
    <row r="290" spans="1:24" ht="15.75" customHeight="1" x14ac:dyDescent="0.4">
      <c r="A290" s="182"/>
      <c r="B290" s="65"/>
      <c r="C290" s="65"/>
      <c r="D290" s="65"/>
      <c r="E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</row>
    <row r="291" spans="1:24" ht="15.75" customHeight="1" x14ac:dyDescent="0.4">
      <c r="A291" s="182"/>
      <c r="B291" s="65"/>
      <c r="C291" s="65"/>
      <c r="D291" s="65"/>
      <c r="E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</row>
    <row r="292" spans="1:24" ht="15.75" customHeight="1" x14ac:dyDescent="0.4">
      <c r="A292" s="182"/>
      <c r="B292" s="65"/>
      <c r="C292" s="65"/>
      <c r="D292" s="65"/>
      <c r="E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</row>
    <row r="293" spans="1:24" ht="15.75" customHeight="1" x14ac:dyDescent="0.4">
      <c r="A293" s="182"/>
      <c r="B293" s="65"/>
      <c r="C293" s="65"/>
      <c r="D293" s="65"/>
      <c r="E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</row>
    <row r="294" spans="1:24" ht="15.75" customHeight="1" x14ac:dyDescent="0.4">
      <c r="A294" s="182"/>
      <c r="B294" s="65"/>
      <c r="C294" s="65"/>
      <c r="D294" s="65"/>
      <c r="E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</row>
    <row r="295" spans="1:24" ht="15.75" customHeight="1" x14ac:dyDescent="0.4">
      <c r="A295" s="182"/>
      <c r="B295" s="65"/>
      <c r="C295" s="65"/>
      <c r="D295" s="65"/>
      <c r="E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</row>
    <row r="296" spans="1:24" ht="15.75" customHeight="1" x14ac:dyDescent="0.4">
      <c r="A296" s="182"/>
      <c r="B296" s="65"/>
      <c r="C296" s="65"/>
      <c r="D296" s="65"/>
      <c r="E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</row>
    <row r="297" spans="1:24" ht="15.75" customHeight="1" x14ac:dyDescent="0.4">
      <c r="A297" s="182"/>
      <c r="B297" s="65"/>
      <c r="C297" s="65"/>
      <c r="D297" s="65"/>
      <c r="E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</row>
    <row r="298" spans="1:24" ht="15.75" customHeight="1" x14ac:dyDescent="0.4">
      <c r="A298" s="182"/>
      <c r="B298" s="65"/>
      <c r="C298" s="65"/>
      <c r="D298" s="65"/>
      <c r="E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</row>
    <row r="299" spans="1:24" ht="15.75" customHeight="1" x14ac:dyDescent="0.4">
      <c r="A299" s="182"/>
      <c r="B299" s="65"/>
      <c r="C299" s="65"/>
      <c r="D299" s="65"/>
      <c r="E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</row>
    <row r="300" spans="1:24" ht="15.75" customHeight="1" x14ac:dyDescent="0.4">
      <c r="A300" s="182"/>
      <c r="B300" s="65"/>
      <c r="C300" s="65"/>
      <c r="D300" s="65"/>
      <c r="E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</row>
    <row r="301" spans="1:24" ht="15.75" customHeight="1" x14ac:dyDescent="0.4">
      <c r="A301" s="182"/>
      <c r="B301" s="65"/>
      <c r="C301" s="65"/>
      <c r="D301" s="65"/>
      <c r="E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</row>
    <row r="302" spans="1:24" ht="15.75" customHeight="1" x14ac:dyDescent="0.4">
      <c r="A302" s="182"/>
      <c r="B302" s="65"/>
      <c r="C302" s="65"/>
      <c r="D302" s="65"/>
      <c r="E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</row>
    <row r="303" spans="1:24" ht="15.75" customHeight="1" x14ac:dyDescent="0.4">
      <c r="A303" s="182"/>
      <c r="B303" s="65"/>
      <c r="C303" s="65"/>
      <c r="D303" s="65"/>
      <c r="E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</row>
    <row r="304" spans="1:24" ht="15.75" customHeight="1" x14ac:dyDescent="0.4">
      <c r="A304" s="182"/>
      <c r="B304" s="65"/>
      <c r="C304" s="65"/>
      <c r="D304" s="65"/>
      <c r="E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</row>
    <row r="305" spans="1:24" ht="15.75" customHeight="1" x14ac:dyDescent="0.4">
      <c r="A305" s="182"/>
      <c r="B305" s="65"/>
      <c r="C305" s="65"/>
      <c r="D305" s="65"/>
      <c r="E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</row>
    <row r="306" spans="1:24" ht="15.75" customHeight="1" x14ac:dyDescent="0.4">
      <c r="A306" s="182"/>
      <c r="B306" s="65"/>
      <c r="C306" s="65"/>
      <c r="D306" s="65"/>
      <c r="E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</row>
    <row r="307" spans="1:24" ht="15.75" customHeight="1" x14ac:dyDescent="0.4">
      <c r="A307" s="182"/>
      <c r="B307" s="65"/>
      <c r="C307" s="65"/>
      <c r="D307" s="65"/>
      <c r="E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</row>
    <row r="308" spans="1:24" ht="15.75" customHeight="1" x14ac:dyDescent="0.4">
      <c r="A308" s="182"/>
      <c r="B308" s="65"/>
      <c r="C308" s="65"/>
      <c r="D308" s="65"/>
      <c r="E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</row>
    <row r="309" spans="1:24" ht="15.75" customHeight="1" x14ac:dyDescent="0.4">
      <c r="A309" s="182"/>
      <c r="B309" s="65"/>
      <c r="C309" s="65"/>
      <c r="D309" s="65"/>
      <c r="E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</row>
    <row r="310" spans="1:24" ht="15.75" customHeight="1" x14ac:dyDescent="0.4">
      <c r="A310" s="182"/>
      <c r="B310" s="65"/>
      <c r="C310" s="65"/>
      <c r="D310" s="65"/>
      <c r="E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</row>
    <row r="311" spans="1:24" ht="15.75" customHeight="1" x14ac:dyDescent="0.4">
      <c r="A311" s="182"/>
      <c r="B311" s="65"/>
      <c r="C311" s="65"/>
      <c r="D311" s="65"/>
      <c r="E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</row>
    <row r="312" spans="1:24" ht="15.75" customHeight="1" x14ac:dyDescent="0.4">
      <c r="A312" s="182"/>
      <c r="B312" s="65"/>
      <c r="C312" s="65"/>
      <c r="D312" s="65"/>
      <c r="E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</row>
    <row r="313" spans="1:24" ht="15.75" customHeight="1" x14ac:dyDescent="0.4">
      <c r="A313" s="182"/>
      <c r="B313" s="65"/>
      <c r="C313" s="65"/>
      <c r="D313" s="65"/>
      <c r="E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</row>
    <row r="314" spans="1:24" ht="15.75" customHeight="1" x14ac:dyDescent="0.4">
      <c r="A314" s="182"/>
      <c r="B314" s="65"/>
      <c r="C314" s="65"/>
      <c r="D314" s="65"/>
      <c r="E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</row>
    <row r="315" spans="1:24" ht="15.75" customHeight="1" x14ac:dyDescent="0.4">
      <c r="A315" s="182"/>
      <c r="B315" s="65"/>
      <c r="C315" s="65"/>
      <c r="D315" s="65"/>
      <c r="E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</row>
    <row r="316" spans="1:24" ht="15.75" customHeight="1" x14ac:dyDescent="0.4">
      <c r="A316" s="182"/>
      <c r="B316" s="65"/>
      <c r="C316" s="65"/>
      <c r="D316" s="65"/>
      <c r="E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</row>
    <row r="317" spans="1:24" ht="15.75" customHeight="1" x14ac:dyDescent="0.4">
      <c r="A317" s="182"/>
      <c r="B317" s="65"/>
      <c r="C317" s="65"/>
      <c r="D317" s="65"/>
      <c r="E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</row>
    <row r="318" spans="1:24" ht="15.75" customHeight="1" x14ac:dyDescent="0.4">
      <c r="A318" s="182"/>
      <c r="B318" s="65"/>
      <c r="C318" s="65"/>
      <c r="D318" s="65"/>
      <c r="E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</row>
    <row r="319" spans="1:24" ht="15.75" customHeight="1" x14ac:dyDescent="0.4">
      <c r="A319" s="182"/>
      <c r="B319" s="65"/>
      <c r="C319" s="65"/>
      <c r="D319" s="65"/>
      <c r="E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</row>
    <row r="320" spans="1:24" ht="15.75" customHeight="1" x14ac:dyDescent="0.4">
      <c r="A320" s="182"/>
      <c r="B320" s="65"/>
      <c r="C320" s="65"/>
      <c r="D320" s="65"/>
      <c r="E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</row>
    <row r="321" spans="1:24" ht="15.75" customHeight="1" x14ac:dyDescent="0.4">
      <c r="A321" s="182"/>
      <c r="B321" s="65"/>
      <c r="C321" s="65"/>
      <c r="D321" s="65"/>
      <c r="E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</row>
    <row r="322" spans="1:24" ht="15.75" customHeight="1" x14ac:dyDescent="0.4">
      <c r="A322" s="182"/>
      <c r="B322" s="65"/>
      <c r="C322" s="65"/>
      <c r="D322" s="65"/>
      <c r="E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</row>
    <row r="323" spans="1:24" ht="15.75" customHeight="1" x14ac:dyDescent="0.4">
      <c r="A323" s="182"/>
      <c r="B323" s="65"/>
      <c r="C323" s="65"/>
      <c r="D323" s="65"/>
      <c r="E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</row>
    <row r="324" spans="1:24" ht="15.75" customHeight="1" x14ac:dyDescent="0.4">
      <c r="A324" s="182"/>
      <c r="B324" s="65"/>
      <c r="C324" s="65"/>
      <c r="D324" s="65"/>
      <c r="E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</row>
    <row r="325" spans="1:24" ht="15.75" customHeight="1" x14ac:dyDescent="0.4">
      <c r="A325" s="182"/>
      <c r="B325" s="65"/>
      <c r="C325" s="65"/>
      <c r="D325" s="65"/>
      <c r="E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</row>
    <row r="326" spans="1:24" ht="15.75" customHeight="1" x14ac:dyDescent="0.4">
      <c r="A326" s="182"/>
      <c r="B326" s="65"/>
      <c r="C326" s="65"/>
      <c r="D326" s="65"/>
      <c r="E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</row>
    <row r="327" spans="1:24" ht="15.75" customHeight="1" x14ac:dyDescent="0.4">
      <c r="A327" s="182"/>
      <c r="B327" s="65"/>
      <c r="C327" s="65"/>
      <c r="D327" s="65"/>
      <c r="E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</row>
    <row r="328" spans="1:24" ht="15.75" customHeight="1" x14ac:dyDescent="0.4">
      <c r="A328" s="182"/>
      <c r="B328" s="65"/>
      <c r="C328" s="65"/>
      <c r="D328" s="65"/>
      <c r="E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</row>
    <row r="329" spans="1:24" ht="15.75" customHeight="1" x14ac:dyDescent="0.4">
      <c r="A329" s="182"/>
      <c r="B329" s="65"/>
      <c r="C329" s="65"/>
      <c r="D329" s="65"/>
      <c r="E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</row>
    <row r="330" spans="1:24" ht="15.75" customHeight="1" x14ac:dyDescent="0.4">
      <c r="A330" s="182"/>
      <c r="B330" s="65"/>
      <c r="C330" s="65"/>
      <c r="D330" s="65"/>
      <c r="E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</row>
    <row r="331" spans="1:24" ht="15.75" customHeight="1" x14ac:dyDescent="0.4">
      <c r="A331" s="182"/>
      <c r="B331" s="65"/>
      <c r="C331" s="65"/>
      <c r="D331" s="65"/>
      <c r="E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</row>
    <row r="332" spans="1:24" ht="15.75" customHeight="1" x14ac:dyDescent="0.4">
      <c r="A332" s="182"/>
      <c r="B332" s="65"/>
      <c r="C332" s="65"/>
      <c r="D332" s="65"/>
      <c r="E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</row>
    <row r="333" spans="1:24" ht="15.75" customHeight="1" x14ac:dyDescent="0.4">
      <c r="A333" s="182"/>
      <c r="B333" s="65"/>
      <c r="C333" s="65"/>
      <c r="D333" s="65"/>
      <c r="E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</row>
    <row r="334" spans="1:24" ht="15.75" customHeight="1" x14ac:dyDescent="0.4">
      <c r="A334" s="182"/>
      <c r="B334" s="65"/>
      <c r="C334" s="65"/>
      <c r="D334" s="65"/>
      <c r="E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</row>
    <row r="335" spans="1:24" ht="15.75" customHeight="1" x14ac:dyDescent="0.4">
      <c r="A335" s="182"/>
      <c r="B335" s="65"/>
      <c r="C335" s="65"/>
      <c r="D335" s="65"/>
      <c r="E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</row>
    <row r="336" spans="1:24" ht="15.75" customHeight="1" x14ac:dyDescent="0.4">
      <c r="A336" s="182"/>
      <c r="B336" s="65"/>
      <c r="C336" s="65"/>
      <c r="D336" s="65"/>
      <c r="E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</row>
    <row r="337" spans="1:24" ht="15.75" customHeight="1" x14ac:dyDescent="0.4">
      <c r="A337" s="182"/>
      <c r="B337" s="65"/>
      <c r="C337" s="65"/>
      <c r="D337" s="65"/>
      <c r="E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</row>
    <row r="338" spans="1:24" ht="15.75" customHeight="1" x14ac:dyDescent="0.4">
      <c r="A338" s="182"/>
      <c r="B338" s="65"/>
      <c r="C338" s="65"/>
      <c r="D338" s="65"/>
      <c r="E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</row>
    <row r="339" spans="1:24" ht="15.75" customHeight="1" x14ac:dyDescent="0.4">
      <c r="A339" s="182"/>
      <c r="B339" s="65"/>
      <c r="C339" s="65"/>
      <c r="D339" s="65"/>
      <c r="E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</row>
    <row r="340" spans="1:24" ht="15.75" customHeight="1" x14ac:dyDescent="0.4">
      <c r="A340" s="182"/>
      <c r="B340" s="65"/>
      <c r="C340" s="65"/>
      <c r="D340" s="65"/>
      <c r="E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</row>
    <row r="341" spans="1:24" ht="15.75" customHeight="1" x14ac:dyDescent="0.4">
      <c r="A341" s="182"/>
      <c r="B341" s="65"/>
      <c r="C341" s="65"/>
      <c r="D341" s="65"/>
      <c r="E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</row>
    <row r="342" spans="1:24" ht="15.75" customHeight="1" x14ac:dyDescent="0.4">
      <c r="A342" s="182"/>
      <c r="B342" s="65"/>
      <c r="C342" s="65"/>
      <c r="D342" s="65"/>
      <c r="E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</row>
    <row r="343" spans="1:24" ht="15.75" customHeight="1" x14ac:dyDescent="0.4">
      <c r="A343" s="182"/>
      <c r="B343" s="65"/>
      <c r="C343" s="65"/>
      <c r="D343" s="65"/>
      <c r="E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</row>
    <row r="344" spans="1:24" ht="15.75" customHeight="1" x14ac:dyDescent="0.4">
      <c r="A344" s="182"/>
      <c r="B344" s="65"/>
      <c r="C344" s="65"/>
      <c r="D344" s="65"/>
      <c r="E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</row>
    <row r="345" spans="1:24" ht="15.75" customHeight="1" x14ac:dyDescent="0.4">
      <c r="A345" s="182"/>
      <c r="B345" s="65"/>
      <c r="C345" s="65"/>
      <c r="D345" s="65"/>
      <c r="E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</row>
    <row r="346" spans="1:24" ht="15.75" customHeight="1" x14ac:dyDescent="0.4">
      <c r="A346" s="182"/>
      <c r="B346" s="65"/>
      <c r="C346" s="65"/>
      <c r="D346" s="65"/>
      <c r="E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</row>
    <row r="347" spans="1:24" ht="15.75" customHeight="1" x14ac:dyDescent="0.4">
      <c r="A347" s="182"/>
      <c r="B347" s="65"/>
      <c r="C347" s="65"/>
      <c r="D347" s="65"/>
      <c r="E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</row>
    <row r="348" spans="1:24" ht="15.75" customHeight="1" x14ac:dyDescent="0.4">
      <c r="A348" s="182"/>
      <c r="B348" s="65"/>
      <c r="C348" s="65"/>
      <c r="D348" s="65"/>
      <c r="E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</row>
    <row r="349" spans="1:24" ht="15.75" customHeight="1" x14ac:dyDescent="0.4">
      <c r="A349" s="182"/>
      <c r="B349" s="65"/>
      <c r="C349" s="65"/>
      <c r="D349" s="65"/>
      <c r="E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</row>
    <row r="350" spans="1:24" ht="15.75" customHeight="1" x14ac:dyDescent="0.4">
      <c r="A350" s="182"/>
      <c r="B350" s="65"/>
      <c r="C350" s="65"/>
      <c r="D350" s="65"/>
      <c r="E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</row>
    <row r="351" spans="1:24" ht="15.75" customHeight="1" x14ac:dyDescent="0.4">
      <c r="A351" s="182"/>
      <c r="B351" s="65"/>
      <c r="C351" s="65"/>
      <c r="D351" s="65"/>
      <c r="E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</row>
    <row r="352" spans="1:24" ht="15.75" customHeight="1" x14ac:dyDescent="0.4">
      <c r="A352" s="182"/>
      <c r="B352" s="65"/>
      <c r="C352" s="65"/>
      <c r="D352" s="65"/>
      <c r="E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</row>
    <row r="353" spans="1:24" ht="15.75" customHeight="1" x14ac:dyDescent="0.4">
      <c r="A353" s="182"/>
      <c r="B353" s="65"/>
      <c r="C353" s="65"/>
      <c r="D353" s="65"/>
      <c r="E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</row>
    <row r="354" spans="1:24" ht="15.75" customHeight="1" x14ac:dyDescent="0.4">
      <c r="A354" s="182"/>
      <c r="B354" s="65"/>
      <c r="C354" s="65"/>
      <c r="D354" s="65"/>
      <c r="E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</row>
    <row r="355" spans="1:24" ht="15.75" customHeight="1" x14ac:dyDescent="0.4">
      <c r="A355" s="182"/>
      <c r="B355" s="65"/>
      <c r="C355" s="65"/>
      <c r="D355" s="65"/>
      <c r="E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</row>
    <row r="356" spans="1:24" ht="15.75" customHeight="1" x14ac:dyDescent="0.4">
      <c r="A356" s="182"/>
      <c r="B356" s="65"/>
      <c r="C356" s="65"/>
      <c r="D356" s="65"/>
      <c r="E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</row>
    <row r="357" spans="1:24" ht="15.75" customHeight="1" x14ac:dyDescent="0.4">
      <c r="A357" s="182"/>
      <c r="B357" s="65"/>
      <c r="C357" s="65"/>
      <c r="D357" s="65"/>
      <c r="E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</row>
    <row r="358" spans="1:24" ht="15.75" customHeight="1" x14ac:dyDescent="0.4">
      <c r="A358" s="182"/>
      <c r="B358" s="65"/>
      <c r="C358" s="65"/>
      <c r="D358" s="65"/>
      <c r="E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</row>
    <row r="359" spans="1:24" ht="15.75" customHeight="1" x14ac:dyDescent="0.4">
      <c r="A359" s="182"/>
      <c r="B359" s="65"/>
      <c r="C359" s="65"/>
      <c r="D359" s="65"/>
      <c r="E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</row>
    <row r="360" spans="1:24" ht="15.75" customHeight="1" x14ac:dyDescent="0.4">
      <c r="A360" s="182"/>
      <c r="B360" s="65"/>
      <c r="C360" s="65"/>
      <c r="D360" s="65"/>
      <c r="E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</row>
    <row r="361" spans="1:24" ht="15.75" customHeight="1" x14ac:dyDescent="0.4">
      <c r="A361" s="182"/>
      <c r="B361" s="65"/>
      <c r="C361" s="65"/>
      <c r="D361" s="65"/>
      <c r="E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</row>
    <row r="362" spans="1:24" ht="15.75" customHeight="1" x14ac:dyDescent="0.4">
      <c r="A362" s="182"/>
      <c r="B362" s="65"/>
      <c r="C362" s="65"/>
      <c r="D362" s="65"/>
      <c r="E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</row>
    <row r="363" spans="1:24" ht="15.75" customHeight="1" x14ac:dyDescent="0.4">
      <c r="A363" s="182"/>
      <c r="B363" s="65"/>
      <c r="C363" s="65"/>
      <c r="D363" s="65"/>
      <c r="E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</row>
    <row r="364" spans="1:24" ht="15.75" customHeight="1" x14ac:dyDescent="0.4">
      <c r="A364" s="182"/>
      <c r="B364" s="65"/>
      <c r="C364" s="65"/>
      <c r="D364" s="65"/>
      <c r="E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</row>
    <row r="365" spans="1:24" ht="15.75" customHeight="1" x14ac:dyDescent="0.4">
      <c r="A365" s="182"/>
      <c r="B365" s="65"/>
      <c r="C365" s="65"/>
      <c r="D365" s="65"/>
      <c r="E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</row>
    <row r="366" spans="1:24" ht="15.75" customHeight="1" x14ac:dyDescent="0.4">
      <c r="A366" s="182"/>
      <c r="B366" s="65"/>
      <c r="C366" s="65"/>
      <c r="D366" s="65"/>
      <c r="E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</row>
    <row r="367" spans="1:24" ht="15.75" customHeight="1" x14ac:dyDescent="0.4">
      <c r="A367" s="182"/>
      <c r="B367" s="65"/>
      <c r="C367" s="65"/>
      <c r="D367" s="65"/>
      <c r="E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</row>
    <row r="368" spans="1:24" ht="15.75" customHeight="1" x14ac:dyDescent="0.4">
      <c r="A368" s="182"/>
      <c r="B368" s="65"/>
      <c r="C368" s="65"/>
      <c r="D368" s="65"/>
      <c r="E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</row>
    <row r="369" spans="1:24" ht="15.75" customHeight="1" x14ac:dyDescent="0.4">
      <c r="A369" s="182"/>
      <c r="B369" s="65"/>
      <c r="C369" s="65"/>
      <c r="D369" s="65"/>
      <c r="E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</row>
    <row r="370" spans="1:24" ht="15.75" customHeight="1" x14ac:dyDescent="0.4">
      <c r="A370" s="182"/>
      <c r="B370" s="65"/>
      <c r="C370" s="65"/>
      <c r="D370" s="65"/>
      <c r="E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</row>
    <row r="371" spans="1:24" ht="15.75" customHeight="1" x14ac:dyDescent="0.4">
      <c r="A371" s="182"/>
      <c r="B371" s="65"/>
      <c r="C371" s="65"/>
      <c r="D371" s="65"/>
      <c r="E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</row>
    <row r="372" spans="1:24" ht="15.75" customHeight="1" x14ac:dyDescent="0.4">
      <c r="A372" s="182"/>
      <c r="B372" s="65"/>
      <c r="C372" s="65"/>
      <c r="D372" s="65"/>
      <c r="E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</row>
    <row r="373" spans="1:24" ht="15.75" customHeight="1" x14ac:dyDescent="0.4">
      <c r="A373" s="182"/>
      <c r="B373" s="65"/>
      <c r="C373" s="65"/>
      <c r="D373" s="65"/>
      <c r="E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</row>
    <row r="374" spans="1:24" ht="15.75" customHeight="1" x14ac:dyDescent="0.4">
      <c r="A374" s="182"/>
      <c r="B374" s="65"/>
      <c r="C374" s="65"/>
      <c r="D374" s="65"/>
      <c r="E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</row>
    <row r="375" spans="1:24" ht="15.75" customHeight="1" x14ac:dyDescent="0.4">
      <c r="A375" s="182"/>
      <c r="B375" s="65"/>
      <c r="C375" s="65"/>
      <c r="D375" s="65"/>
      <c r="E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</row>
    <row r="376" spans="1:24" ht="15.75" customHeight="1" x14ac:dyDescent="0.4">
      <c r="A376" s="182"/>
      <c r="B376" s="65"/>
      <c r="C376" s="65"/>
      <c r="D376" s="65"/>
      <c r="E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</row>
    <row r="377" spans="1:24" ht="15.75" customHeight="1" x14ac:dyDescent="0.4">
      <c r="A377" s="182"/>
      <c r="B377" s="65"/>
      <c r="C377" s="65"/>
      <c r="D377" s="65"/>
      <c r="E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</row>
    <row r="378" spans="1:24" ht="15.75" customHeight="1" x14ac:dyDescent="0.4">
      <c r="A378" s="182"/>
      <c r="B378" s="65"/>
      <c r="C378" s="65"/>
      <c r="D378" s="65"/>
      <c r="E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</row>
    <row r="379" spans="1:24" ht="15.75" customHeight="1" x14ac:dyDescent="0.4">
      <c r="A379" s="182"/>
      <c r="B379" s="65"/>
      <c r="C379" s="65"/>
      <c r="D379" s="65"/>
      <c r="E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</row>
    <row r="380" spans="1:24" ht="15.75" customHeight="1" x14ac:dyDescent="0.4">
      <c r="A380" s="182"/>
      <c r="B380" s="65"/>
      <c r="C380" s="65"/>
      <c r="D380" s="65"/>
      <c r="E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</row>
    <row r="381" spans="1:24" ht="15.75" customHeight="1" x14ac:dyDescent="0.4">
      <c r="A381" s="182"/>
      <c r="B381" s="65"/>
      <c r="C381" s="65"/>
      <c r="D381" s="65"/>
      <c r="E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</row>
    <row r="382" spans="1:24" ht="15.75" customHeight="1" x14ac:dyDescent="0.4">
      <c r="A382" s="182"/>
      <c r="B382" s="65"/>
      <c r="C382" s="65"/>
      <c r="D382" s="65"/>
      <c r="E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</row>
    <row r="383" spans="1:24" ht="15.75" customHeight="1" x14ac:dyDescent="0.4">
      <c r="A383" s="182"/>
      <c r="B383" s="65"/>
      <c r="C383" s="65"/>
      <c r="D383" s="65"/>
      <c r="E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</row>
    <row r="384" spans="1:24" ht="15.75" customHeight="1" x14ac:dyDescent="0.4">
      <c r="A384" s="182"/>
      <c r="B384" s="65"/>
      <c r="C384" s="65"/>
      <c r="D384" s="65"/>
      <c r="E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</row>
    <row r="385" spans="1:24" ht="15.75" customHeight="1" x14ac:dyDescent="0.4">
      <c r="A385" s="182"/>
      <c r="B385" s="65"/>
      <c r="C385" s="65"/>
      <c r="D385" s="65"/>
      <c r="E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</row>
    <row r="386" spans="1:24" ht="15.75" customHeight="1" x14ac:dyDescent="0.4">
      <c r="A386" s="182"/>
      <c r="B386" s="65"/>
      <c r="C386" s="65"/>
      <c r="D386" s="65"/>
      <c r="E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</row>
    <row r="387" spans="1:24" ht="15.75" customHeight="1" x14ac:dyDescent="0.4">
      <c r="A387" s="182"/>
      <c r="B387" s="65"/>
      <c r="C387" s="65"/>
      <c r="D387" s="65"/>
      <c r="E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</row>
    <row r="388" spans="1:24" ht="15.75" customHeight="1" x14ac:dyDescent="0.4">
      <c r="A388" s="182"/>
      <c r="B388" s="65"/>
      <c r="C388" s="65"/>
      <c r="D388" s="65"/>
      <c r="E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</row>
    <row r="389" spans="1:24" ht="15.75" customHeight="1" x14ac:dyDescent="0.4">
      <c r="A389" s="182"/>
      <c r="B389" s="65"/>
      <c r="C389" s="65"/>
      <c r="D389" s="65"/>
      <c r="E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</row>
    <row r="390" spans="1:24" ht="15.75" customHeight="1" x14ac:dyDescent="0.4">
      <c r="A390" s="182"/>
      <c r="B390" s="65"/>
      <c r="C390" s="65"/>
      <c r="D390" s="65"/>
      <c r="E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</row>
    <row r="391" spans="1:24" ht="15.75" customHeight="1" x14ac:dyDescent="0.4">
      <c r="A391" s="182"/>
      <c r="B391" s="65"/>
      <c r="C391" s="65"/>
      <c r="D391" s="65"/>
      <c r="E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</row>
    <row r="392" spans="1:24" ht="15.75" customHeight="1" x14ac:dyDescent="0.4">
      <c r="A392" s="182"/>
      <c r="B392" s="65"/>
      <c r="C392" s="65"/>
      <c r="D392" s="65"/>
      <c r="E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</row>
    <row r="393" spans="1:24" ht="15.75" customHeight="1" x14ac:dyDescent="0.4">
      <c r="A393" s="182"/>
      <c r="B393" s="65"/>
      <c r="C393" s="65"/>
      <c r="D393" s="65"/>
      <c r="E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</row>
    <row r="394" spans="1:24" ht="15.75" customHeight="1" x14ac:dyDescent="0.4">
      <c r="A394" s="182"/>
      <c r="B394" s="65"/>
      <c r="C394" s="65"/>
      <c r="D394" s="65"/>
      <c r="E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</row>
    <row r="395" spans="1:24" ht="15.75" customHeight="1" x14ac:dyDescent="0.4">
      <c r="A395" s="182"/>
      <c r="B395" s="65"/>
      <c r="C395" s="65"/>
      <c r="D395" s="65"/>
      <c r="E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</row>
    <row r="396" spans="1:24" ht="15.75" customHeight="1" x14ac:dyDescent="0.4">
      <c r="A396" s="182"/>
      <c r="B396" s="65"/>
      <c r="C396" s="65"/>
      <c r="D396" s="65"/>
      <c r="E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</row>
    <row r="397" spans="1:24" ht="15.75" customHeight="1" x14ac:dyDescent="0.4">
      <c r="A397" s="182"/>
      <c r="B397" s="65"/>
      <c r="C397" s="65"/>
      <c r="D397" s="65"/>
      <c r="E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</row>
    <row r="398" spans="1:24" ht="15.75" customHeight="1" x14ac:dyDescent="0.4">
      <c r="A398" s="182"/>
      <c r="B398" s="65"/>
      <c r="C398" s="65"/>
      <c r="D398" s="65"/>
      <c r="E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</row>
    <row r="399" spans="1:24" ht="15.75" customHeight="1" x14ac:dyDescent="0.4">
      <c r="A399" s="182"/>
      <c r="B399" s="65"/>
      <c r="C399" s="65"/>
      <c r="D399" s="65"/>
      <c r="E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</row>
    <row r="400" spans="1:24" ht="15.75" customHeight="1" x14ac:dyDescent="0.4">
      <c r="A400" s="182"/>
      <c r="B400" s="65"/>
      <c r="C400" s="65"/>
      <c r="D400" s="65"/>
      <c r="E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</row>
    <row r="401" spans="1:24" ht="15.75" customHeight="1" x14ac:dyDescent="0.4">
      <c r="A401" s="182"/>
      <c r="B401" s="65"/>
      <c r="C401" s="65"/>
      <c r="D401" s="65"/>
      <c r="E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</row>
    <row r="402" spans="1:24" ht="15.75" customHeight="1" x14ac:dyDescent="0.4">
      <c r="A402" s="182"/>
      <c r="B402" s="65"/>
      <c r="C402" s="65"/>
      <c r="D402" s="65"/>
      <c r="E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</row>
    <row r="403" spans="1:24" ht="15.75" customHeight="1" x14ac:dyDescent="0.4">
      <c r="A403" s="182"/>
      <c r="B403" s="65"/>
      <c r="C403" s="65"/>
      <c r="D403" s="65"/>
      <c r="E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</row>
    <row r="404" spans="1:24" ht="15.75" customHeight="1" x14ac:dyDescent="0.4">
      <c r="A404" s="182"/>
      <c r="B404" s="65"/>
      <c r="C404" s="65"/>
      <c r="D404" s="65"/>
      <c r="E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</row>
    <row r="405" spans="1:24" ht="15.75" customHeight="1" x14ac:dyDescent="0.4">
      <c r="A405" s="182"/>
      <c r="B405" s="65"/>
      <c r="C405" s="65"/>
      <c r="D405" s="65"/>
      <c r="E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</row>
    <row r="406" spans="1:24" ht="15.75" customHeight="1" x14ac:dyDescent="0.4">
      <c r="A406" s="182"/>
      <c r="B406" s="65"/>
      <c r="C406" s="65"/>
      <c r="D406" s="65"/>
      <c r="E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</row>
    <row r="407" spans="1:24" ht="15.75" customHeight="1" x14ac:dyDescent="0.4">
      <c r="A407" s="182"/>
      <c r="B407" s="65"/>
      <c r="C407" s="65"/>
      <c r="D407" s="65"/>
      <c r="E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</row>
    <row r="408" spans="1:24" ht="15.75" customHeight="1" x14ac:dyDescent="0.4">
      <c r="A408" s="182"/>
      <c r="B408" s="65"/>
      <c r="C408" s="65"/>
      <c r="D408" s="65"/>
      <c r="E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</row>
    <row r="409" spans="1:24" ht="15.75" customHeight="1" x14ac:dyDescent="0.4">
      <c r="A409" s="182"/>
      <c r="B409" s="65"/>
      <c r="C409" s="65"/>
      <c r="D409" s="65"/>
      <c r="E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</row>
    <row r="410" spans="1:24" ht="15.75" customHeight="1" x14ac:dyDescent="0.4">
      <c r="A410" s="182"/>
      <c r="B410" s="65"/>
      <c r="C410" s="65"/>
      <c r="D410" s="65"/>
      <c r="E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</row>
    <row r="411" spans="1:24" ht="15.75" customHeight="1" x14ac:dyDescent="0.4">
      <c r="A411" s="182"/>
      <c r="B411" s="65"/>
      <c r="C411" s="65"/>
      <c r="D411" s="65"/>
      <c r="E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</row>
    <row r="412" spans="1:24" ht="15.75" customHeight="1" x14ac:dyDescent="0.4">
      <c r="A412" s="182"/>
      <c r="B412" s="65"/>
      <c r="C412" s="65"/>
      <c r="D412" s="65"/>
      <c r="E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</row>
    <row r="413" spans="1:24" ht="15.75" customHeight="1" x14ac:dyDescent="0.4">
      <c r="A413" s="182"/>
      <c r="B413" s="65"/>
      <c r="C413" s="65"/>
      <c r="D413" s="65"/>
      <c r="E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</row>
    <row r="414" spans="1:24" ht="15.75" customHeight="1" x14ac:dyDescent="0.4">
      <c r="A414" s="182"/>
      <c r="B414" s="65"/>
      <c r="C414" s="65"/>
      <c r="D414" s="65"/>
      <c r="E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</row>
    <row r="415" spans="1:24" ht="15.75" customHeight="1" x14ac:dyDescent="0.4">
      <c r="A415" s="182"/>
      <c r="B415" s="65"/>
      <c r="C415" s="65"/>
      <c r="D415" s="65"/>
      <c r="E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</row>
    <row r="416" spans="1:24" ht="15.75" customHeight="1" x14ac:dyDescent="0.4">
      <c r="A416" s="182"/>
      <c r="B416" s="65"/>
      <c r="C416" s="65"/>
      <c r="D416" s="65"/>
      <c r="E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</row>
    <row r="417" spans="1:24" ht="15.75" customHeight="1" x14ac:dyDescent="0.4">
      <c r="A417" s="182"/>
      <c r="B417" s="65"/>
      <c r="C417" s="65"/>
      <c r="D417" s="65"/>
      <c r="E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</row>
    <row r="418" spans="1:24" ht="15.75" customHeight="1" x14ac:dyDescent="0.4">
      <c r="A418" s="182"/>
      <c r="B418" s="65"/>
      <c r="C418" s="65"/>
      <c r="D418" s="65"/>
      <c r="E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</row>
    <row r="419" spans="1:24" ht="15.75" customHeight="1" x14ac:dyDescent="0.4">
      <c r="A419" s="182"/>
      <c r="B419" s="65"/>
      <c r="C419" s="65"/>
      <c r="D419" s="65"/>
      <c r="E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</row>
    <row r="420" spans="1:24" ht="15.75" customHeight="1" x14ac:dyDescent="0.4">
      <c r="A420" s="182"/>
      <c r="B420" s="65"/>
      <c r="C420" s="65"/>
      <c r="D420" s="65"/>
      <c r="E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</row>
    <row r="421" spans="1:24" ht="15.75" customHeight="1" x14ac:dyDescent="0.4">
      <c r="A421" s="182"/>
      <c r="B421" s="65"/>
      <c r="C421" s="65"/>
      <c r="D421" s="65"/>
      <c r="E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</row>
    <row r="422" spans="1:24" ht="15.75" customHeight="1" x14ac:dyDescent="0.4">
      <c r="A422" s="182"/>
      <c r="B422" s="65"/>
      <c r="C422" s="65"/>
      <c r="D422" s="65"/>
      <c r="E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</row>
    <row r="423" spans="1:24" ht="15.75" customHeight="1" x14ac:dyDescent="0.4">
      <c r="A423" s="182"/>
      <c r="B423" s="65"/>
      <c r="C423" s="65"/>
      <c r="D423" s="65"/>
      <c r="E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</row>
    <row r="424" spans="1:24" ht="15.75" customHeight="1" x14ac:dyDescent="0.4">
      <c r="A424" s="182"/>
      <c r="B424" s="65"/>
      <c r="C424" s="65"/>
      <c r="D424" s="65"/>
      <c r="E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</row>
    <row r="425" spans="1:24" ht="15.75" customHeight="1" x14ac:dyDescent="0.4">
      <c r="A425" s="182"/>
      <c r="B425" s="65"/>
      <c r="C425" s="65"/>
      <c r="D425" s="65"/>
      <c r="E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</row>
    <row r="426" spans="1:24" ht="15.75" customHeight="1" x14ac:dyDescent="0.4">
      <c r="A426" s="182"/>
      <c r="B426" s="65"/>
      <c r="C426" s="65"/>
      <c r="D426" s="65"/>
      <c r="E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</row>
    <row r="427" spans="1:24" ht="15.75" customHeight="1" x14ac:dyDescent="0.4">
      <c r="A427" s="182"/>
      <c r="B427" s="65"/>
      <c r="C427" s="65"/>
      <c r="D427" s="65"/>
      <c r="E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</row>
    <row r="428" spans="1:24" ht="15.75" customHeight="1" x14ac:dyDescent="0.4">
      <c r="A428" s="182"/>
      <c r="B428" s="65"/>
      <c r="C428" s="65"/>
      <c r="D428" s="65"/>
      <c r="E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</row>
    <row r="429" spans="1:24" ht="15.75" customHeight="1" x14ac:dyDescent="0.4">
      <c r="A429" s="182"/>
      <c r="B429" s="65"/>
      <c r="C429" s="65"/>
      <c r="D429" s="65"/>
      <c r="E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</row>
    <row r="430" spans="1:24" ht="15.75" customHeight="1" x14ac:dyDescent="0.4">
      <c r="A430" s="182"/>
      <c r="B430" s="65"/>
      <c r="C430" s="65"/>
      <c r="D430" s="65"/>
      <c r="E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</row>
    <row r="431" spans="1:24" ht="15.75" customHeight="1" x14ac:dyDescent="0.4">
      <c r="A431" s="182"/>
      <c r="B431" s="65"/>
      <c r="C431" s="65"/>
      <c r="D431" s="65"/>
      <c r="E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</row>
    <row r="432" spans="1:24" ht="15.75" customHeight="1" x14ac:dyDescent="0.4">
      <c r="A432" s="182"/>
      <c r="B432" s="65"/>
      <c r="C432" s="65"/>
      <c r="D432" s="65"/>
      <c r="E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</row>
    <row r="433" spans="1:24" ht="15.75" customHeight="1" x14ac:dyDescent="0.4">
      <c r="A433" s="182"/>
      <c r="B433" s="65"/>
      <c r="C433" s="65"/>
      <c r="D433" s="65"/>
      <c r="E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</row>
    <row r="434" spans="1:24" ht="15.75" customHeight="1" x14ac:dyDescent="0.4">
      <c r="A434" s="182"/>
      <c r="B434" s="65"/>
      <c r="C434" s="65"/>
      <c r="D434" s="65"/>
      <c r="E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</row>
    <row r="435" spans="1:24" ht="15.75" customHeight="1" x14ac:dyDescent="0.4">
      <c r="A435" s="182"/>
      <c r="B435" s="65"/>
      <c r="C435" s="65"/>
      <c r="D435" s="65"/>
      <c r="E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</row>
    <row r="436" spans="1:24" ht="15.75" customHeight="1" x14ac:dyDescent="0.4">
      <c r="A436" s="182"/>
      <c r="B436" s="65"/>
      <c r="C436" s="65"/>
      <c r="D436" s="65"/>
      <c r="E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</row>
    <row r="437" spans="1:24" ht="15.75" customHeight="1" x14ac:dyDescent="0.4">
      <c r="A437" s="182"/>
      <c r="B437" s="65"/>
      <c r="C437" s="65"/>
      <c r="D437" s="65"/>
      <c r="E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</row>
    <row r="438" spans="1:24" ht="15.75" customHeight="1" x14ac:dyDescent="0.4">
      <c r="A438" s="182"/>
      <c r="B438" s="65"/>
      <c r="C438" s="65"/>
      <c r="D438" s="65"/>
      <c r="E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</row>
    <row r="439" spans="1:24" ht="15.75" customHeight="1" x14ac:dyDescent="0.4">
      <c r="A439" s="182"/>
      <c r="B439" s="65"/>
      <c r="C439" s="65"/>
      <c r="D439" s="65"/>
      <c r="E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</row>
    <row r="440" spans="1:24" ht="15.75" customHeight="1" x14ac:dyDescent="0.4">
      <c r="A440" s="182"/>
      <c r="B440" s="65"/>
      <c r="C440" s="65"/>
      <c r="D440" s="65"/>
      <c r="E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</row>
    <row r="441" spans="1:24" ht="15.75" customHeight="1" x14ac:dyDescent="0.4">
      <c r="A441" s="182"/>
      <c r="B441" s="65"/>
      <c r="C441" s="65"/>
      <c r="D441" s="65"/>
      <c r="E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</row>
    <row r="442" spans="1:24" ht="15.75" customHeight="1" x14ac:dyDescent="0.4">
      <c r="A442" s="182"/>
      <c r="B442" s="65"/>
      <c r="C442" s="65"/>
      <c r="D442" s="65"/>
      <c r="E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</row>
    <row r="443" spans="1:24" ht="15.75" customHeight="1" x14ac:dyDescent="0.4">
      <c r="A443" s="182"/>
      <c r="B443" s="65"/>
      <c r="C443" s="65"/>
      <c r="D443" s="65"/>
      <c r="E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</row>
    <row r="444" spans="1:24" ht="15.75" customHeight="1" x14ac:dyDescent="0.4">
      <c r="A444" s="182"/>
      <c r="B444" s="65"/>
      <c r="C444" s="65"/>
      <c r="D444" s="65"/>
      <c r="E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</row>
    <row r="445" spans="1:24" ht="15.75" customHeight="1" x14ac:dyDescent="0.4">
      <c r="A445" s="182"/>
      <c r="B445" s="65"/>
      <c r="C445" s="65"/>
      <c r="D445" s="65"/>
      <c r="E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</row>
    <row r="446" spans="1:24" ht="15.75" customHeight="1" x14ac:dyDescent="0.4">
      <c r="A446" s="182"/>
      <c r="B446" s="65"/>
      <c r="C446" s="65"/>
      <c r="D446" s="65"/>
      <c r="E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</row>
    <row r="447" spans="1:24" ht="15.75" customHeight="1" x14ac:dyDescent="0.4">
      <c r="A447" s="182"/>
      <c r="B447" s="65"/>
      <c r="C447" s="65"/>
      <c r="D447" s="65"/>
      <c r="E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</row>
    <row r="448" spans="1:24" ht="15.75" customHeight="1" x14ac:dyDescent="0.4">
      <c r="A448" s="182"/>
      <c r="B448" s="65"/>
      <c r="C448" s="65"/>
      <c r="D448" s="65"/>
      <c r="E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</row>
    <row r="449" spans="1:24" ht="15.75" customHeight="1" x14ac:dyDescent="0.4">
      <c r="A449" s="182"/>
      <c r="B449" s="65"/>
      <c r="C449" s="65"/>
      <c r="D449" s="65"/>
      <c r="E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</row>
    <row r="450" spans="1:24" ht="15.75" customHeight="1" x14ac:dyDescent="0.4">
      <c r="A450" s="182"/>
      <c r="B450" s="65"/>
      <c r="C450" s="65"/>
      <c r="D450" s="65"/>
      <c r="E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</row>
    <row r="451" spans="1:24" ht="15.75" customHeight="1" x14ac:dyDescent="0.4">
      <c r="A451" s="182"/>
      <c r="B451" s="65"/>
      <c r="C451" s="65"/>
      <c r="D451" s="65"/>
      <c r="E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</row>
    <row r="452" spans="1:24" ht="15.75" customHeight="1" x14ac:dyDescent="0.4">
      <c r="A452" s="182"/>
      <c r="B452" s="65"/>
      <c r="C452" s="65"/>
      <c r="D452" s="65"/>
      <c r="E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</row>
    <row r="453" spans="1:24" ht="15.75" customHeight="1" x14ac:dyDescent="0.4">
      <c r="A453" s="182"/>
      <c r="B453" s="65"/>
      <c r="C453" s="65"/>
      <c r="D453" s="65"/>
      <c r="E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</row>
    <row r="454" spans="1:24" ht="15.75" customHeight="1" x14ac:dyDescent="0.4">
      <c r="A454" s="182"/>
      <c r="B454" s="65"/>
      <c r="C454" s="65"/>
      <c r="D454" s="65"/>
      <c r="E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</row>
    <row r="455" spans="1:24" ht="15.75" customHeight="1" x14ac:dyDescent="0.4">
      <c r="A455" s="182"/>
      <c r="B455" s="65"/>
      <c r="C455" s="65"/>
      <c r="D455" s="65"/>
      <c r="E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</row>
    <row r="456" spans="1:24" ht="15.75" customHeight="1" x14ac:dyDescent="0.4">
      <c r="A456" s="182"/>
      <c r="B456" s="65"/>
      <c r="C456" s="65"/>
      <c r="D456" s="65"/>
      <c r="E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</row>
    <row r="457" spans="1:24" ht="15.75" customHeight="1" x14ac:dyDescent="0.4">
      <c r="A457" s="182"/>
      <c r="B457" s="65"/>
      <c r="C457" s="65"/>
      <c r="D457" s="65"/>
      <c r="E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</row>
    <row r="458" spans="1:24" ht="15.75" customHeight="1" x14ac:dyDescent="0.4">
      <c r="A458" s="182"/>
      <c r="B458" s="65"/>
      <c r="C458" s="65"/>
      <c r="D458" s="65"/>
      <c r="E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</row>
    <row r="459" spans="1:24" ht="15.75" customHeight="1" x14ac:dyDescent="0.4">
      <c r="A459" s="182"/>
      <c r="B459" s="65"/>
      <c r="C459" s="65"/>
      <c r="D459" s="65"/>
      <c r="E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</row>
    <row r="460" spans="1:24" ht="15.75" customHeight="1" x14ac:dyDescent="0.4">
      <c r="A460" s="182"/>
      <c r="B460" s="65"/>
      <c r="C460" s="65"/>
      <c r="D460" s="65"/>
      <c r="E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</row>
    <row r="461" spans="1:24" ht="15.75" customHeight="1" x14ac:dyDescent="0.4">
      <c r="A461" s="182"/>
      <c r="B461" s="65"/>
      <c r="C461" s="65"/>
      <c r="D461" s="65"/>
      <c r="E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</row>
    <row r="462" spans="1:24" ht="15.75" customHeight="1" x14ac:dyDescent="0.4">
      <c r="A462" s="182"/>
      <c r="B462" s="65"/>
      <c r="C462" s="65"/>
      <c r="D462" s="65"/>
      <c r="E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</row>
    <row r="463" spans="1:24" ht="15.75" customHeight="1" x14ac:dyDescent="0.4">
      <c r="A463" s="182"/>
      <c r="B463" s="65"/>
      <c r="C463" s="65"/>
      <c r="D463" s="65"/>
      <c r="E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</row>
    <row r="464" spans="1:24" ht="15.75" customHeight="1" x14ac:dyDescent="0.4">
      <c r="A464" s="182"/>
      <c r="B464" s="65"/>
      <c r="C464" s="65"/>
      <c r="D464" s="65"/>
      <c r="E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</row>
    <row r="465" spans="1:24" ht="15.75" customHeight="1" x14ac:dyDescent="0.4">
      <c r="A465" s="182"/>
      <c r="B465" s="65"/>
      <c r="C465" s="65"/>
      <c r="D465" s="65"/>
      <c r="E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</row>
    <row r="466" spans="1:24" ht="15.75" customHeight="1" x14ac:dyDescent="0.4">
      <c r="A466" s="182"/>
      <c r="B466" s="65"/>
      <c r="C466" s="65"/>
      <c r="D466" s="65"/>
      <c r="E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</row>
    <row r="467" spans="1:24" ht="15.75" customHeight="1" x14ac:dyDescent="0.4">
      <c r="A467" s="182"/>
      <c r="B467" s="65"/>
      <c r="C467" s="65"/>
      <c r="D467" s="65"/>
      <c r="E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</row>
    <row r="468" spans="1:24" ht="15.75" customHeight="1" x14ac:dyDescent="0.4">
      <c r="A468" s="182"/>
      <c r="B468" s="65"/>
      <c r="C468" s="65"/>
      <c r="D468" s="65"/>
      <c r="E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</row>
    <row r="469" spans="1:24" ht="15.75" customHeight="1" x14ac:dyDescent="0.4">
      <c r="A469" s="182"/>
      <c r="B469" s="65"/>
      <c r="C469" s="65"/>
      <c r="D469" s="65"/>
      <c r="E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</row>
    <row r="470" spans="1:24" ht="15.75" customHeight="1" x14ac:dyDescent="0.4">
      <c r="A470" s="182"/>
      <c r="B470" s="65"/>
      <c r="C470" s="65"/>
      <c r="D470" s="65"/>
      <c r="E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</row>
    <row r="471" spans="1:24" ht="15.75" customHeight="1" x14ac:dyDescent="0.4">
      <c r="A471" s="182"/>
      <c r="B471" s="65"/>
      <c r="C471" s="65"/>
      <c r="D471" s="65"/>
      <c r="E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</row>
    <row r="472" spans="1:24" ht="15.75" customHeight="1" x14ac:dyDescent="0.4">
      <c r="A472" s="182"/>
      <c r="B472" s="65"/>
      <c r="C472" s="65"/>
      <c r="D472" s="65"/>
      <c r="E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</row>
    <row r="473" spans="1:24" ht="15.75" customHeight="1" x14ac:dyDescent="0.4">
      <c r="A473" s="182"/>
      <c r="B473" s="65"/>
      <c r="C473" s="65"/>
      <c r="D473" s="65"/>
      <c r="E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</row>
    <row r="474" spans="1:24" ht="15.75" customHeight="1" x14ac:dyDescent="0.4">
      <c r="A474" s="182"/>
      <c r="B474" s="65"/>
      <c r="C474" s="65"/>
      <c r="D474" s="65"/>
      <c r="E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</row>
    <row r="475" spans="1:24" ht="15.75" customHeight="1" x14ac:dyDescent="0.4">
      <c r="A475" s="182"/>
      <c r="B475" s="65"/>
      <c r="C475" s="65"/>
      <c r="D475" s="65"/>
      <c r="E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</row>
    <row r="476" spans="1:24" ht="15.75" customHeight="1" x14ac:dyDescent="0.4">
      <c r="A476" s="182"/>
      <c r="B476" s="65"/>
      <c r="C476" s="65"/>
      <c r="D476" s="65"/>
      <c r="E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</row>
    <row r="477" spans="1:24" ht="15.75" customHeight="1" x14ac:dyDescent="0.4">
      <c r="A477" s="182"/>
      <c r="B477" s="65"/>
      <c r="C477" s="65"/>
      <c r="D477" s="65"/>
      <c r="E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</row>
    <row r="478" spans="1:24" ht="15.75" customHeight="1" x14ac:dyDescent="0.4">
      <c r="A478" s="182"/>
      <c r="B478" s="65"/>
      <c r="C478" s="65"/>
      <c r="D478" s="65"/>
      <c r="E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</row>
    <row r="479" spans="1:24" ht="15.75" customHeight="1" x14ac:dyDescent="0.4">
      <c r="A479" s="182"/>
      <c r="B479" s="65"/>
      <c r="C479" s="65"/>
      <c r="D479" s="65"/>
      <c r="E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</row>
    <row r="480" spans="1:24" ht="15.75" customHeight="1" x14ac:dyDescent="0.4">
      <c r="A480" s="182"/>
      <c r="B480" s="65"/>
      <c r="C480" s="65"/>
      <c r="D480" s="65"/>
      <c r="E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</row>
    <row r="481" spans="1:24" ht="15.75" customHeight="1" x14ac:dyDescent="0.4">
      <c r="A481" s="182"/>
      <c r="B481" s="65"/>
      <c r="C481" s="65"/>
      <c r="D481" s="65"/>
      <c r="E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</row>
    <row r="482" spans="1:24" ht="15.75" customHeight="1" x14ac:dyDescent="0.4">
      <c r="A482" s="182"/>
      <c r="B482" s="65"/>
      <c r="C482" s="65"/>
      <c r="D482" s="65"/>
      <c r="E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</row>
    <row r="483" spans="1:24" ht="15.75" customHeight="1" x14ac:dyDescent="0.4">
      <c r="A483" s="182"/>
      <c r="B483" s="65"/>
      <c r="C483" s="65"/>
      <c r="D483" s="65"/>
      <c r="E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</row>
    <row r="484" spans="1:24" ht="15.75" customHeight="1" x14ac:dyDescent="0.4">
      <c r="A484" s="182"/>
      <c r="B484" s="65"/>
      <c r="C484" s="65"/>
      <c r="D484" s="65"/>
      <c r="E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</row>
    <row r="485" spans="1:24" ht="15.75" customHeight="1" x14ac:dyDescent="0.4">
      <c r="A485" s="182"/>
      <c r="B485" s="65"/>
      <c r="C485" s="65"/>
      <c r="D485" s="65"/>
      <c r="E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</row>
    <row r="486" spans="1:24" ht="15.75" customHeight="1" x14ac:dyDescent="0.4">
      <c r="A486" s="182"/>
      <c r="B486" s="65"/>
      <c r="C486" s="65"/>
      <c r="D486" s="65"/>
      <c r="E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</row>
    <row r="487" spans="1:24" ht="15.75" customHeight="1" x14ac:dyDescent="0.4">
      <c r="A487" s="182"/>
      <c r="B487" s="65"/>
      <c r="C487" s="65"/>
      <c r="D487" s="65"/>
      <c r="E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</row>
    <row r="488" spans="1:24" ht="15.75" customHeight="1" x14ac:dyDescent="0.4">
      <c r="A488" s="182"/>
      <c r="B488" s="65"/>
      <c r="C488" s="65"/>
      <c r="D488" s="65"/>
      <c r="E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</row>
    <row r="489" spans="1:24" ht="15.75" customHeight="1" x14ac:dyDescent="0.4">
      <c r="A489" s="182"/>
      <c r="B489" s="65"/>
      <c r="C489" s="65"/>
      <c r="D489" s="65"/>
      <c r="E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</row>
    <row r="490" spans="1:24" ht="15.75" customHeight="1" x14ac:dyDescent="0.4">
      <c r="A490" s="182"/>
      <c r="B490" s="65"/>
      <c r="C490" s="65"/>
      <c r="D490" s="65"/>
      <c r="E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</row>
    <row r="491" spans="1:24" ht="15.75" customHeight="1" x14ac:dyDescent="0.4">
      <c r="A491" s="182"/>
      <c r="B491" s="65"/>
      <c r="C491" s="65"/>
      <c r="D491" s="65"/>
      <c r="E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</row>
    <row r="492" spans="1:24" ht="15.75" customHeight="1" x14ac:dyDescent="0.4">
      <c r="A492" s="182"/>
      <c r="B492" s="65"/>
      <c r="C492" s="65"/>
      <c r="D492" s="65"/>
      <c r="E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</row>
    <row r="493" spans="1:24" ht="15.75" customHeight="1" x14ac:dyDescent="0.4">
      <c r="A493" s="182"/>
      <c r="B493" s="65"/>
      <c r="C493" s="65"/>
      <c r="D493" s="65"/>
      <c r="E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</row>
    <row r="494" spans="1:24" ht="15.75" customHeight="1" x14ac:dyDescent="0.4">
      <c r="A494" s="182"/>
      <c r="B494" s="65"/>
      <c r="C494" s="65"/>
      <c r="D494" s="65"/>
      <c r="E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</row>
    <row r="495" spans="1:24" ht="15.75" customHeight="1" x14ac:dyDescent="0.4">
      <c r="A495" s="182"/>
      <c r="B495" s="65"/>
      <c r="C495" s="65"/>
      <c r="D495" s="65"/>
      <c r="E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</row>
    <row r="496" spans="1:24" ht="15.75" customHeight="1" x14ac:dyDescent="0.4">
      <c r="A496" s="182"/>
      <c r="B496" s="65"/>
      <c r="C496" s="65"/>
      <c r="D496" s="65"/>
      <c r="E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</row>
    <row r="497" spans="1:24" ht="15.75" customHeight="1" x14ac:dyDescent="0.4">
      <c r="A497" s="182"/>
      <c r="B497" s="65"/>
      <c r="C497" s="65"/>
      <c r="D497" s="65"/>
      <c r="E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</row>
    <row r="498" spans="1:24" ht="15.75" customHeight="1" x14ac:dyDescent="0.4">
      <c r="A498" s="182"/>
      <c r="B498" s="65"/>
      <c r="C498" s="65"/>
      <c r="D498" s="65"/>
      <c r="E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</row>
    <row r="499" spans="1:24" ht="15.75" customHeight="1" x14ac:dyDescent="0.4">
      <c r="A499" s="182"/>
      <c r="B499" s="65"/>
      <c r="C499" s="65"/>
      <c r="D499" s="65"/>
      <c r="E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</row>
    <row r="500" spans="1:24" ht="15.75" customHeight="1" x14ac:dyDescent="0.4">
      <c r="A500" s="182"/>
      <c r="B500" s="65"/>
      <c r="C500" s="65"/>
      <c r="D500" s="65"/>
      <c r="E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</row>
    <row r="501" spans="1:24" ht="15.75" customHeight="1" x14ac:dyDescent="0.4">
      <c r="A501" s="182"/>
      <c r="B501" s="65"/>
      <c r="C501" s="65"/>
      <c r="D501" s="65"/>
      <c r="E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</row>
    <row r="502" spans="1:24" ht="15.75" customHeight="1" x14ac:dyDescent="0.4">
      <c r="A502" s="182"/>
      <c r="B502" s="65"/>
      <c r="C502" s="65"/>
      <c r="D502" s="65"/>
      <c r="E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</row>
    <row r="503" spans="1:24" ht="15.75" customHeight="1" x14ac:dyDescent="0.4">
      <c r="A503" s="182"/>
      <c r="B503" s="65"/>
      <c r="C503" s="65"/>
      <c r="D503" s="65"/>
      <c r="E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</row>
    <row r="504" spans="1:24" ht="15.75" customHeight="1" x14ac:dyDescent="0.4">
      <c r="A504" s="182"/>
      <c r="B504" s="65"/>
      <c r="C504" s="65"/>
      <c r="D504" s="65"/>
      <c r="E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</row>
    <row r="505" spans="1:24" ht="15.75" customHeight="1" x14ac:dyDescent="0.4">
      <c r="A505" s="182"/>
      <c r="B505" s="65"/>
      <c r="C505" s="65"/>
      <c r="D505" s="65"/>
      <c r="E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</row>
    <row r="506" spans="1:24" ht="15.75" customHeight="1" x14ac:dyDescent="0.4">
      <c r="A506" s="182"/>
      <c r="B506" s="65"/>
      <c r="C506" s="65"/>
      <c r="D506" s="65"/>
      <c r="E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</row>
    <row r="507" spans="1:24" ht="15.75" customHeight="1" x14ac:dyDescent="0.4">
      <c r="A507" s="182"/>
      <c r="B507" s="65"/>
      <c r="C507" s="65"/>
      <c r="D507" s="65"/>
      <c r="E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</row>
    <row r="508" spans="1:24" ht="15.75" customHeight="1" x14ac:dyDescent="0.4">
      <c r="A508" s="182"/>
      <c r="B508" s="65"/>
      <c r="C508" s="65"/>
      <c r="D508" s="65"/>
      <c r="E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</row>
    <row r="509" spans="1:24" ht="15.75" customHeight="1" x14ac:dyDescent="0.4">
      <c r="A509" s="182"/>
      <c r="B509" s="65"/>
      <c r="C509" s="65"/>
      <c r="D509" s="65"/>
      <c r="E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</row>
    <row r="510" spans="1:24" ht="15.75" customHeight="1" x14ac:dyDescent="0.4">
      <c r="A510" s="182"/>
      <c r="B510" s="65"/>
      <c r="C510" s="65"/>
      <c r="D510" s="65"/>
      <c r="E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</row>
    <row r="511" spans="1:24" ht="15.75" customHeight="1" x14ac:dyDescent="0.4">
      <c r="A511" s="182"/>
      <c r="B511" s="65"/>
      <c r="C511" s="65"/>
      <c r="D511" s="65"/>
      <c r="E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</row>
    <row r="512" spans="1:24" ht="15.75" customHeight="1" x14ac:dyDescent="0.4">
      <c r="A512" s="182"/>
      <c r="B512" s="65"/>
      <c r="C512" s="65"/>
      <c r="D512" s="65"/>
      <c r="E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</row>
    <row r="513" spans="1:24" ht="15.75" customHeight="1" x14ac:dyDescent="0.4">
      <c r="A513" s="182"/>
      <c r="B513" s="65"/>
      <c r="C513" s="65"/>
      <c r="D513" s="65"/>
      <c r="E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</row>
    <row r="514" spans="1:24" ht="15.75" customHeight="1" x14ac:dyDescent="0.4">
      <c r="A514" s="182"/>
      <c r="B514" s="65"/>
      <c r="C514" s="65"/>
      <c r="D514" s="65"/>
      <c r="E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</row>
    <row r="515" spans="1:24" ht="15.75" customHeight="1" x14ac:dyDescent="0.4">
      <c r="A515" s="182"/>
      <c r="B515" s="65"/>
      <c r="C515" s="65"/>
      <c r="D515" s="65"/>
      <c r="E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</row>
    <row r="516" spans="1:24" ht="15.75" customHeight="1" x14ac:dyDescent="0.4">
      <c r="A516" s="182"/>
      <c r="B516" s="65"/>
      <c r="C516" s="65"/>
      <c r="D516" s="65"/>
      <c r="E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</row>
    <row r="517" spans="1:24" ht="15.75" customHeight="1" x14ac:dyDescent="0.4">
      <c r="A517" s="182"/>
      <c r="B517" s="65"/>
      <c r="C517" s="65"/>
      <c r="D517" s="65"/>
      <c r="E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</row>
    <row r="518" spans="1:24" ht="15.75" customHeight="1" x14ac:dyDescent="0.4">
      <c r="A518" s="182"/>
      <c r="B518" s="65"/>
      <c r="C518" s="65"/>
      <c r="D518" s="65"/>
      <c r="E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</row>
    <row r="519" spans="1:24" ht="15.75" customHeight="1" x14ac:dyDescent="0.4">
      <c r="A519" s="182"/>
      <c r="B519" s="65"/>
      <c r="C519" s="65"/>
      <c r="D519" s="65"/>
      <c r="E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</row>
    <row r="520" spans="1:24" ht="15.75" customHeight="1" x14ac:dyDescent="0.4">
      <c r="A520" s="182"/>
      <c r="B520" s="65"/>
      <c r="C520" s="65"/>
      <c r="D520" s="65"/>
      <c r="E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</row>
    <row r="521" spans="1:24" ht="15.75" customHeight="1" x14ac:dyDescent="0.4">
      <c r="A521" s="182"/>
      <c r="B521" s="65"/>
      <c r="C521" s="65"/>
      <c r="D521" s="65"/>
      <c r="E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</row>
    <row r="522" spans="1:24" ht="15.75" customHeight="1" x14ac:dyDescent="0.4">
      <c r="A522" s="182"/>
      <c r="B522" s="65"/>
      <c r="C522" s="65"/>
      <c r="D522" s="65"/>
      <c r="E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</row>
    <row r="523" spans="1:24" ht="15.75" customHeight="1" x14ac:dyDescent="0.4">
      <c r="A523" s="182"/>
      <c r="B523" s="65"/>
      <c r="C523" s="65"/>
      <c r="D523" s="65"/>
      <c r="E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</row>
    <row r="524" spans="1:24" ht="15.75" customHeight="1" x14ac:dyDescent="0.4">
      <c r="A524" s="182"/>
      <c r="B524" s="65"/>
      <c r="C524" s="65"/>
      <c r="D524" s="65"/>
      <c r="E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</row>
    <row r="525" spans="1:24" ht="15.75" customHeight="1" x14ac:dyDescent="0.4">
      <c r="A525" s="182"/>
      <c r="B525" s="65"/>
      <c r="C525" s="65"/>
      <c r="D525" s="65"/>
      <c r="E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</row>
    <row r="526" spans="1:24" ht="15.75" customHeight="1" x14ac:dyDescent="0.4">
      <c r="A526" s="182"/>
      <c r="B526" s="65"/>
      <c r="C526" s="65"/>
      <c r="D526" s="65"/>
      <c r="E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</row>
    <row r="527" spans="1:24" ht="15.75" customHeight="1" x14ac:dyDescent="0.4">
      <c r="A527" s="182"/>
      <c r="B527" s="65"/>
      <c r="C527" s="65"/>
      <c r="D527" s="65"/>
      <c r="E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</row>
    <row r="528" spans="1:24" ht="15.75" customHeight="1" x14ac:dyDescent="0.4">
      <c r="A528" s="182"/>
      <c r="B528" s="65"/>
      <c r="C528" s="65"/>
      <c r="D528" s="65"/>
      <c r="E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</row>
    <row r="529" spans="1:24" ht="15.75" customHeight="1" x14ac:dyDescent="0.4">
      <c r="A529" s="182"/>
      <c r="B529" s="65"/>
      <c r="C529" s="65"/>
      <c r="D529" s="65"/>
      <c r="E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</row>
    <row r="530" spans="1:24" ht="15.75" customHeight="1" x14ac:dyDescent="0.4">
      <c r="A530" s="182"/>
      <c r="B530" s="65"/>
      <c r="C530" s="65"/>
      <c r="D530" s="65"/>
      <c r="E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</row>
    <row r="531" spans="1:24" ht="15.75" customHeight="1" x14ac:dyDescent="0.4">
      <c r="A531" s="182"/>
      <c r="B531" s="65"/>
      <c r="C531" s="65"/>
      <c r="D531" s="65"/>
      <c r="E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</row>
    <row r="532" spans="1:24" ht="15.75" customHeight="1" x14ac:dyDescent="0.4">
      <c r="A532" s="182"/>
      <c r="B532" s="65"/>
      <c r="C532" s="65"/>
      <c r="D532" s="65"/>
      <c r="E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</row>
    <row r="533" spans="1:24" ht="15.75" customHeight="1" x14ac:dyDescent="0.4">
      <c r="A533" s="182"/>
      <c r="B533" s="65"/>
      <c r="C533" s="65"/>
      <c r="D533" s="65"/>
      <c r="E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</row>
    <row r="534" spans="1:24" ht="15.75" customHeight="1" x14ac:dyDescent="0.4">
      <c r="A534" s="182"/>
      <c r="B534" s="65"/>
      <c r="C534" s="65"/>
      <c r="D534" s="65"/>
      <c r="E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</row>
    <row r="535" spans="1:24" ht="15.75" customHeight="1" x14ac:dyDescent="0.4">
      <c r="A535" s="182"/>
      <c r="B535" s="65"/>
      <c r="C535" s="65"/>
      <c r="D535" s="65"/>
      <c r="E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</row>
    <row r="536" spans="1:24" ht="15.75" customHeight="1" x14ac:dyDescent="0.4">
      <c r="A536" s="182"/>
      <c r="B536" s="65"/>
      <c r="C536" s="65"/>
      <c r="D536" s="65"/>
      <c r="E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</row>
    <row r="537" spans="1:24" ht="15.75" customHeight="1" x14ac:dyDescent="0.4">
      <c r="A537" s="182"/>
      <c r="B537" s="65"/>
      <c r="C537" s="65"/>
      <c r="D537" s="65"/>
      <c r="E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</row>
    <row r="538" spans="1:24" ht="15.75" customHeight="1" x14ac:dyDescent="0.4">
      <c r="A538" s="182"/>
      <c r="B538" s="65"/>
      <c r="C538" s="65"/>
      <c r="D538" s="65"/>
      <c r="E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</row>
    <row r="539" spans="1:24" ht="15.75" customHeight="1" x14ac:dyDescent="0.4">
      <c r="A539" s="182"/>
      <c r="B539" s="65"/>
      <c r="C539" s="65"/>
      <c r="D539" s="65"/>
      <c r="E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</row>
    <row r="540" spans="1:24" ht="15.75" customHeight="1" x14ac:dyDescent="0.4">
      <c r="A540" s="182"/>
      <c r="B540" s="65"/>
      <c r="C540" s="65"/>
      <c r="D540" s="65"/>
      <c r="E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</row>
    <row r="541" spans="1:24" ht="15.75" customHeight="1" x14ac:dyDescent="0.4">
      <c r="A541" s="182"/>
      <c r="B541" s="65"/>
      <c r="C541" s="65"/>
      <c r="D541" s="65"/>
      <c r="E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</row>
    <row r="542" spans="1:24" ht="15.75" customHeight="1" x14ac:dyDescent="0.4">
      <c r="A542" s="182"/>
      <c r="B542" s="65"/>
      <c r="C542" s="65"/>
      <c r="D542" s="65"/>
      <c r="E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</row>
    <row r="543" spans="1:24" ht="15.75" customHeight="1" x14ac:dyDescent="0.4">
      <c r="A543" s="182"/>
      <c r="B543" s="65"/>
      <c r="C543" s="65"/>
      <c r="D543" s="65"/>
      <c r="E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</row>
    <row r="544" spans="1:24" ht="15.75" customHeight="1" x14ac:dyDescent="0.4">
      <c r="A544" s="182"/>
      <c r="B544" s="65"/>
      <c r="C544" s="65"/>
      <c r="D544" s="65"/>
      <c r="E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</row>
    <row r="545" spans="1:24" ht="15.75" customHeight="1" x14ac:dyDescent="0.4">
      <c r="A545" s="182"/>
      <c r="B545" s="65"/>
      <c r="C545" s="65"/>
      <c r="D545" s="65"/>
      <c r="E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</row>
    <row r="546" spans="1:24" ht="15.75" customHeight="1" x14ac:dyDescent="0.4">
      <c r="A546" s="182"/>
      <c r="B546" s="65"/>
      <c r="C546" s="65"/>
      <c r="D546" s="65"/>
      <c r="E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</row>
    <row r="547" spans="1:24" ht="15.75" customHeight="1" x14ac:dyDescent="0.4">
      <c r="A547" s="182"/>
      <c r="B547" s="65"/>
      <c r="C547" s="65"/>
      <c r="D547" s="65"/>
      <c r="E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</row>
    <row r="548" spans="1:24" ht="15.75" customHeight="1" x14ac:dyDescent="0.4">
      <c r="A548" s="182"/>
      <c r="B548" s="65"/>
      <c r="C548" s="65"/>
      <c r="D548" s="65"/>
      <c r="E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</row>
    <row r="549" spans="1:24" ht="15.75" customHeight="1" x14ac:dyDescent="0.4">
      <c r="A549" s="182"/>
      <c r="B549" s="65"/>
      <c r="C549" s="65"/>
      <c r="D549" s="65"/>
      <c r="E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</row>
    <row r="550" spans="1:24" ht="15.75" customHeight="1" x14ac:dyDescent="0.4">
      <c r="A550" s="182"/>
      <c r="B550" s="65"/>
      <c r="C550" s="65"/>
      <c r="D550" s="65"/>
      <c r="E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</row>
    <row r="551" spans="1:24" ht="15.75" customHeight="1" x14ac:dyDescent="0.4">
      <c r="A551" s="182"/>
      <c r="B551" s="65"/>
      <c r="C551" s="65"/>
      <c r="D551" s="65"/>
      <c r="E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</row>
    <row r="552" spans="1:24" ht="15.75" customHeight="1" x14ac:dyDescent="0.4">
      <c r="A552" s="182"/>
      <c r="B552" s="65"/>
      <c r="C552" s="65"/>
      <c r="D552" s="65"/>
      <c r="E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</row>
    <row r="553" spans="1:24" ht="15.75" customHeight="1" x14ac:dyDescent="0.4">
      <c r="A553" s="182"/>
      <c r="B553" s="65"/>
      <c r="C553" s="65"/>
      <c r="D553" s="65"/>
      <c r="E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</row>
    <row r="554" spans="1:24" ht="15.75" customHeight="1" x14ac:dyDescent="0.4">
      <c r="A554" s="182"/>
      <c r="B554" s="65"/>
      <c r="C554" s="65"/>
      <c r="D554" s="65"/>
      <c r="E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</row>
    <row r="555" spans="1:24" ht="15.75" customHeight="1" x14ac:dyDescent="0.4">
      <c r="A555" s="182"/>
      <c r="B555" s="65"/>
      <c r="C555" s="65"/>
      <c r="D555" s="65"/>
      <c r="E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</row>
    <row r="556" spans="1:24" ht="15.75" customHeight="1" x14ac:dyDescent="0.4">
      <c r="A556" s="182"/>
      <c r="B556" s="65"/>
      <c r="C556" s="65"/>
      <c r="D556" s="65"/>
      <c r="E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</row>
    <row r="557" spans="1:24" ht="15.75" customHeight="1" x14ac:dyDescent="0.4">
      <c r="A557" s="182"/>
      <c r="B557" s="65"/>
      <c r="C557" s="65"/>
      <c r="D557" s="65"/>
      <c r="E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</row>
    <row r="558" spans="1:24" ht="15.75" customHeight="1" x14ac:dyDescent="0.4">
      <c r="A558" s="182"/>
      <c r="B558" s="65"/>
      <c r="C558" s="65"/>
      <c r="D558" s="65"/>
      <c r="E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</row>
    <row r="559" spans="1:24" ht="15.75" customHeight="1" x14ac:dyDescent="0.4">
      <c r="A559" s="182"/>
      <c r="B559" s="65"/>
      <c r="C559" s="65"/>
      <c r="D559" s="65"/>
      <c r="E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</row>
    <row r="560" spans="1:24" ht="15.75" customHeight="1" x14ac:dyDescent="0.4">
      <c r="A560" s="182"/>
      <c r="B560" s="65"/>
      <c r="C560" s="65"/>
      <c r="D560" s="65"/>
      <c r="E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</row>
    <row r="561" spans="1:24" ht="15.75" customHeight="1" x14ac:dyDescent="0.4">
      <c r="A561" s="182"/>
      <c r="B561" s="65"/>
      <c r="C561" s="65"/>
      <c r="D561" s="65"/>
      <c r="E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</row>
    <row r="562" spans="1:24" ht="15.75" customHeight="1" x14ac:dyDescent="0.4">
      <c r="A562" s="182"/>
      <c r="B562" s="65"/>
      <c r="C562" s="65"/>
      <c r="D562" s="65"/>
      <c r="E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</row>
    <row r="563" spans="1:24" ht="15.75" customHeight="1" x14ac:dyDescent="0.4">
      <c r="A563" s="182"/>
      <c r="B563" s="65"/>
      <c r="C563" s="65"/>
      <c r="D563" s="65"/>
      <c r="E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</row>
    <row r="564" spans="1:24" ht="15.75" customHeight="1" x14ac:dyDescent="0.4">
      <c r="A564" s="182"/>
      <c r="B564" s="65"/>
      <c r="C564" s="65"/>
      <c r="D564" s="65"/>
      <c r="E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</row>
    <row r="565" spans="1:24" ht="15.75" customHeight="1" x14ac:dyDescent="0.4">
      <c r="A565" s="182"/>
      <c r="B565" s="65"/>
      <c r="C565" s="65"/>
      <c r="D565" s="65"/>
      <c r="E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</row>
    <row r="566" spans="1:24" ht="15.75" customHeight="1" x14ac:dyDescent="0.4">
      <c r="A566" s="182"/>
      <c r="B566" s="65"/>
      <c r="C566" s="65"/>
      <c r="D566" s="65"/>
      <c r="E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</row>
    <row r="567" spans="1:24" ht="15.75" customHeight="1" x14ac:dyDescent="0.4">
      <c r="A567" s="182"/>
      <c r="B567" s="65"/>
      <c r="C567" s="65"/>
      <c r="D567" s="65"/>
      <c r="E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</row>
    <row r="568" spans="1:24" ht="15.75" customHeight="1" x14ac:dyDescent="0.4">
      <c r="A568" s="182"/>
      <c r="B568" s="65"/>
      <c r="C568" s="65"/>
      <c r="D568" s="65"/>
      <c r="E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</row>
    <row r="569" spans="1:24" ht="15.75" customHeight="1" x14ac:dyDescent="0.4">
      <c r="A569" s="182"/>
      <c r="B569" s="65"/>
      <c r="C569" s="65"/>
      <c r="D569" s="65"/>
      <c r="E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</row>
    <row r="570" spans="1:24" ht="15.75" customHeight="1" x14ac:dyDescent="0.4">
      <c r="A570" s="182"/>
      <c r="B570" s="65"/>
      <c r="C570" s="65"/>
      <c r="D570" s="65"/>
      <c r="E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</row>
    <row r="571" spans="1:24" ht="15.75" customHeight="1" x14ac:dyDescent="0.4">
      <c r="A571" s="182"/>
      <c r="B571" s="65"/>
      <c r="C571" s="65"/>
      <c r="D571" s="65"/>
      <c r="E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</row>
    <row r="572" spans="1:24" ht="15.75" customHeight="1" x14ac:dyDescent="0.4">
      <c r="A572" s="182"/>
      <c r="B572" s="65"/>
      <c r="C572" s="65"/>
      <c r="D572" s="65"/>
      <c r="E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</row>
    <row r="573" spans="1:24" ht="15.75" customHeight="1" x14ac:dyDescent="0.4">
      <c r="A573" s="182"/>
      <c r="B573" s="65"/>
      <c r="C573" s="65"/>
      <c r="D573" s="65"/>
      <c r="E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</row>
    <row r="574" spans="1:24" ht="15.75" customHeight="1" x14ac:dyDescent="0.4">
      <c r="A574" s="182"/>
      <c r="B574" s="65"/>
      <c r="C574" s="65"/>
      <c r="D574" s="65"/>
      <c r="E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</row>
    <row r="575" spans="1:24" ht="15.75" customHeight="1" x14ac:dyDescent="0.4">
      <c r="A575" s="182"/>
      <c r="B575" s="65"/>
      <c r="C575" s="65"/>
      <c r="D575" s="65"/>
      <c r="E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</row>
    <row r="576" spans="1:24" ht="15.75" customHeight="1" x14ac:dyDescent="0.4">
      <c r="A576" s="182"/>
      <c r="B576" s="65"/>
      <c r="C576" s="65"/>
      <c r="D576" s="65"/>
      <c r="E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</row>
    <row r="577" spans="1:24" ht="15.75" customHeight="1" x14ac:dyDescent="0.4">
      <c r="A577" s="182"/>
      <c r="B577" s="65"/>
      <c r="C577" s="65"/>
      <c r="D577" s="65"/>
      <c r="E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</row>
    <row r="578" spans="1:24" ht="15.75" customHeight="1" x14ac:dyDescent="0.4">
      <c r="A578" s="182"/>
      <c r="B578" s="65"/>
      <c r="C578" s="65"/>
      <c r="D578" s="65"/>
      <c r="E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</row>
    <row r="579" spans="1:24" ht="15.75" customHeight="1" x14ac:dyDescent="0.4">
      <c r="A579" s="182"/>
      <c r="B579" s="65"/>
      <c r="C579" s="65"/>
      <c r="D579" s="65"/>
      <c r="E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</row>
    <row r="580" spans="1:24" ht="15.75" customHeight="1" x14ac:dyDescent="0.4">
      <c r="A580" s="182"/>
      <c r="B580" s="65"/>
      <c r="C580" s="65"/>
      <c r="D580" s="65"/>
      <c r="E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</row>
    <row r="581" spans="1:24" ht="15.75" customHeight="1" x14ac:dyDescent="0.4">
      <c r="A581" s="182"/>
      <c r="B581" s="65"/>
      <c r="C581" s="65"/>
      <c r="D581" s="65"/>
      <c r="E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</row>
    <row r="582" spans="1:24" ht="15.75" customHeight="1" x14ac:dyDescent="0.4">
      <c r="A582" s="182"/>
      <c r="B582" s="65"/>
      <c r="C582" s="65"/>
      <c r="D582" s="65"/>
      <c r="E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</row>
    <row r="583" spans="1:24" ht="15.75" customHeight="1" x14ac:dyDescent="0.4">
      <c r="A583" s="182"/>
      <c r="B583" s="65"/>
      <c r="C583" s="65"/>
      <c r="D583" s="65"/>
      <c r="E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</row>
    <row r="584" spans="1:24" ht="15.75" customHeight="1" x14ac:dyDescent="0.4">
      <c r="A584" s="182"/>
      <c r="B584" s="65"/>
      <c r="C584" s="65"/>
      <c r="D584" s="65"/>
      <c r="E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</row>
    <row r="585" spans="1:24" ht="15.75" customHeight="1" x14ac:dyDescent="0.4">
      <c r="A585" s="182"/>
      <c r="B585" s="65"/>
      <c r="C585" s="65"/>
      <c r="D585" s="65"/>
      <c r="E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</row>
    <row r="586" spans="1:24" ht="15.75" customHeight="1" x14ac:dyDescent="0.4">
      <c r="A586" s="182"/>
      <c r="B586" s="65"/>
      <c r="C586" s="65"/>
      <c r="D586" s="65"/>
      <c r="E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</row>
    <row r="587" spans="1:24" ht="15.75" customHeight="1" x14ac:dyDescent="0.4">
      <c r="A587" s="182"/>
      <c r="B587" s="65"/>
      <c r="C587" s="65"/>
      <c r="D587" s="65"/>
      <c r="E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</row>
    <row r="588" spans="1:24" ht="15.75" customHeight="1" x14ac:dyDescent="0.4">
      <c r="A588" s="182"/>
      <c r="B588" s="65"/>
      <c r="C588" s="65"/>
      <c r="D588" s="65"/>
      <c r="E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</row>
    <row r="589" spans="1:24" ht="15.75" customHeight="1" x14ac:dyDescent="0.4">
      <c r="A589" s="182"/>
      <c r="B589" s="65"/>
      <c r="C589" s="65"/>
      <c r="D589" s="65"/>
      <c r="E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</row>
    <row r="590" spans="1:24" ht="15.75" customHeight="1" x14ac:dyDescent="0.4">
      <c r="A590" s="182"/>
      <c r="B590" s="65"/>
      <c r="C590" s="65"/>
      <c r="D590" s="65"/>
      <c r="E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</row>
    <row r="591" spans="1:24" ht="15.75" customHeight="1" x14ac:dyDescent="0.4">
      <c r="A591" s="182"/>
      <c r="B591" s="65"/>
      <c r="C591" s="65"/>
      <c r="D591" s="65"/>
      <c r="E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</row>
    <row r="592" spans="1:24" ht="15.75" customHeight="1" x14ac:dyDescent="0.4">
      <c r="A592" s="182"/>
      <c r="B592" s="65"/>
      <c r="C592" s="65"/>
      <c r="D592" s="65"/>
      <c r="E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</row>
    <row r="593" spans="1:24" ht="15.75" customHeight="1" x14ac:dyDescent="0.4">
      <c r="A593" s="182"/>
      <c r="B593" s="65"/>
      <c r="C593" s="65"/>
      <c r="D593" s="65"/>
      <c r="E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</row>
    <row r="594" spans="1:24" ht="15.75" customHeight="1" x14ac:dyDescent="0.4">
      <c r="A594" s="182"/>
      <c r="B594" s="65"/>
      <c r="C594" s="65"/>
      <c r="D594" s="65"/>
      <c r="E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</row>
    <row r="595" spans="1:24" ht="15.75" customHeight="1" x14ac:dyDescent="0.4">
      <c r="A595" s="182"/>
      <c r="B595" s="65"/>
      <c r="C595" s="65"/>
      <c r="D595" s="65"/>
      <c r="E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</row>
    <row r="596" spans="1:24" ht="15.75" customHeight="1" x14ac:dyDescent="0.4">
      <c r="A596" s="182"/>
      <c r="B596" s="65"/>
      <c r="C596" s="65"/>
      <c r="D596" s="65"/>
      <c r="E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</row>
    <row r="597" spans="1:24" ht="15.75" customHeight="1" x14ac:dyDescent="0.4">
      <c r="A597" s="182"/>
      <c r="B597" s="65"/>
      <c r="C597" s="65"/>
      <c r="D597" s="65"/>
      <c r="E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</row>
    <row r="598" spans="1:24" ht="15.75" customHeight="1" x14ac:dyDescent="0.4">
      <c r="A598" s="182"/>
      <c r="B598" s="65"/>
      <c r="C598" s="65"/>
      <c r="D598" s="65"/>
      <c r="E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</row>
    <row r="599" spans="1:24" ht="15.75" customHeight="1" x14ac:dyDescent="0.4">
      <c r="A599" s="182"/>
      <c r="B599" s="65"/>
      <c r="C599" s="65"/>
      <c r="D599" s="65"/>
      <c r="E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</row>
    <row r="600" spans="1:24" ht="15.75" customHeight="1" x14ac:dyDescent="0.4">
      <c r="A600" s="182"/>
      <c r="B600" s="65"/>
      <c r="C600" s="65"/>
      <c r="D600" s="65"/>
      <c r="E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</row>
    <row r="601" spans="1:24" ht="15.75" customHeight="1" x14ac:dyDescent="0.4">
      <c r="A601" s="182"/>
      <c r="B601" s="65"/>
      <c r="C601" s="65"/>
      <c r="D601" s="65"/>
      <c r="E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</row>
    <row r="602" spans="1:24" ht="15.75" customHeight="1" x14ac:dyDescent="0.4">
      <c r="A602" s="182"/>
      <c r="B602" s="65"/>
      <c r="C602" s="65"/>
      <c r="D602" s="65"/>
      <c r="E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</row>
    <row r="603" spans="1:24" ht="15.75" customHeight="1" x14ac:dyDescent="0.4">
      <c r="A603" s="182"/>
      <c r="B603" s="65"/>
      <c r="C603" s="65"/>
      <c r="D603" s="65"/>
      <c r="E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</row>
    <row r="604" spans="1:24" ht="15.75" customHeight="1" x14ac:dyDescent="0.4">
      <c r="A604" s="182"/>
      <c r="B604" s="65"/>
      <c r="C604" s="65"/>
      <c r="D604" s="65"/>
      <c r="E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</row>
    <row r="605" spans="1:24" ht="15.75" customHeight="1" x14ac:dyDescent="0.4">
      <c r="A605" s="182"/>
      <c r="B605" s="65"/>
      <c r="C605" s="65"/>
      <c r="D605" s="65"/>
      <c r="E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</row>
    <row r="606" spans="1:24" ht="15.75" customHeight="1" x14ac:dyDescent="0.4">
      <c r="A606" s="182"/>
      <c r="B606" s="65"/>
      <c r="C606" s="65"/>
      <c r="D606" s="65"/>
      <c r="E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</row>
    <row r="607" spans="1:24" ht="15.75" customHeight="1" x14ac:dyDescent="0.4">
      <c r="A607" s="182"/>
      <c r="B607" s="65"/>
      <c r="C607" s="65"/>
      <c r="D607" s="65"/>
      <c r="E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</row>
    <row r="608" spans="1:24" ht="15.75" customHeight="1" x14ac:dyDescent="0.4">
      <c r="A608" s="182"/>
      <c r="B608" s="65"/>
      <c r="C608" s="65"/>
      <c r="D608" s="65"/>
      <c r="E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</row>
    <row r="609" spans="1:24" ht="15.75" customHeight="1" x14ac:dyDescent="0.4">
      <c r="A609" s="182"/>
      <c r="B609" s="65"/>
      <c r="C609" s="65"/>
      <c r="D609" s="65"/>
      <c r="E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</row>
    <row r="610" spans="1:24" ht="15.75" customHeight="1" x14ac:dyDescent="0.4">
      <c r="A610" s="182"/>
      <c r="B610" s="65"/>
      <c r="C610" s="65"/>
      <c r="D610" s="65"/>
      <c r="E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</row>
    <row r="611" spans="1:24" ht="15.75" customHeight="1" x14ac:dyDescent="0.4">
      <c r="A611" s="182"/>
      <c r="B611" s="65"/>
      <c r="C611" s="65"/>
      <c r="D611" s="65"/>
      <c r="E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</row>
    <row r="612" spans="1:24" ht="15.75" customHeight="1" x14ac:dyDescent="0.4">
      <c r="A612" s="182"/>
      <c r="B612" s="65"/>
      <c r="C612" s="65"/>
      <c r="D612" s="65"/>
      <c r="E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</row>
    <row r="613" spans="1:24" ht="15.75" customHeight="1" x14ac:dyDescent="0.4">
      <c r="A613" s="182"/>
      <c r="B613" s="65"/>
      <c r="C613" s="65"/>
      <c r="D613" s="65"/>
      <c r="E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</row>
    <row r="614" spans="1:24" ht="15.75" customHeight="1" x14ac:dyDescent="0.4">
      <c r="A614" s="182"/>
      <c r="B614" s="65"/>
      <c r="C614" s="65"/>
      <c r="D614" s="65"/>
      <c r="E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</row>
    <row r="615" spans="1:24" ht="15.75" customHeight="1" x14ac:dyDescent="0.4">
      <c r="A615" s="182"/>
      <c r="B615" s="65"/>
      <c r="C615" s="65"/>
      <c r="D615" s="65"/>
      <c r="E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</row>
    <row r="616" spans="1:24" ht="15.75" customHeight="1" x14ac:dyDescent="0.4">
      <c r="A616" s="182"/>
      <c r="B616" s="65"/>
      <c r="C616" s="65"/>
      <c r="D616" s="65"/>
      <c r="E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</row>
    <row r="617" spans="1:24" ht="15.75" customHeight="1" x14ac:dyDescent="0.4">
      <c r="A617" s="182"/>
      <c r="B617" s="65"/>
      <c r="C617" s="65"/>
      <c r="D617" s="65"/>
      <c r="E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</row>
    <row r="618" spans="1:24" ht="15.75" customHeight="1" x14ac:dyDescent="0.4">
      <c r="A618" s="182"/>
      <c r="B618" s="65"/>
      <c r="C618" s="65"/>
      <c r="D618" s="65"/>
      <c r="E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</row>
    <row r="619" spans="1:24" ht="15.75" customHeight="1" x14ac:dyDescent="0.4">
      <c r="A619" s="182"/>
      <c r="B619" s="65"/>
      <c r="C619" s="65"/>
      <c r="D619" s="65"/>
      <c r="E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</row>
    <row r="620" spans="1:24" ht="15.75" customHeight="1" x14ac:dyDescent="0.4">
      <c r="A620" s="182"/>
      <c r="B620" s="65"/>
      <c r="C620" s="65"/>
      <c r="D620" s="65"/>
      <c r="E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</row>
    <row r="621" spans="1:24" ht="15.75" customHeight="1" x14ac:dyDescent="0.4">
      <c r="A621" s="182"/>
      <c r="B621" s="65"/>
      <c r="C621" s="65"/>
      <c r="D621" s="65"/>
      <c r="E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</row>
    <row r="622" spans="1:24" ht="15.75" customHeight="1" x14ac:dyDescent="0.4">
      <c r="A622" s="182"/>
      <c r="B622" s="65"/>
      <c r="C622" s="65"/>
      <c r="D622" s="65"/>
      <c r="E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</row>
    <row r="623" spans="1:24" ht="15.75" customHeight="1" x14ac:dyDescent="0.4">
      <c r="A623" s="182"/>
      <c r="B623" s="65"/>
      <c r="C623" s="65"/>
      <c r="D623" s="65"/>
      <c r="E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</row>
    <row r="624" spans="1:24" ht="15.75" customHeight="1" x14ac:dyDescent="0.4">
      <c r="A624" s="182"/>
      <c r="B624" s="65"/>
      <c r="C624" s="65"/>
      <c r="D624" s="65"/>
      <c r="E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</row>
    <row r="625" spans="1:24" ht="15.75" customHeight="1" x14ac:dyDescent="0.4">
      <c r="A625" s="182"/>
      <c r="B625" s="65"/>
      <c r="C625" s="65"/>
      <c r="D625" s="65"/>
      <c r="E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</row>
    <row r="626" spans="1:24" ht="15.75" customHeight="1" x14ac:dyDescent="0.4">
      <c r="A626" s="182"/>
      <c r="B626" s="65"/>
      <c r="C626" s="65"/>
      <c r="D626" s="65"/>
      <c r="E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</row>
    <row r="627" spans="1:24" ht="15.75" customHeight="1" x14ac:dyDescent="0.4">
      <c r="A627" s="182"/>
      <c r="B627" s="65"/>
      <c r="C627" s="65"/>
      <c r="D627" s="65"/>
      <c r="E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</row>
    <row r="628" spans="1:24" ht="15.75" customHeight="1" x14ac:dyDescent="0.4">
      <c r="A628" s="182"/>
      <c r="B628" s="65"/>
      <c r="C628" s="65"/>
      <c r="D628" s="65"/>
      <c r="E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</row>
    <row r="629" spans="1:24" ht="15.75" customHeight="1" x14ac:dyDescent="0.4">
      <c r="A629" s="182"/>
      <c r="B629" s="65"/>
      <c r="C629" s="65"/>
      <c r="D629" s="65"/>
      <c r="E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</row>
    <row r="630" spans="1:24" ht="15.75" customHeight="1" x14ac:dyDescent="0.4">
      <c r="A630" s="182"/>
      <c r="B630" s="65"/>
      <c r="C630" s="65"/>
      <c r="D630" s="65"/>
      <c r="E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</row>
    <row r="631" spans="1:24" ht="15.75" customHeight="1" x14ac:dyDescent="0.4">
      <c r="A631" s="182"/>
      <c r="B631" s="65"/>
      <c r="C631" s="65"/>
      <c r="D631" s="65"/>
      <c r="E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</row>
    <row r="632" spans="1:24" ht="15.75" customHeight="1" x14ac:dyDescent="0.4">
      <c r="A632" s="182"/>
      <c r="B632" s="65"/>
      <c r="C632" s="65"/>
      <c r="D632" s="65"/>
      <c r="E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</row>
    <row r="633" spans="1:24" ht="15.75" customHeight="1" x14ac:dyDescent="0.4">
      <c r="A633" s="182"/>
      <c r="B633" s="65"/>
      <c r="C633" s="65"/>
      <c r="D633" s="65"/>
      <c r="E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</row>
    <row r="634" spans="1:24" ht="15.75" customHeight="1" x14ac:dyDescent="0.4">
      <c r="A634" s="182"/>
      <c r="B634" s="65"/>
      <c r="C634" s="65"/>
      <c r="D634" s="65"/>
      <c r="E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</row>
    <row r="635" spans="1:24" ht="15.75" customHeight="1" x14ac:dyDescent="0.4">
      <c r="A635" s="182"/>
      <c r="B635" s="65"/>
      <c r="C635" s="65"/>
      <c r="D635" s="65"/>
      <c r="E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</row>
    <row r="636" spans="1:24" ht="15.75" customHeight="1" x14ac:dyDescent="0.4">
      <c r="A636" s="182"/>
      <c r="B636" s="65"/>
      <c r="C636" s="65"/>
      <c r="D636" s="65"/>
      <c r="E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</row>
    <row r="637" spans="1:24" ht="15.75" customHeight="1" x14ac:dyDescent="0.4">
      <c r="A637" s="182"/>
      <c r="B637" s="65"/>
      <c r="C637" s="65"/>
      <c r="D637" s="65"/>
      <c r="E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</row>
    <row r="638" spans="1:24" ht="15.75" customHeight="1" x14ac:dyDescent="0.4">
      <c r="A638" s="182"/>
      <c r="B638" s="65"/>
      <c r="C638" s="65"/>
      <c r="D638" s="65"/>
      <c r="E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</row>
    <row r="639" spans="1:24" ht="15.75" customHeight="1" x14ac:dyDescent="0.4">
      <c r="A639" s="182"/>
      <c r="B639" s="65"/>
      <c r="C639" s="65"/>
      <c r="D639" s="65"/>
      <c r="E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</row>
    <row r="640" spans="1:24" ht="15.75" customHeight="1" x14ac:dyDescent="0.4">
      <c r="A640" s="182"/>
      <c r="B640" s="65"/>
      <c r="C640" s="65"/>
      <c r="D640" s="65"/>
      <c r="E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</row>
    <row r="641" spans="1:24" ht="15.75" customHeight="1" x14ac:dyDescent="0.4">
      <c r="A641" s="182"/>
      <c r="B641" s="65"/>
      <c r="C641" s="65"/>
      <c r="D641" s="65"/>
      <c r="E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</row>
    <row r="642" spans="1:24" ht="15.75" customHeight="1" x14ac:dyDescent="0.4">
      <c r="A642" s="182"/>
      <c r="B642" s="65"/>
      <c r="C642" s="65"/>
      <c r="D642" s="65"/>
      <c r="E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</row>
    <row r="643" spans="1:24" ht="15.75" customHeight="1" x14ac:dyDescent="0.4">
      <c r="A643" s="182"/>
      <c r="B643" s="65"/>
      <c r="C643" s="65"/>
      <c r="D643" s="65"/>
      <c r="E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</row>
    <row r="644" spans="1:24" ht="15.75" customHeight="1" x14ac:dyDescent="0.4">
      <c r="A644" s="182"/>
      <c r="B644" s="65"/>
      <c r="C644" s="65"/>
      <c r="D644" s="65"/>
      <c r="E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</row>
    <row r="645" spans="1:24" ht="15.75" customHeight="1" x14ac:dyDescent="0.4">
      <c r="A645" s="182"/>
      <c r="B645" s="65"/>
      <c r="C645" s="65"/>
      <c r="D645" s="65"/>
      <c r="E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</row>
    <row r="646" spans="1:24" ht="15.75" customHeight="1" x14ac:dyDescent="0.4">
      <c r="A646" s="182"/>
      <c r="B646" s="65"/>
      <c r="C646" s="65"/>
      <c r="D646" s="65"/>
      <c r="E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</row>
    <row r="647" spans="1:24" ht="15.75" customHeight="1" x14ac:dyDescent="0.4">
      <c r="A647" s="182"/>
      <c r="B647" s="65"/>
      <c r="C647" s="65"/>
      <c r="D647" s="65"/>
      <c r="E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</row>
    <row r="648" spans="1:24" ht="15.75" customHeight="1" x14ac:dyDescent="0.4">
      <c r="A648" s="182"/>
      <c r="B648" s="65"/>
      <c r="C648" s="65"/>
      <c r="D648" s="65"/>
      <c r="E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</row>
    <row r="649" spans="1:24" ht="15.75" customHeight="1" x14ac:dyDescent="0.4">
      <c r="A649" s="182"/>
      <c r="B649" s="65"/>
      <c r="C649" s="65"/>
      <c r="D649" s="65"/>
      <c r="E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</row>
    <row r="650" spans="1:24" ht="15.75" customHeight="1" x14ac:dyDescent="0.4">
      <c r="A650" s="182"/>
      <c r="B650" s="65"/>
      <c r="C650" s="65"/>
      <c r="D650" s="65"/>
      <c r="E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</row>
    <row r="651" spans="1:24" ht="15.75" customHeight="1" x14ac:dyDescent="0.4">
      <c r="A651" s="182"/>
      <c r="B651" s="65"/>
      <c r="C651" s="65"/>
      <c r="D651" s="65"/>
      <c r="E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</row>
    <row r="652" spans="1:24" ht="15.75" customHeight="1" x14ac:dyDescent="0.4">
      <c r="A652" s="182"/>
      <c r="B652" s="65"/>
      <c r="C652" s="65"/>
      <c r="D652" s="65"/>
      <c r="E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</row>
    <row r="653" spans="1:24" ht="15.75" customHeight="1" x14ac:dyDescent="0.4">
      <c r="A653" s="182"/>
      <c r="B653" s="65"/>
      <c r="C653" s="65"/>
      <c r="D653" s="65"/>
      <c r="E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</row>
    <row r="654" spans="1:24" ht="15.75" customHeight="1" x14ac:dyDescent="0.4">
      <c r="A654" s="182"/>
      <c r="B654" s="65"/>
      <c r="C654" s="65"/>
      <c r="D654" s="65"/>
      <c r="E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</row>
    <row r="655" spans="1:24" ht="15.75" customHeight="1" x14ac:dyDescent="0.4">
      <c r="A655" s="182"/>
      <c r="B655" s="65"/>
      <c r="C655" s="65"/>
      <c r="D655" s="65"/>
      <c r="E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</row>
    <row r="656" spans="1:24" ht="15.75" customHeight="1" x14ac:dyDescent="0.4">
      <c r="A656" s="182"/>
      <c r="B656" s="65"/>
      <c r="C656" s="65"/>
      <c r="D656" s="65"/>
      <c r="E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</row>
    <row r="657" spans="1:24" ht="15.75" customHeight="1" x14ac:dyDescent="0.4">
      <c r="A657" s="182"/>
      <c r="B657" s="65"/>
      <c r="C657" s="65"/>
      <c r="D657" s="65"/>
      <c r="E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</row>
    <row r="658" spans="1:24" ht="15.75" customHeight="1" x14ac:dyDescent="0.4">
      <c r="A658" s="182"/>
      <c r="B658" s="65"/>
      <c r="C658" s="65"/>
      <c r="D658" s="65"/>
      <c r="E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</row>
    <row r="659" spans="1:24" ht="15.75" customHeight="1" x14ac:dyDescent="0.4">
      <c r="A659" s="182"/>
      <c r="B659" s="65"/>
      <c r="C659" s="65"/>
      <c r="D659" s="65"/>
      <c r="E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</row>
    <row r="660" spans="1:24" ht="15.75" customHeight="1" x14ac:dyDescent="0.4">
      <c r="A660" s="182"/>
      <c r="B660" s="65"/>
      <c r="C660" s="65"/>
      <c r="D660" s="65"/>
      <c r="E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</row>
    <row r="661" spans="1:24" ht="15.75" customHeight="1" x14ac:dyDescent="0.4">
      <c r="A661" s="182"/>
      <c r="B661" s="65"/>
      <c r="C661" s="65"/>
      <c r="D661" s="65"/>
      <c r="E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</row>
    <row r="662" spans="1:24" ht="15.75" customHeight="1" x14ac:dyDescent="0.4">
      <c r="A662" s="182"/>
      <c r="B662" s="65"/>
      <c r="C662" s="65"/>
      <c r="D662" s="65"/>
      <c r="E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</row>
    <row r="663" spans="1:24" ht="15.75" customHeight="1" x14ac:dyDescent="0.4">
      <c r="A663" s="182"/>
      <c r="B663" s="65"/>
      <c r="C663" s="65"/>
      <c r="D663" s="65"/>
      <c r="E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</row>
    <row r="664" spans="1:24" ht="15.75" customHeight="1" x14ac:dyDescent="0.4">
      <c r="A664" s="182"/>
      <c r="B664" s="65"/>
      <c r="C664" s="65"/>
      <c r="D664" s="65"/>
      <c r="E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</row>
    <row r="665" spans="1:24" ht="15.75" customHeight="1" x14ac:dyDescent="0.4">
      <c r="A665" s="182"/>
      <c r="B665" s="65"/>
      <c r="C665" s="65"/>
      <c r="D665" s="65"/>
      <c r="E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</row>
    <row r="666" spans="1:24" ht="15.75" customHeight="1" x14ac:dyDescent="0.4">
      <c r="A666" s="182"/>
      <c r="B666" s="65"/>
      <c r="C666" s="65"/>
      <c r="D666" s="65"/>
      <c r="E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</row>
    <row r="667" spans="1:24" ht="15.75" customHeight="1" x14ac:dyDescent="0.4">
      <c r="A667" s="182"/>
      <c r="B667" s="65"/>
      <c r="C667" s="65"/>
      <c r="D667" s="65"/>
      <c r="E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</row>
    <row r="668" spans="1:24" ht="15.75" customHeight="1" x14ac:dyDescent="0.4">
      <c r="A668" s="182"/>
      <c r="B668" s="65"/>
      <c r="C668" s="65"/>
      <c r="D668" s="65"/>
      <c r="E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</row>
    <row r="669" spans="1:24" ht="15.75" customHeight="1" x14ac:dyDescent="0.4">
      <c r="A669" s="182"/>
      <c r="B669" s="65"/>
      <c r="C669" s="65"/>
      <c r="D669" s="65"/>
      <c r="E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</row>
    <row r="670" spans="1:24" ht="15.75" customHeight="1" x14ac:dyDescent="0.4">
      <c r="A670" s="182"/>
      <c r="B670" s="65"/>
      <c r="C670" s="65"/>
      <c r="D670" s="65"/>
      <c r="E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</row>
    <row r="671" spans="1:24" ht="15.75" customHeight="1" x14ac:dyDescent="0.4">
      <c r="A671" s="182"/>
      <c r="B671" s="65"/>
      <c r="C671" s="65"/>
      <c r="D671" s="65"/>
      <c r="E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</row>
    <row r="672" spans="1:24" ht="15.75" customHeight="1" x14ac:dyDescent="0.4">
      <c r="A672" s="182"/>
      <c r="B672" s="65"/>
      <c r="C672" s="65"/>
      <c r="D672" s="65"/>
      <c r="E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</row>
    <row r="673" spans="1:24" ht="15.75" customHeight="1" x14ac:dyDescent="0.4">
      <c r="A673" s="182"/>
      <c r="B673" s="65"/>
      <c r="C673" s="65"/>
      <c r="D673" s="65"/>
      <c r="E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</row>
    <row r="674" spans="1:24" ht="15.75" customHeight="1" x14ac:dyDescent="0.4">
      <c r="A674" s="182"/>
      <c r="B674" s="65"/>
      <c r="C674" s="65"/>
      <c r="D674" s="65"/>
      <c r="E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</row>
    <row r="675" spans="1:24" ht="15.75" customHeight="1" x14ac:dyDescent="0.4">
      <c r="A675" s="182"/>
      <c r="B675" s="65"/>
      <c r="C675" s="65"/>
      <c r="D675" s="65"/>
      <c r="E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</row>
    <row r="676" spans="1:24" ht="15.75" customHeight="1" x14ac:dyDescent="0.4">
      <c r="A676" s="182"/>
      <c r="B676" s="65"/>
      <c r="C676" s="65"/>
      <c r="D676" s="65"/>
      <c r="E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</row>
    <row r="677" spans="1:24" ht="15.75" customHeight="1" x14ac:dyDescent="0.4">
      <c r="A677" s="182"/>
      <c r="B677" s="65"/>
      <c r="C677" s="65"/>
      <c r="D677" s="65"/>
      <c r="E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</row>
    <row r="678" spans="1:24" ht="15.75" customHeight="1" x14ac:dyDescent="0.4">
      <c r="A678" s="182"/>
      <c r="B678" s="65"/>
      <c r="C678" s="65"/>
      <c r="D678" s="65"/>
      <c r="E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</row>
    <row r="679" spans="1:24" ht="15.75" customHeight="1" x14ac:dyDescent="0.4">
      <c r="A679" s="182"/>
      <c r="B679" s="65"/>
      <c r="C679" s="65"/>
      <c r="D679" s="65"/>
      <c r="E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</row>
    <row r="680" spans="1:24" ht="15.75" customHeight="1" x14ac:dyDescent="0.4">
      <c r="A680" s="182"/>
      <c r="B680" s="65"/>
      <c r="C680" s="65"/>
      <c r="D680" s="65"/>
      <c r="E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</row>
    <row r="681" spans="1:24" ht="15.75" customHeight="1" x14ac:dyDescent="0.4">
      <c r="A681" s="182"/>
      <c r="B681" s="65"/>
      <c r="C681" s="65"/>
      <c r="D681" s="65"/>
      <c r="E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</row>
    <row r="682" spans="1:24" ht="15.75" customHeight="1" x14ac:dyDescent="0.4">
      <c r="A682" s="182"/>
      <c r="B682" s="65"/>
      <c r="C682" s="65"/>
      <c r="D682" s="65"/>
      <c r="E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</row>
    <row r="683" spans="1:24" ht="15.75" customHeight="1" x14ac:dyDescent="0.4">
      <c r="A683" s="182"/>
      <c r="B683" s="65"/>
      <c r="C683" s="65"/>
      <c r="D683" s="65"/>
      <c r="E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</row>
    <row r="684" spans="1:24" ht="15.75" customHeight="1" x14ac:dyDescent="0.4">
      <c r="A684" s="182"/>
      <c r="B684" s="65"/>
      <c r="C684" s="65"/>
      <c r="D684" s="65"/>
      <c r="E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</row>
    <row r="685" spans="1:24" ht="15.75" customHeight="1" x14ac:dyDescent="0.4">
      <c r="A685" s="182"/>
      <c r="B685" s="65"/>
      <c r="C685" s="65"/>
      <c r="D685" s="65"/>
      <c r="E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</row>
    <row r="686" spans="1:24" ht="15.75" customHeight="1" x14ac:dyDescent="0.4">
      <c r="A686" s="182"/>
      <c r="B686" s="65"/>
      <c r="C686" s="65"/>
      <c r="D686" s="65"/>
      <c r="E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</row>
    <row r="687" spans="1:24" ht="15.75" customHeight="1" x14ac:dyDescent="0.4">
      <c r="A687" s="182"/>
      <c r="B687" s="65"/>
      <c r="C687" s="65"/>
      <c r="D687" s="65"/>
      <c r="E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</row>
    <row r="688" spans="1:24" ht="15.75" customHeight="1" x14ac:dyDescent="0.4">
      <c r="A688" s="182"/>
      <c r="B688" s="65"/>
      <c r="C688" s="65"/>
      <c r="D688" s="65"/>
      <c r="E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</row>
    <row r="689" spans="1:24" ht="15.75" customHeight="1" x14ac:dyDescent="0.4">
      <c r="A689" s="182"/>
      <c r="B689" s="65"/>
      <c r="C689" s="65"/>
      <c r="D689" s="65"/>
      <c r="E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</row>
    <row r="690" spans="1:24" ht="15.75" customHeight="1" x14ac:dyDescent="0.4">
      <c r="A690" s="182"/>
      <c r="B690" s="65"/>
      <c r="C690" s="65"/>
      <c r="D690" s="65"/>
      <c r="E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</row>
    <row r="691" spans="1:24" ht="15.75" customHeight="1" x14ac:dyDescent="0.4">
      <c r="A691" s="182"/>
      <c r="B691" s="65"/>
      <c r="C691" s="65"/>
      <c r="D691" s="65"/>
      <c r="E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</row>
    <row r="692" spans="1:24" ht="15.75" customHeight="1" x14ac:dyDescent="0.4">
      <c r="A692" s="182"/>
      <c r="B692" s="65"/>
      <c r="C692" s="65"/>
      <c r="D692" s="65"/>
      <c r="E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</row>
    <row r="693" spans="1:24" ht="15.75" customHeight="1" x14ac:dyDescent="0.4">
      <c r="A693" s="182"/>
      <c r="B693" s="65"/>
      <c r="C693" s="65"/>
      <c r="D693" s="65"/>
      <c r="E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</row>
    <row r="694" spans="1:24" ht="15.75" customHeight="1" x14ac:dyDescent="0.4">
      <c r="A694" s="182"/>
      <c r="B694" s="65"/>
      <c r="C694" s="65"/>
      <c r="D694" s="65"/>
      <c r="E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</row>
    <row r="695" spans="1:24" ht="15.75" customHeight="1" x14ac:dyDescent="0.4">
      <c r="A695" s="182"/>
      <c r="B695" s="65"/>
      <c r="C695" s="65"/>
      <c r="D695" s="65"/>
      <c r="E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</row>
    <row r="696" spans="1:24" ht="15.75" customHeight="1" x14ac:dyDescent="0.4">
      <c r="A696" s="182"/>
      <c r="B696" s="65"/>
      <c r="C696" s="65"/>
      <c r="D696" s="65"/>
      <c r="E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</row>
    <row r="697" spans="1:24" ht="15.75" customHeight="1" x14ac:dyDescent="0.4">
      <c r="A697" s="182"/>
      <c r="B697" s="65"/>
      <c r="C697" s="65"/>
      <c r="D697" s="65"/>
      <c r="E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</row>
    <row r="698" spans="1:24" ht="15.75" customHeight="1" x14ac:dyDescent="0.4">
      <c r="A698" s="182"/>
      <c r="B698" s="65"/>
      <c r="C698" s="65"/>
      <c r="D698" s="65"/>
      <c r="E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</row>
    <row r="699" spans="1:24" ht="15.75" customHeight="1" x14ac:dyDescent="0.4">
      <c r="A699" s="182"/>
      <c r="B699" s="65"/>
      <c r="C699" s="65"/>
      <c r="D699" s="65"/>
      <c r="E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</row>
    <row r="700" spans="1:24" ht="15.75" customHeight="1" x14ac:dyDescent="0.4">
      <c r="A700" s="182"/>
      <c r="B700" s="65"/>
      <c r="C700" s="65"/>
      <c r="D700" s="65"/>
      <c r="E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</row>
    <row r="701" spans="1:24" ht="15.75" customHeight="1" x14ac:dyDescent="0.4">
      <c r="A701" s="182"/>
      <c r="B701" s="65"/>
      <c r="C701" s="65"/>
      <c r="D701" s="65"/>
      <c r="E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</row>
    <row r="702" spans="1:24" ht="15.75" customHeight="1" x14ac:dyDescent="0.4">
      <c r="A702" s="182"/>
      <c r="B702" s="65"/>
      <c r="C702" s="65"/>
      <c r="D702" s="65"/>
      <c r="E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</row>
    <row r="703" spans="1:24" ht="15.75" customHeight="1" x14ac:dyDescent="0.4">
      <c r="A703" s="182"/>
      <c r="B703" s="65"/>
      <c r="C703" s="65"/>
      <c r="D703" s="65"/>
      <c r="E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</row>
    <row r="704" spans="1:24" ht="15.75" customHeight="1" x14ac:dyDescent="0.4">
      <c r="A704" s="182"/>
      <c r="B704" s="65"/>
      <c r="C704" s="65"/>
      <c r="D704" s="65"/>
      <c r="E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</row>
    <row r="705" spans="1:24" ht="15.75" customHeight="1" x14ac:dyDescent="0.4">
      <c r="A705" s="182"/>
      <c r="B705" s="65"/>
      <c r="C705" s="65"/>
      <c r="D705" s="65"/>
      <c r="E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</row>
    <row r="706" spans="1:24" ht="15.75" customHeight="1" x14ac:dyDescent="0.4">
      <c r="A706" s="182"/>
      <c r="B706" s="65"/>
      <c r="C706" s="65"/>
      <c r="D706" s="65"/>
      <c r="E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</row>
    <row r="707" spans="1:24" ht="15.75" customHeight="1" x14ac:dyDescent="0.4">
      <c r="A707" s="182"/>
      <c r="B707" s="65"/>
      <c r="C707" s="65"/>
      <c r="D707" s="65"/>
      <c r="E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</row>
    <row r="708" spans="1:24" ht="15.75" customHeight="1" x14ac:dyDescent="0.4">
      <c r="A708" s="182"/>
      <c r="B708" s="65"/>
      <c r="C708" s="65"/>
      <c r="D708" s="65"/>
      <c r="E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</row>
    <row r="709" spans="1:24" ht="15.75" customHeight="1" x14ac:dyDescent="0.4">
      <c r="A709" s="182"/>
      <c r="B709" s="65"/>
      <c r="C709" s="65"/>
      <c r="D709" s="65"/>
      <c r="E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</row>
    <row r="710" spans="1:24" ht="15.75" customHeight="1" x14ac:dyDescent="0.4">
      <c r="A710" s="182"/>
      <c r="B710" s="65"/>
      <c r="C710" s="65"/>
      <c r="D710" s="65"/>
      <c r="E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</row>
    <row r="711" spans="1:24" ht="15.75" customHeight="1" x14ac:dyDescent="0.4">
      <c r="A711" s="182"/>
      <c r="B711" s="65"/>
      <c r="C711" s="65"/>
      <c r="D711" s="65"/>
      <c r="E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</row>
    <row r="712" spans="1:24" ht="15.75" customHeight="1" x14ac:dyDescent="0.4">
      <c r="A712" s="182"/>
      <c r="B712" s="65"/>
      <c r="C712" s="65"/>
      <c r="D712" s="65"/>
      <c r="E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</row>
    <row r="713" spans="1:24" ht="15.75" customHeight="1" x14ac:dyDescent="0.4">
      <c r="A713" s="182"/>
      <c r="B713" s="65"/>
      <c r="C713" s="65"/>
      <c r="D713" s="65"/>
      <c r="E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</row>
    <row r="714" spans="1:24" ht="15.75" customHeight="1" x14ac:dyDescent="0.4">
      <c r="A714" s="182"/>
      <c r="B714" s="65"/>
      <c r="C714" s="65"/>
      <c r="D714" s="65"/>
      <c r="E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</row>
    <row r="715" spans="1:24" ht="15.75" customHeight="1" x14ac:dyDescent="0.4">
      <c r="A715" s="182"/>
      <c r="B715" s="65"/>
      <c r="C715" s="65"/>
      <c r="D715" s="65"/>
      <c r="E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</row>
    <row r="716" spans="1:24" ht="15.75" customHeight="1" x14ac:dyDescent="0.4">
      <c r="A716" s="182"/>
      <c r="B716" s="65"/>
      <c r="C716" s="65"/>
      <c r="D716" s="65"/>
      <c r="E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</row>
    <row r="717" spans="1:24" ht="15.75" customHeight="1" x14ac:dyDescent="0.4">
      <c r="A717" s="182"/>
      <c r="B717" s="65"/>
      <c r="C717" s="65"/>
      <c r="D717" s="65"/>
      <c r="E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</row>
    <row r="718" spans="1:24" ht="15.75" customHeight="1" x14ac:dyDescent="0.4">
      <c r="A718" s="182"/>
      <c r="B718" s="65"/>
      <c r="C718" s="65"/>
      <c r="D718" s="65"/>
      <c r="E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</row>
    <row r="719" spans="1:24" ht="15.75" customHeight="1" x14ac:dyDescent="0.4">
      <c r="A719" s="182"/>
      <c r="B719" s="65"/>
      <c r="C719" s="65"/>
      <c r="D719" s="65"/>
      <c r="E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</row>
    <row r="720" spans="1:24" ht="15.75" customHeight="1" x14ac:dyDescent="0.4">
      <c r="A720" s="182"/>
      <c r="B720" s="65"/>
      <c r="C720" s="65"/>
      <c r="D720" s="65"/>
      <c r="E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</row>
    <row r="721" spans="1:24" ht="15.75" customHeight="1" x14ac:dyDescent="0.4">
      <c r="A721" s="182"/>
      <c r="B721" s="65"/>
      <c r="C721" s="65"/>
      <c r="D721" s="65"/>
      <c r="E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</row>
    <row r="722" spans="1:24" ht="15.75" customHeight="1" x14ac:dyDescent="0.4">
      <c r="A722" s="182"/>
      <c r="B722" s="65"/>
      <c r="C722" s="65"/>
      <c r="D722" s="65"/>
      <c r="E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</row>
    <row r="723" spans="1:24" ht="15.75" customHeight="1" x14ac:dyDescent="0.4">
      <c r="A723" s="182"/>
      <c r="B723" s="65"/>
      <c r="C723" s="65"/>
      <c r="D723" s="65"/>
      <c r="E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</row>
    <row r="724" spans="1:24" ht="15.75" customHeight="1" x14ac:dyDescent="0.4">
      <c r="A724" s="182"/>
      <c r="B724" s="65"/>
      <c r="C724" s="65"/>
      <c r="D724" s="65"/>
      <c r="E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</row>
    <row r="725" spans="1:24" ht="15.75" customHeight="1" x14ac:dyDescent="0.4">
      <c r="A725" s="182"/>
      <c r="B725" s="65"/>
      <c r="C725" s="65"/>
      <c r="D725" s="65"/>
      <c r="E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</row>
    <row r="726" spans="1:24" ht="15.75" customHeight="1" x14ac:dyDescent="0.4">
      <c r="A726" s="182"/>
      <c r="B726" s="65"/>
      <c r="C726" s="65"/>
      <c r="D726" s="65"/>
      <c r="E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</row>
    <row r="727" spans="1:24" ht="15.75" customHeight="1" x14ac:dyDescent="0.4">
      <c r="A727" s="182"/>
      <c r="B727" s="65"/>
      <c r="C727" s="65"/>
      <c r="D727" s="65"/>
      <c r="E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</row>
    <row r="728" spans="1:24" ht="15.75" customHeight="1" x14ac:dyDescent="0.4">
      <c r="A728" s="182"/>
      <c r="B728" s="65"/>
      <c r="C728" s="65"/>
      <c r="D728" s="65"/>
      <c r="E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</row>
    <row r="729" spans="1:24" ht="15.75" customHeight="1" x14ac:dyDescent="0.4">
      <c r="A729" s="182"/>
      <c r="B729" s="65"/>
      <c r="C729" s="65"/>
      <c r="D729" s="65"/>
      <c r="E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</row>
    <row r="730" spans="1:24" ht="15.75" customHeight="1" x14ac:dyDescent="0.4">
      <c r="A730" s="182"/>
      <c r="B730" s="65"/>
      <c r="C730" s="65"/>
      <c r="D730" s="65"/>
      <c r="E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</row>
    <row r="731" spans="1:24" ht="15.75" customHeight="1" x14ac:dyDescent="0.4">
      <c r="A731" s="182"/>
      <c r="B731" s="65"/>
      <c r="C731" s="65"/>
      <c r="D731" s="65"/>
      <c r="E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</row>
    <row r="732" spans="1:24" ht="15.75" customHeight="1" x14ac:dyDescent="0.4">
      <c r="A732" s="182"/>
      <c r="B732" s="65"/>
      <c r="C732" s="65"/>
      <c r="D732" s="65"/>
      <c r="E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</row>
    <row r="733" spans="1:24" ht="15.75" customHeight="1" x14ac:dyDescent="0.4">
      <c r="A733" s="182"/>
      <c r="B733" s="65"/>
      <c r="C733" s="65"/>
      <c r="D733" s="65"/>
      <c r="E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</row>
    <row r="734" spans="1:24" ht="15.75" customHeight="1" x14ac:dyDescent="0.4">
      <c r="A734" s="182"/>
      <c r="B734" s="65"/>
      <c r="C734" s="65"/>
      <c r="D734" s="65"/>
      <c r="E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</row>
    <row r="735" spans="1:24" ht="15.75" customHeight="1" x14ac:dyDescent="0.4">
      <c r="A735" s="182"/>
      <c r="B735" s="65"/>
      <c r="C735" s="65"/>
      <c r="D735" s="65"/>
      <c r="E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</row>
    <row r="736" spans="1:24" ht="15.75" customHeight="1" x14ac:dyDescent="0.4">
      <c r="A736" s="182"/>
      <c r="B736" s="65"/>
      <c r="C736" s="65"/>
      <c r="D736" s="65"/>
      <c r="E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</row>
    <row r="737" spans="1:24" ht="15.75" customHeight="1" x14ac:dyDescent="0.4">
      <c r="A737" s="182"/>
      <c r="B737" s="65"/>
      <c r="C737" s="65"/>
      <c r="D737" s="65"/>
      <c r="E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</row>
    <row r="738" spans="1:24" ht="15.75" customHeight="1" x14ac:dyDescent="0.4">
      <c r="A738" s="182"/>
      <c r="B738" s="65"/>
      <c r="C738" s="65"/>
      <c r="D738" s="65"/>
      <c r="E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</row>
    <row r="739" spans="1:24" ht="15.75" customHeight="1" x14ac:dyDescent="0.4">
      <c r="A739" s="182"/>
      <c r="B739" s="65"/>
      <c r="C739" s="65"/>
      <c r="D739" s="65"/>
      <c r="E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</row>
    <row r="740" spans="1:24" ht="15.75" customHeight="1" x14ac:dyDescent="0.4">
      <c r="A740" s="182"/>
      <c r="B740" s="65"/>
      <c r="C740" s="65"/>
      <c r="D740" s="65"/>
      <c r="E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</row>
    <row r="741" spans="1:24" ht="15.75" customHeight="1" x14ac:dyDescent="0.4">
      <c r="A741" s="182"/>
      <c r="B741" s="65"/>
      <c r="C741" s="65"/>
      <c r="D741" s="65"/>
      <c r="E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</row>
    <row r="742" spans="1:24" ht="15.75" customHeight="1" x14ac:dyDescent="0.4">
      <c r="A742" s="182"/>
      <c r="B742" s="65"/>
      <c r="C742" s="65"/>
      <c r="D742" s="65"/>
      <c r="E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</row>
    <row r="743" spans="1:24" ht="15.75" customHeight="1" x14ac:dyDescent="0.4">
      <c r="A743" s="182"/>
      <c r="B743" s="65"/>
      <c r="C743" s="65"/>
      <c r="D743" s="65"/>
      <c r="E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</row>
    <row r="744" spans="1:24" ht="15.75" customHeight="1" x14ac:dyDescent="0.4">
      <c r="A744" s="182"/>
      <c r="B744" s="65"/>
      <c r="C744" s="65"/>
      <c r="D744" s="65"/>
      <c r="E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</row>
    <row r="745" spans="1:24" ht="15.75" customHeight="1" x14ac:dyDescent="0.4">
      <c r="A745" s="182"/>
      <c r="B745" s="65"/>
      <c r="C745" s="65"/>
      <c r="D745" s="65"/>
      <c r="E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</row>
    <row r="746" spans="1:24" ht="15.75" customHeight="1" x14ac:dyDescent="0.4">
      <c r="A746" s="182"/>
      <c r="B746" s="65"/>
      <c r="C746" s="65"/>
      <c r="D746" s="65"/>
      <c r="E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</row>
    <row r="747" spans="1:24" ht="15.75" customHeight="1" x14ac:dyDescent="0.4">
      <c r="A747" s="182"/>
      <c r="B747" s="65"/>
      <c r="C747" s="65"/>
      <c r="D747" s="65"/>
      <c r="E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</row>
    <row r="748" spans="1:24" ht="15.75" customHeight="1" x14ac:dyDescent="0.4">
      <c r="A748" s="182"/>
      <c r="B748" s="65"/>
      <c r="C748" s="65"/>
      <c r="D748" s="65"/>
      <c r="E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</row>
    <row r="749" spans="1:24" ht="15.75" customHeight="1" x14ac:dyDescent="0.4">
      <c r="A749" s="182"/>
      <c r="B749" s="65"/>
      <c r="C749" s="65"/>
      <c r="D749" s="65"/>
      <c r="E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</row>
    <row r="750" spans="1:24" ht="15.75" customHeight="1" x14ac:dyDescent="0.4">
      <c r="A750" s="182"/>
      <c r="B750" s="65"/>
      <c r="C750" s="65"/>
      <c r="D750" s="65"/>
      <c r="E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</row>
    <row r="751" spans="1:24" ht="15.75" customHeight="1" x14ac:dyDescent="0.4">
      <c r="A751" s="182"/>
      <c r="B751" s="65"/>
      <c r="C751" s="65"/>
      <c r="D751" s="65"/>
      <c r="E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</row>
    <row r="752" spans="1:24" ht="15.75" customHeight="1" x14ac:dyDescent="0.4">
      <c r="A752" s="182"/>
      <c r="B752" s="65"/>
      <c r="C752" s="65"/>
      <c r="D752" s="65"/>
      <c r="E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</row>
    <row r="753" spans="1:24" ht="15.75" customHeight="1" x14ac:dyDescent="0.4">
      <c r="A753" s="182"/>
      <c r="B753" s="65"/>
      <c r="C753" s="65"/>
      <c r="D753" s="65"/>
      <c r="E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</row>
    <row r="754" spans="1:24" ht="15.75" customHeight="1" x14ac:dyDescent="0.4">
      <c r="A754" s="182"/>
      <c r="B754" s="65"/>
      <c r="C754" s="65"/>
      <c r="D754" s="65"/>
      <c r="E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</row>
    <row r="755" spans="1:24" ht="15.75" customHeight="1" x14ac:dyDescent="0.4">
      <c r="A755" s="182"/>
      <c r="B755" s="65"/>
      <c r="C755" s="65"/>
      <c r="D755" s="65"/>
      <c r="E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</row>
    <row r="756" spans="1:24" ht="15.75" customHeight="1" x14ac:dyDescent="0.4">
      <c r="A756" s="182"/>
      <c r="B756" s="65"/>
      <c r="C756" s="65"/>
      <c r="D756" s="65"/>
      <c r="E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</row>
    <row r="757" spans="1:24" ht="15.75" customHeight="1" x14ac:dyDescent="0.4">
      <c r="A757" s="182"/>
      <c r="B757" s="65"/>
      <c r="C757" s="65"/>
      <c r="D757" s="65"/>
      <c r="E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</row>
    <row r="758" spans="1:24" ht="15.75" customHeight="1" x14ac:dyDescent="0.4">
      <c r="A758" s="182"/>
      <c r="B758" s="65"/>
      <c r="C758" s="65"/>
      <c r="D758" s="65"/>
      <c r="E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</row>
    <row r="759" spans="1:24" ht="15.75" customHeight="1" x14ac:dyDescent="0.4">
      <c r="A759" s="182"/>
      <c r="B759" s="65"/>
      <c r="C759" s="65"/>
      <c r="D759" s="65"/>
      <c r="E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</row>
    <row r="760" spans="1:24" ht="15.75" customHeight="1" x14ac:dyDescent="0.4">
      <c r="A760" s="182"/>
      <c r="B760" s="65"/>
      <c r="C760" s="65"/>
      <c r="D760" s="65"/>
      <c r="E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</row>
    <row r="761" spans="1:24" ht="15.75" customHeight="1" x14ac:dyDescent="0.4">
      <c r="A761" s="182"/>
      <c r="B761" s="65"/>
      <c r="C761" s="65"/>
      <c r="D761" s="65"/>
      <c r="E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</row>
    <row r="762" spans="1:24" ht="15.75" customHeight="1" x14ac:dyDescent="0.4">
      <c r="A762" s="182"/>
      <c r="B762" s="65"/>
      <c r="C762" s="65"/>
      <c r="D762" s="65"/>
      <c r="E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</row>
    <row r="763" spans="1:24" ht="15.75" customHeight="1" x14ac:dyDescent="0.4">
      <c r="A763" s="182"/>
      <c r="B763" s="65"/>
      <c r="C763" s="65"/>
      <c r="D763" s="65"/>
      <c r="E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</row>
    <row r="764" spans="1:24" ht="15.75" customHeight="1" x14ac:dyDescent="0.4">
      <c r="A764" s="182"/>
      <c r="B764" s="65"/>
      <c r="C764" s="65"/>
      <c r="D764" s="65"/>
      <c r="E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</row>
    <row r="765" spans="1:24" ht="15.75" customHeight="1" x14ac:dyDescent="0.4">
      <c r="A765" s="182"/>
      <c r="B765" s="65"/>
      <c r="C765" s="65"/>
      <c r="D765" s="65"/>
      <c r="E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</row>
    <row r="766" spans="1:24" ht="15.75" customHeight="1" x14ac:dyDescent="0.4">
      <c r="A766" s="182"/>
      <c r="B766" s="65"/>
      <c r="C766" s="65"/>
      <c r="D766" s="65"/>
      <c r="E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</row>
    <row r="767" spans="1:24" ht="15.75" customHeight="1" x14ac:dyDescent="0.4">
      <c r="A767" s="182"/>
      <c r="B767" s="65"/>
      <c r="C767" s="65"/>
      <c r="D767" s="65"/>
      <c r="E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</row>
    <row r="768" spans="1:24" ht="15.75" customHeight="1" x14ac:dyDescent="0.4">
      <c r="A768" s="182"/>
      <c r="B768" s="65"/>
      <c r="C768" s="65"/>
      <c r="D768" s="65"/>
      <c r="E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</row>
    <row r="769" spans="1:24" ht="15.75" customHeight="1" x14ac:dyDescent="0.4">
      <c r="A769" s="182"/>
      <c r="B769" s="65"/>
      <c r="C769" s="65"/>
      <c r="D769" s="65"/>
      <c r="E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</row>
    <row r="770" spans="1:24" ht="15.75" customHeight="1" x14ac:dyDescent="0.4">
      <c r="A770" s="182"/>
      <c r="B770" s="65"/>
      <c r="C770" s="65"/>
      <c r="D770" s="65"/>
      <c r="E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</row>
    <row r="771" spans="1:24" ht="15.75" customHeight="1" x14ac:dyDescent="0.4">
      <c r="A771" s="182"/>
      <c r="B771" s="65"/>
      <c r="C771" s="65"/>
      <c r="D771" s="65"/>
      <c r="E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</row>
    <row r="772" spans="1:24" ht="15.75" customHeight="1" x14ac:dyDescent="0.4">
      <c r="A772" s="182"/>
      <c r="B772" s="65"/>
      <c r="C772" s="65"/>
      <c r="D772" s="65"/>
      <c r="E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</row>
    <row r="773" spans="1:24" ht="15.75" customHeight="1" x14ac:dyDescent="0.4">
      <c r="A773" s="182"/>
      <c r="B773" s="65"/>
      <c r="C773" s="65"/>
      <c r="D773" s="65"/>
      <c r="E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</row>
    <row r="774" spans="1:24" ht="15.75" customHeight="1" x14ac:dyDescent="0.4">
      <c r="A774" s="182"/>
      <c r="B774" s="65"/>
      <c r="C774" s="65"/>
      <c r="D774" s="65"/>
      <c r="E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</row>
    <row r="775" spans="1:24" ht="15.75" customHeight="1" x14ac:dyDescent="0.4">
      <c r="A775" s="182"/>
      <c r="B775" s="65"/>
      <c r="C775" s="65"/>
      <c r="D775" s="65"/>
      <c r="E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</row>
    <row r="776" spans="1:24" ht="15.75" customHeight="1" x14ac:dyDescent="0.4">
      <c r="A776" s="182"/>
      <c r="B776" s="65"/>
      <c r="C776" s="65"/>
      <c r="D776" s="65"/>
      <c r="E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</row>
    <row r="777" spans="1:24" ht="15.75" customHeight="1" x14ac:dyDescent="0.4">
      <c r="A777" s="182"/>
      <c r="B777" s="65"/>
      <c r="C777" s="65"/>
      <c r="D777" s="65"/>
      <c r="E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</row>
    <row r="778" spans="1:24" ht="15.75" customHeight="1" x14ac:dyDescent="0.4">
      <c r="A778" s="182"/>
      <c r="B778" s="65"/>
      <c r="C778" s="65"/>
      <c r="D778" s="65"/>
      <c r="E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</row>
    <row r="779" spans="1:24" ht="15.75" customHeight="1" x14ac:dyDescent="0.4">
      <c r="A779" s="182"/>
      <c r="B779" s="65"/>
      <c r="C779" s="65"/>
      <c r="D779" s="65"/>
      <c r="E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</row>
    <row r="780" spans="1:24" ht="15.75" customHeight="1" x14ac:dyDescent="0.4">
      <c r="A780" s="182"/>
      <c r="B780" s="65"/>
      <c r="C780" s="65"/>
      <c r="D780" s="65"/>
      <c r="E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</row>
    <row r="781" spans="1:24" ht="15.75" customHeight="1" x14ac:dyDescent="0.4">
      <c r="A781" s="182"/>
      <c r="B781" s="65"/>
      <c r="C781" s="65"/>
      <c r="D781" s="65"/>
      <c r="E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</row>
    <row r="782" spans="1:24" ht="15.75" customHeight="1" x14ac:dyDescent="0.4">
      <c r="A782" s="182"/>
      <c r="B782" s="65"/>
      <c r="C782" s="65"/>
      <c r="D782" s="65"/>
      <c r="E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</row>
    <row r="783" spans="1:24" ht="15.75" customHeight="1" x14ac:dyDescent="0.4">
      <c r="A783" s="182"/>
      <c r="B783" s="65"/>
      <c r="C783" s="65"/>
      <c r="D783" s="65"/>
      <c r="E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</row>
    <row r="784" spans="1:24" ht="15.75" customHeight="1" x14ac:dyDescent="0.4">
      <c r="A784" s="182"/>
      <c r="B784" s="65"/>
      <c r="C784" s="65"/>
      <c r="D784" s="65"/>
      <c r="E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</row>
    <row r="785" spans="1:24" ht="15.75" customHeight="1" x14ac:dyDescent="0.4">
      <c r="A785" s="182"/>
      <c r="B785" s="65"/>
      <c r="C785" s="65"/>
      <c r="D785" s="65"/>
      <c r="E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</row>
    <row r="786" spans="1:24" ht="15.75" customHeight="1" x14ac:dyDescent="0.4">
      <c r="A786" s="182"/>
      <c r="B786" s="65"/>
      <c r="C786" s="65"/>
      <c r="D786" s="65"/>
      <c r="E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</row>
    <row r="787" spans="1:24" ht="15.75" customHeight="1" x14ac:dyDescent="0.4">
      <c r="A787" s="182"/>
      <c r="B787" s="65"/>
      <c r="C787" s="65"/>
      <c r="D787" s="65"/>
      <c r="E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</row>
    <row r="788" spans="1:24" ht="15.75" customHeight="1" x14ac:dyDescent="0.4">
      <c r="A788" s="182"/>
      <c r="B788" s="65"/>
      <c r="C788" s="65"/>
      <c r="D788" s="65"/>
      <c r="E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</row>
    <row r="789" spans="1:24" ht="15.75" customHeight="1" x14ac:dyDescent="0.4">
      <c r="A789" s="182"/>
      <c r="B789" s="65"/>
      <c r="C789" s="65"/>
      <c r="D789" s="65"/>
      <c r="E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</row>
    <row r="790" spans="1:24" ht="15.75" customHeight="1" x14ac:dyDescent="0.4">
      <c r="A790" s="182"/>
      <c r="B790" s="65"/>
      <c r="C790" s="65"/>
      <c r="D790" s="65"/>
      <c r="E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</row>
    <row r="791" spans="1:24" ht="15.75" customHeight="1" x14ac:dyDescent="0.4">
      <c r="A791" s="182"/>
      <c r="B791" s="65"/>
      <c r="C791" s="65"/>
      <c r="D791" s="65"/>
      <c r="E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</row>
    <row r="792" spans="1:24" ht="15.75" customHeight="1" x14ac:dyDescent="0.4">
      <c r="A792" s="182"/>
      <c r="B792" s="65"/>
      <c r="C792" s="65"/>
      <c r="D792" s="65"/>
      <c r="E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</row>
    <row r="793" spans="1:24" ht="15.75" customHeight="1" x14ac:dyDescent="0.4">
      <c r="A793" s="182"/>
      <c r="B793" s="65"/>
      <c r="C793" s="65"/>
      <c r="D793" s="65"/>
      <c r="E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</row>
    <row r="794" spans="1:24" ht="15.75" customHeight="1" x14ac:dyDescent="0.4">
      <c r="A794" s="182"/>
      <c r="B794" s="65"/>
      <c r="C794" s="65"/>
      <c r="D794" s="65"/>
      <c r="E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</row>
    <row r="795" spans="1:24" ht="15.75" customHeight="1" x14ac:dyDescent="0.4">
      <c r="A795" s="182"/>
      <c r="B795" s="65"/>
      <c r="C795" s="65"/>
      <c r="D795" s="65"/>
      <c r="E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</row>
    <row r="796" spans="1:24" ht="15.75" customHeight="1" x14ac:dyDescent="0.4">
      <c r="A796" s="182"/>
      <c r="B796" s="65"/>
      <c r="C796" s="65"/>
      <c r="D796" s="65"/>
      <c r="E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</row>
    <row r="797" spans="1:24" ht="15.75" customHeight="1" x14ac:dyDescent="0.4">
      <c r="A797" s="182"/>
      <c r="B797" s="65"/>
      <c r="C797" s="65"/>
      <c r="D797" s="65"/>
      <c r="E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</row>
    <row r="798" spans="1:24" ht="15.75" customHeight="1" x14ac:dyDescent="0.4">
      <c r="A798" s="182"/>
      <c r="B798" s="65"/>
      <c r="C798" s="65"/>
      <c r="D798" s="65"/>
      <c r="E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</row>
    <row r="799" spans="1:24" ht="15.75" customHeight="1" x14ac:dyDescent="0.4">
      <c r="A799" s="182"/>
      <c r="B799" s="65"/>
      <c r="C799" s="65"/>
      <c r="D799" s="65"/>
      <c r="E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</row>
    <row r="800" spans="1:24" ht="15.75" customHeight="1" x14ac:dyDescent="0.4">
      <c r="A800" s="182"/>
      <c r="B800" s="65"/>
      <c r="C800" s="65"/>
      <c r="D800" s="65"/>
      <c r="E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</row>
    <row r="801" spans="1:24" ht="15.75" customHeight="1" x14ac:dyDescent="0.4">
      <c r="A801" s="182"/>
      <c r="B801" s="65"/>
      <c r="C801" s="65"/>
      <c r="D801" s="65"/>
      <c r="E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</row>
    <row r="802" spans="1:24" ht="15.75" customHeight="1" x14ac:dyDescent="0.4">
      <c r="A802" s="182"/>
      <c r="B802" s="65"/>
      <c r="C802" s="65"/>
      <c r="D802" s="65"/>
      <c r="E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</row>
    <row r="803" spans="1:24" ht="15.75" customHeight="1" x14ac:dyDescent="0.4">
      <c r="A803" s="182"/>
      <c r="B803" s="65"/>
      <c r="C803" s="65"/>
      <c r="D803" s="65"/>
      <c r="E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</row>
    <row r="804" spans="1:24" ht="15.75" customHeight="1" x14ac:dyDescent="0.4">
      <c r="A804" s="182"/>
      <c r="B804" s="65"/>
      <c r="C804" s="65"/>
      <c r="D804" s="65"/>
      <c r="E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</row>
    <row r="805" spans="1:24" ht="15.75" customHeight="1" x14ac:dyDescent="0.4">
      <c r="A805" s="182"/>
      <c r="B805" s="65"/>
      <c r="C805" s="65"/>
      <c r="D805" s="65"/>
      <c r="E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</row>
    <row r="806" spans="1:24" ht="15.75" customHeight="1" x14ac:dyDescent="0.4">
      <c r="A806" s="182"/>
      <c r="B806" s="65"/>
      <c r="C806" s="65"/>
      <c r="D806" s="65"/>
      <c r="E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</row>
    <row r="807" spans="1:24" ht="15.75" customHeight="1" x14ac:dyDescent="0.4">
      <c r="A807" s="182"/>
      <c r="B807" s="65"/>
      <c r="C807" s="65"/>
      <c r="D807" s="65"/>
      <c r="E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</row>
    <row r="808" spans="1:24" ht="15.75" customHeight="1" x14ac:dyDescent="0.4">
      <c r="A808" s="182"/>
      <c r="B808" s="65"/>
      <c r="C808" s="65"/>
      <c r="D808" s="65"/>
      <c r="E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</row>
    <row r="809" spans="1:24" ht="15.75" customHeight="1" x14ac:dyDescent="0.4">
      <c r="A809" s="182"/>
      <c r="B809" s="65"/>
      <c r="C809" s="65"/>
      <c r="D809" s="65"/>
      <c r="E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</row>
    <row r="810" spans="1:24" ht="15.75" customHeight="1" x14ac:dyDescent="0.4">
      <c r="A810" s="182"/>
      <c r="B810" s="65"/>
      <c r="C810" s="65"/>
      <c r="D810" s="65"/>
      <c r="E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</row>
    <row r="811" spans="1:24" ht="15.75" customHeight="1" x14ac:dyDescent="0.4">
      <c r="A811" s="182"/>
      <c r="B811" s="65"/>
      <c r="C811" s="65"/>
      <c r="D811" s="65"/>
      <c r="E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</row>
    <row r="812" spans="1:24" ht="15.75" customHeight="1" x14ac:dyDescent="0.4">
      <c r="A812" s="182"/>
      <c r="B812" s="65"/>
      <c r="C812" s="65"/>
      <c r="D812" s="65"/>
      <c r="E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</row>
    <row r="813" spans="1:24" ht="15.75" customHeight="1" x14ac:dyDescent="0.4">
      <c r="A813" s="182"/>
      <c r="B813" s="65"/>
      <c r="C813" s="65"/>
      <c r="D813" s="65"/>
      <c r="E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</row>
    <row r="814" spans="1:24" ht="15.75" customHeight="1" x14ac:dyDescent="0.4">
      <c r="A814" s="182"/>
      <c r="B814" s="65"/>
      <c r="C814" s="65"/>
      <c r="D814" s="65"/>
      <c r="E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</row>
    <row r="815" spans="1:24" ht="15.75" customHeight="1" x14ac:dyDescent="0.4">
      <c r="A815" s="182"/>
      <c r="B815" s="65"/>
      <c r="C815" s="65"/>
      <c r="D815" s="65"/>
      <c r="E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</row>
    <row r="816" spans="1:24" ht="15.75" customHeight="1" x14ac:dyDescent="0.4">
      <c r="A816" s="182"/>
      <c r="B816" s="65"/>
      <c r="C816" s="65"/>
      <c r="D816" s="65"/>
      <c r="E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</row>
    <row r="817" spans="1:24" ht="15.75" customHeight="1" x14ac:dyDescent="0.4">
      <c r="A817" s="182"/>
      <c r="B817" s="65"/>
      <c r="C817" s="65"/>
      <c r="D817" s="65"/>
      <c r="E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</row>
    <row r="818" spans="1:24" ht="15.75" customHeight="1" x14ac:dyDescent="0.4">
      <c r="A818" s="182"/>
      <c r="B818" s="65"/>
      <c r="C818" s="65"/>
      <c r="D818" s="65"/>
      <c r="E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</row>
    <row r="819" spans="1:24" ht="15.75" customHeight="1" x14ac:dyDescent="0.4">
      <c r="A819" s="182"/>
      <c r="B819" s="65"/>
      <c r="C819" s="65"/>
      <c r="D819" s="65"/>
      <c r="E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</row>
    <row r="820" spans="1:24" ht="15.75" customHeight="1" x14ac:dyDescent="0.4">
      <c r="A820" s="182"/>
      <c r="B820" s="65"/>
      <c r="C820" s="65"/>
      <c r="D820" s="65"/>
      <c r="E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</row>
    <row r="821" spans="1:24" ht="15.75" customHeight="1" x14ac:dyDescent="0.4">
      <c r="A821" s="182"/>
      <c r="B821" s="65"/>
      <c r="C821" s="65"/>
      <c r="D821" s="65"/>
      <c r="E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</row>
    <row r="822" spans="1:24" ht="15.75" customHeight="1" x14ac:dyDescent="0.4">
      <c r="A822" s="182"/>
      <c r="B822" s="65"/>
      <c r="C822" s="65"/>
      <c r="D822" s="65"/>
      <c r="E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</row>
    <row r="823" spans="1:24" ht="15.75" customHeight="1" x14ac:dyDescent="0.4">
      <c r="A823" s="182"/>
      <c r="B823" s="65"/>
      <c r="C823" s="65"/>
      <c r="D823" s="65"/>
      <c r="E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</row>
    <row r="824" spans="1:24" ht="15.75" customHeight="1" x14ac:dyDescent="0.4">
      <c r="A824" s="182"/>
      <c r="B824" s="65"/>
      <c r="C824" s="65"/>
      <c r="D824" s="65"/>
      <c r="E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</row>
    <row r="825" spans="1:24" ht="15.75" customHeight="1" x14ac:dyDescent="0.4">
      <c r="A825" s="182"/>
      <c r="B825" s="65"/>
      <c r="C825" s="65"/>
      <c r="D825" s="65"/>
      <c r="E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</row>
    <row r="826" spans="1:24" ht="15.75" customHeight="1" x14ac:dyDescent="0.4">
      <c r="A826" s="182"/>
      <c r="B826" s="65"/>
      <c r="C826" s="65"/>
      <c r="D826" s="65"/>
      <c r="E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</row>
    <row r="827" spans="1:24" ht="15.75" customHeight="1" x14ac:dyDescent="0.4">
      <c r="A827" s="182"/>
      <c r="B827" s="65"/>
      <c r="C827" s="65"/>
      <c r="D827" s="65"/>
      <c r="E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</row>
    <row r="828" spans="1:24" ht="15.75" customHeight="1" x14ac:dyDescent="0.4">
      <c r="A828" s="182"/>
      <c r="B828" s="65"/>
      <c r="C828" s="65"/>
      <c r="D828" s="65"/>
      <c r="E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</row>
    <row r="829" spans="1:24" ht="15.75" customHeight="1" x14ac:dyDescent="0.4">
      <c r="A829" s="182"/>
      <c r="B829" s="65"/>
      <c r="C829" s="65"/>
      <c r="D829" s="65"/>
      <c r="E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</row>
    <row r="830" spans="1:24" ht="15.75" customHeight="1" x14ac:dyDescent="0.4">
      <c r="A830" s="182"/>
      <c r="B830" s="65"/>
      <c r="C830" s="65"/>
      <c r="D830" s="65"/>
      <c r="E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</row>
    <row r="831" spans="1:24" ht="15.75" customHeight="1" x14ac:dyDescent="0.4">
      <c r="A831" s="182"/>
      <c r="B831" s="65"/>
      <c r="C831" s="65"/>
      <c r="D831" s="65"/>
      <c r="E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</row>
    <row r="832" spans="1:24" ht="15.75" customHeight="1" x14ac:dyDescent="0.4">
      <c r="A832" s="182"/>
      <c r="B832" s="65"/>
      <c r="C832" s="65"/>
      <c r="D832" s="65"/>
      <c r="E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</row>
    <row r="833" spans="1:24" ht="15.75" customHeight="1" x14ac:dyDescent="0.4">
      <c r="A833" s="182"/>
      <c r="B833" s="65"/>
      <c r="C833" s="65"/>
      <c r="D833" s="65"/>
      <c r="E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</row>
    <row r="834" spans="1:24" ht="15.75" customHeight="1" x14ac:dyDescent="0.4">
      <c r="A834" s="182"/>
      <c r="B834" s="65"/>
      <c r="C834" s="65"/>
      <c r="D834" s="65"/>
      <c r="E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</row>
    <row r="835" spans="1:24" ht="15.75" customHeight="1" x14ac:dyDescent="0.4">
      <c r="A835" s="182"/>
      <c r="B835" s="65"/>
      <c r="C835" s="65"/>
      <c r="D835" s="65"/>
      <c r="E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</row>
    <row r="836" spans="1:24" ht="15.75" customHeight="1" x14ac:dyDescent="0.4">
      <c r="A836" s="182"/>
      <c r="B836" s="65"/>
      <c r="C836" s="65"/>
      <c r="D836" s="65"/>
      <c r="E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</row>
    <row r="837" spans="1:24" ht="15.75" customHeight="1" x14ac:dyDescent="0.4">
      <c r="A837" s="182"/>
      <c r="B837" s="65"/>
      <c r="C837" s="65"/>
      <c r="D837" s="65"/>
      <c r="E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</row>
    <row r="838" spans="1:24" ht="15.75" customHeight="1" x14ac:dyDescent="0.4">
      <c r="A838" s="182"/>
      <c r="B838" s="65"/>
      <c r="C838" s="65"/>
      <c r="D838" s="65"/>
      <c r="E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</row>
    <row r="839" spans="1:24" ht="15.75" customHeight="1" x14ac:dyDescent="0.4">
      <c r="A839" s="182"/>
      <c r="B839" s="65"/>
      <c r="C839" s="65"/>
      <c r="D839" s="65"/>
      <c r="E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</row>
    <row r="840" spans="1:24" ht="15.75" customHeight="1" x14ac:dyDescent="0.4">
      <c r="A840" s="182"/>
      <c r="B840" s="65"/>
      <c r="C840" s="65"/>
      <c r="D840" s="65"/>
      <c r="E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</row>
    <row r="841" spans="1:24" ht="15.75" customHeight="1" x14ac:dyDescent="0.4">
      <c r="A841" s="182"/>
      <c r="B841" s="65"/>
      <c r="C841" s="65"/>
      <c r="D841" s="65"/>
      <c r="E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</row>
    <row r="842" spans="1:24" ht="15.75" customHeight="1" x14ac:dyDescent="0.4">
      <c r="A842" s="182"/>
      <c r="B842" s="65"/>
      <c r="C842" s="65"/>
      <c r="D842" s="65"/>
      <c r="E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</row>
    <row r="843" spans="1:24" ht="15.75" customHeight="1" x14ac:dyDescent="0.4">
      <c r="A843" s="182"/>
      <c r="B843" s="65"/>
      <c r="C843" s="65"/>
      <c r="D843" s="65"/>
      <c r="E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</row>
    <row r="844" spans="1:24" ht="15.75" customHeight="1" x14ac:dyDescent="0.4">
      <c r="A844" s="182"/>
      <c r="B844" s="65"/>
      <c r="C844" s="65"/>
      <c r="D844" s="65"/>
      <c r="E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</row>
    <row r="845" spans="1:24" ht="15.75" customHeight="1" x14ac:dyDescent="0.4">
      <c r="A845" s="182"/>
      <c r="B845" s="65"/>
      <c r="C845" s="65"/>
      <c r="D845" s="65"/>
      <c r="E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</row>
    <row r="846" spans="1:24" ht="15.75" customHeight="1" x14ac:dyDescent="0.4">
      <c r="A846" s="182"/>
      <c r="B846" s="65"/>
      <c r="C846" s="65"/>
      <c r="D846" s="65"/>
      <c r="E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</row>
    <row r="847" spans="1:24" ht="15.75" customHeight="1" x14ac:dyDescent="0.4">
      <c r="A847" s="182"/>
      <c r="B847" s="65"/>
      <c r="C847" s="65"/>
      <c r="D847" s="65"/>
      <c r="E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</row>
    <row r="848" spans="1:24" ht="15.75" customHeight="1" x14ac:dyDescent="0.4">
      <c r="A848" s="182"/>
      <c r="B848" s="65"/>
      <c r="C848" s="65"/>
      <c r="D848" s="65"/>
      <c r="E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</row>
    <row r="849" spans="1:24" ht="15.75" customHeight="1" x14ac:dyDescent="0.4">
      <c r="A849" s="182"/>
      <c r="B849" s="65"/>
      <c r="C849" s="65"/>
      <c r="D849" s="65"/>
      <c r="E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</row>
    <row r="850" spans="1:24" ht="15.75" customHeight="1" x14ac:dyDescent="0.4">
      <c r="A850" s="182"/>
      <c r="B850" s="65"/>
      <c r="C850" s="65"/>
      <c r="D850" s="65"/>
      <c r="E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</row>
    <row r="851" spans="1:24" ht="15.75" customHeight="1" x14ac:dyDescent="0.4">
      <c r="A851" s="182"/>
      <c r="B851" s="65"/>
      <c r="C851" s="65"/>
      <c r="D851" s="65"/>
      <c r="E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</row>
    <row r="852" spans="1:24" ht="15.75" customHeight="1" x14ac:dyDescent="0.4">
      <c r="A852" s="182"/>
      <c r="B852" s="65"/>
      <c r="C852" s="65"/>
      <c r="D852" s="65"/>
      <c r="E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</row>
    <row r="853" spans="1:24" ht="15.75" customHeight="1" x14ac:dyDescent="0.4">
      <c r="A853" s="182"/>
      <c r="B853" s="65"/>
      <c r="C853" s="65"/>
      <c r="D853" s="65"/>
      <c r="E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</row>
    <row r="854" spans="1:24" ht="15.75" customHeight="1" x14ac:dyDescent="0.4">
      <c r="A854" s="182"/>
      <c r="B854" s="65"/>
      <c r="C854" s="65"/>
      <c r="D854" s="65"/>
      <c r="E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</row>
    <row r="855" spans="1:24" ht="15.75" customHeight="1" x14ac:dyDescent="0.4">
      <c r="A855" s="182"/>
      <c r="B855" s="65"/>
      <c r="C855" s="65"/>
      <c r="D855" s="65"/>
      <c r="E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</row>
    <row r="856" spans="1:24" ht="15.75" customHeight="1" x14ac:dyDescent="0.4">
      <c r="A856" s="182"/>
      <c r="B856" s="65"/>
      <c r="C856" s="65"/>
      <c r="D856" s="65"/>
      <c r="E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</row>
    <row r="857" spans="1:24" ht="15.75" customHeight="1" x14ac:dyDescent="0.4">
      <c r="A857" s="182"/>
      <c r="B857" s="65"/>
      <c r="C857" s="65"/>
      <c r="D857" s="65"/>
      <c r="E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</row>
    <row r="858" spans="1:24" ht="15.75" customHeight="1" x14ac:dyDescent="0.4">
      <c r="A858" s="182"/>
      <c r="B858" s="65"/>
      <c r="C858" s="65"/>
      <c r="D858" s="65"/>
      <c r="E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</row>
    <row r="859" spans="1:24" ht="15.75" customHeight="1" x14ac:dyDescent="0.4">
      <c r="A859" s="182"/>
      <c r="B859" s="65"/>
      <c r="C859" s="65"/>
      <c r="D859" s="65"/>
      <c r="E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</row>
    <row r="860" spans="1:24" ht="15.75" customHeight="1" x14ac:dyDescent="0.4">
      <c r="A860" s="182"/>
      <c r="B860" s="65"/>
      <c r="C860" s="65"/>
      <c r="D860" s="65"/>
      <c r="E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</row>
    <row r="861" spans="1:24" ht="15.75" customHeight="1" x14ac:dyDescent="0.4">
      <c r="A861" s="182"/>
      <c r="B861" s="65"/>
      <c r="C861" s="65"/>
      <c r="D861" s="65"/>
      <c r="E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</row>
    <row r="862" spans="1:24" ht="15.75" customHeight="1" x14ac:dyDescent="0.4">
      <c r="A862" s="182"/>
      <c r="B862" s="65"/>
      <c r="C862" s="65"/>
      <c r="D862" s="65"/>
      <c r="E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</row>
    <row r="863" spans="1:24" ht="15.75" customHeight="1" x14ac:dyDescent="0.4">
      <c r="A863" s="182"/>
      <c r="B863" s="65"/>
      <c r="C863" s="65"/>
      <c r="D863" s="65"/>
      <c r="E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</row>
    <row r="864" spans="1:24" ht="15.75" customHeight="1" x14ac:dyDescent="0.4">
      <c r="A864" s="182"/>
      <c r="B864" s="65"/>
      <c r="C864" s="65"/>
      <c r="D864" s="65"/>
      <c r="E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</row>
    <row r="865" spans="1:24" ht="15.75" customHeight="1" x14ac:dyDescent="0.4">
      <c r="A865" s="182"/>
      <c r="B865" s="65"/>
      <c r="C865" s="65"/>
      <c r="D865" s="65"/>
      <c r="E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</row>
    <row r="866" spans="1:24" ht="15.75" customHeight="1" x14ac:dyDescent="0.4">
      <c r="A866" s="182"/>
      <c r="B866" s="65"/>
      <c r="C866" s="65"/>
      <c r="D866" s="65"/>
      <c r="E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</row>
    <row r="867" spans="1:24" ht="15.75" customHeight="1" x14ac:dyDescent="0.4">
      <c r="A867" s="182"/>
      <c r="B867" s="65"/>
      <c r="C867" s="65"/>
      <c r="D867" s="65"/>
      <c r="E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</row>
    <row r="868" spans="1:24" ht="15.75" customHeight="1" x14ac:dyDescent="0.4">
      <c r="A868" s="182"/>
      <c r="B868" s="65"/>
      <c r="C868" s="65"/>
      <c r="D868" s="65"/>
      <c r="E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</row>
    <row r="869" spans="1:24" ht="15.75" customHeight="1" x14ac:dyDescent="0.4">
      <c r="A869" s="182"/>
      <c r="B869" s="65"/>
      <c r="C869" s="65"/>
      <c r="D869" s="65"/>
      <c r="E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</row>
    <row r="870" spans="1:24" ht="15.75" customHeight="1" x14ac:dyDescent="0.4">
      <c r="A870" s="182"/>
      <c r="B870" s="65"/>
      <c r="C870" s="65"/>
      <c r="D870" s="65"/>
      <c r="E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</row>
    <row r="871" spans="1:24" ht="15.75" customHeight="1" x14ac:dyDescent="0.4">
      <c r="A871" s="182"/>
      <c r="B871" s="65"/>
      <c r="C871" s="65"/>
      <c r="D871" s="65"/>
      <c r="E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</row>
    <row r="872" spans="1:24" ht="15.75" customHeight="1" x14ac:dyDescent="0.4">
      <c r="A872" s="182"/>
      <c r="B872" s="65"/>
      <c r="C872" s="65"/>
      <c r="D872" s="65"/>
      <c r="E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</row>
    <row r="873" spans="1:24" ht="15.75" customHeight="1" x14ac:dyDescent="0.4">
      <c r="A873" s="182"/>
      <c r="B873" s="65"/>
      <c r="C873" s="65"/>
      <c r="D873" s="65"/>
      <c r="E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</row>
    <row r="874" spans="1:24" ht="15.75" customHeight="1" x14ac:dyDescent="0.4">
      <c r="A874" s="182"/>
      <c r="B874" s="65"/>
      <c r="C874" s="65"/>
      <c r="D874" s="65"/>
      <c r="E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</row>
    <row r="875" spans="1:24" ht="15.75" customHeight="1" x14ac:dyDescent="0.4">
      <c r="A875" s="182"/>
      <c r="B875" s="65"/>
      <c r="C875" s="65"/>
      <c r="D875" s="65"/>
      <c r="E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</row>
    <row r="876" spans="1:24" ht="15.75" customHeight="1" x14ac:dyDescent="0.4">
      <c r="A876" s="182"/>
      <c r="B876" s="65"/>
      <c r="C876" s="65"/>
      <c r="D876" s="65"/>
      <c r="E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</row>
    <row r="877" spans="1:24" ht="15.75" customHeight="1" x14ac:dyDescent="0.4">
      <c r="A877" s="182"/>
      <c r="B877" s="65"/>
      <c r="C877" s="65"/>
      <c r="D877" s="65"/>
      <c r="E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</row>
    <row r="878" spans="1:24" ht="15.75" customHeight="1" x14ac:dyDescent="0.4">
      <c r="A878" s="182"/>
      <c r="B878" s="65"/>
      <c r="C878" s="65"/>
      <c r="D878" s="65"/>
      <c r="E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</row>
    <row r="879" spans="1:24" ht="15.75" customHeight="1" x14ac:dyDescent="0.4">
      <c r="A879" s="182"/>
      <c r="B879" s="65"/>
      <c r="C879" s="65"/>
      <c r="D879" s="65"/>
      <c r="E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</row>
    <row r="880" spans="1:24" ht="15.75" customHeight="1" x14ac:dyDescent="0.4">
      <c r="A880" s="182"/>
      <c r="B880" s="65"/>
      <c r="C880" s="65"/>
      <c r="D880" s="65"/>
      <c r="E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</row>
    <row r="881" spans="1:24" ht="15.75" customHeight="1" x14ac:dyDescent="0.4">
      <c r="A881" s="182"/>
      <c r="B881" s="65"/>
      <c r="C881" s="65"/>
      <c r="D881" s="65"/>
      <c r="E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</row>
    <row r="882" spans="1:24" ht="15.75" customHeight="1" x14ac:dyDescent="0.4">
      <c r="A882" s="182"/>
      <c r="B882" s="65"/>
      <c r="C882" s="65"/>
      <c r="D882" s="65"/>
      <c r="E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</row>
    <row r="883" spans="1:24" ht="15.75" customHeight="1" x14ac:dyDescent="0.4">
      <c r="A883" s="182"/>
      <c r="B883" s="65"/>
      <c r="C883" s="65"/>
      <c r="D883" s="65"/>
      <c r="E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</row>
    <row r="884" spans="1:24" ht="15.75" customHeight="1" x14ac:dyDescent="0.4">
      <c r="A884" s="182"/>
      <c r="B884" s="65"/>
      <c r="C884" s="65"/>
      <c r="D884" s="65"/>
      <c r="E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</row>
    <row r="885" spans="1:24" ht="15.75" customHeight="1" x14ac:dyDescent="0.4">
      <c r="A885" s="182"/>
      <c r="B885" s="65"/>
      <c r="C885" s="65"/>
      <c r="D885" s="65"/>
      <c r="E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</row>
    <row r="886" spans="1:24" ht="15.75" customHeight="1" x14ac:dyDescent="0.4">
      <c r="A886" s="182"/>
      <c r="B886" s="65"/>
      <c r="C886" s="65"/>
      <c r="D886" s="65"/>
      <c r="E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</row>
    <row r="887" spans="1:24" ht="15.75" customHeight="1" x14ac:dyDescent="0.4">
      <c r="A887" s="182"/>
      <c r="B887" s="65"/>
      <c r="C887" s="65"/>
      <c r="D887" s="65"/>
      <c r="E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</row>
    <row r="888" spans="1:24" ht="15.75" customHeight="1" x14ac:dyDescent="0.4">
      <c r="A888" s="182"/>
      <c r="B888" s="65"/>
      <c r="C888" s="65"/>
      <c r="D888" s="65"/>
      <c r="E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</row>
    <row r="889" spans="1:24" ht="15.75" customHeight="1" x14ac:dyDescent="0.4">
      <c r="A889" s="182"/>
      <c r="B889" s="65"/>
      <c r="C889" s="65"/>
      <c r="D889" s="65"/>
      <c r="E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</row>
    <row r="890" spans="1:24" ht="15.75" customHeight="1" x14ac:dyDescent="0.4">
      <c r="A890" s="182"/>
      <c r="B890" s="65"/>
      <c r="C890" s="65"/>
      <c r="D890" s="65"/>
      <c r="E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</row>
    <row r="891" spans="1:24" ht="15.75" customHeight="1" x14ac:dyDescent="0.4">
      <c r="A891" s="182"/>
      <c r="B891" s="65"/>
      <c r="C891" s="65"/>
      <c r="D891" s="65"/>
      <c r="E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</row>
    <row r="892" spans="1:24" ht="15.75" customHeight="1" x14ac:dyDescent="0.4">
      <c r="A892" s="182"/>
      <c r="B892" s="65"/>
      <c r="C892" s="65"/>
      <c r="D892" s="65"/>
      <c r="E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</row>
    <row r="893" spans="1:24" ht="15.75" customHeight="1" x14ac:dyDescent="0.4">
      <c r="A893" s="182"/>
      <c r="B893" s="65"/>
      <c r="C893" s="65"/>
      <c r="D893" s="65"/>
      <c r="E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</row>
    <row r="894" spans="1:24" ht="15.75" customHeight="1" x14ac:dyDescent="0.4">
      <c r="A894" s="182"/>
      <c r="B894" s="65"/>
      <c r="C894" s="65"/>
      <c r="D894" s="65"/>
      <c r="E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</row>
    <row r="895" spans="1:24" ht="15.75" customHeight="1" x14ac:dyDescent="0.4">
      <c r="A895" s="182"/>
      <c r="B895" s="65"/>
      <c r="C895" s="65"/>
      <c r="D895" s="65"/>
      <c r="E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</row>
    <row r="896" spans="1:24" ht="15.75" customHeight="1" x14ac:dyDescent="0.4">
      <c r="A896" s="182"/>
      <c r="B896" s="65"/>
      <c r="C896" s="65"/>
      <c r="D896" s="65"/>
      <c r="E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</row>
    <row r="897" spans="1:24" ht="15.75" customHeight="1" x14ac:dyDescent="0.4">
      <c r="A897" s="182"/>
      <c r="B897" s="65"/>
      <c r="C897" s="65"/>
      <c r="D897" s="65"/>
      <c r="E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</row>
    <row r="898" spans="1:24" ht="15.75" customHeight="1" x14ac:dyDescent="0.4">
      <c r="A898" s="182"/>
      <c r="B898" s="65"/>
      <c r="C898" s="65"/>
      <c r="D898" s="65"/>
      <c r="E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</row>
    <row r="899" spans="1:24" ht="15.75" customHeight="1" x14ac:dyDescent="0.4">
      <c r="A899" s="182"/>
      <c r="B899" s="65"/>
      <c r="C899" s="65"/>
      <c r="D899" s="65"/>
      <c r="E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</row>
    <row r="900" spans="1:24" ht="15.75" customHeight="1" x14ac:dyDescent="0.4">
      <c r="A900" s="182"/>
      <c r="B900" s="65"/>
      <c r="C900" s="65"/>
      <c r="D900" s="65"/>
      <c r="E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</row>
    <row r="901" spans="1:24" ht="15.75" customHeight="1" x14ac:dyDescent="0.4">
      <c r="A901" s="182"/>
      <c r="B901" s="65"/>
      <c r="C901" s="65"/>
      <c r="D901" s="65"/>
      <c r="E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</row>
    <row r="902" spans="1:24" ht="15.75" customHeight="1" x14ac:dyDescent="0.4">
      <c r="A902" s="182"/>
      <c r="B902" s="65"/>
      <c r="C902" s="65"/>
      <c r="D902" s="65"/>
      <c r="E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</row>
    <row r="903" spans="1:24" ht="15.75" customHeight="1" x14ac:dyDescent="0.4">
      <c r="A903" s="182"/>
      <c r="B903" s="65"/>
      <c r="C903" s="65"/>
      <c r="D903" s="65"/>
      <c r="E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</row>
    <row r="904" spans="1:24" ht="15.75" customHeight="1" x14ac:dyDescent="0.4">
      <c r="A904" s="182"/>
      <c r="B904" s="65"/>
      <c r="C904" s="65"/>
      <c r="D904" s="65"/>
      <c r="E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</row>
    <row r="905" spans="1:24" ht="15.75" customHeight="1" x14ac:dyDescent="0.4">
      <c r="A905" s="182"/>
      <c r="B905" s="65"/>
      <c r="C905" s="65"/>
      <c r="D905" s="65"/>
      <c r="E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</row>
    <row r="906" spans="1:24" ht="15.75" customHeight="1" x14ac:dyDescent="0.4">
      <c r="A906" s="182"/>
      <c r="B906" s="65"/>
      <c r="C906" s="65"/>
      <c r="D906" s="65"/>
      <c r="E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</row>
    <row r="907" spans="1:24" ht="15.75" customHeight="1" x14ac:dyDescent="0.4">
      <c r="A907" s="182"/>
      <c r="B907" s="65"/>
      <c r="C907" s="65"/>
      <c r="D907" s="65"/>
      <c r="E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</row>
    <row r="908" spans="1:24" ht="15.75" customHeight="1" x14ac:dyDescent="0.4">
      <c r="A908" s="182"/>
      <c r="B908" s="65"/>
      <c r="C908" s="65"/>
      <c r="D908" s="65"/>
      <c r="E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</row>
    <row r="909" spans="1:24" ht="15.75" customHeight="1" x14ac:dyDescent="0.4">
      <c r="A909" s="182"/>
      <c r="B909" s="65"/>
      <c r="C909" s="65"/>
      <c r="D909" s="65"/>
      <c r="E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</row>
    <row r="910" spans="1:24" ht="15.75" customHeight="1" x14ac:dyDescent="0.4">
      <c r="A910" s="182"/>
      <c r="B910" s="65"/>
      <c r="C910" s="65"/>
      <c r="D910" s="65"/>
      <c r="E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</row>
    <row r="911" spans="1:24" ht="15.75" customHeight="1" x14ac:dyDescent="0.4">
      <c r="A911" s="182"/>
      <c r="B911" s="65"/>
      <c r="C911" s="65"/>
      <c r="D911" s="65"/>
      <c r="E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</row>
    <row r="912" spans="1:24" ht="15.75" customHeight="1" x14ac:dyDescent="0.4">
      <c r="A912" s="182"/>
      <c r="B912" s="65"/>
      <c r="C912" s="65"/>
      <c r="D912" s="65"/>
      <c r="E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</row>
    <row r="913" spans="1:24" ht="15.75" customHeight="1" x14ac:dyDescent="0.4">
      <c r="A913" s="182"/>
      <c r="B913" s="65"/>
      <c r="C913" s="65"/>
      <c r="D913" s="65"/>
      <c r="E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</row>
    <row r="914" spans="1:24" ht="15.75" customHeight="1" x14ac:dyDescent="0.4">
      <c r="A914" s="182"/>
      <c r="B914" s="65"/>
      <c r="C914" s="65"/>
      <c r="D914" s="65"/>
      <c r="E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</row>
    <row r="915" spans="1:24" ht="15.75" customHeight="1" x14ac:dyDescent="0.4">
      <c r="A915" s="182"/>
      <c r="B915" s="65"/>
      <c r="C915" s="65"/>
      <c r="D915" s="65"/>
      <c r="E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</row>
    <row r="916" spans="1:24" ht="15.75" customHeight="1" x14ac:dyDescent="0.4">
      <c r="A916" s="182"/>
      <c r="B916" s="65"/>
      <c r="C916" s="65"/>
      <c r="D916" s="65"/>
      <c r="E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</row>
    <row r="917" spans="1:24" ht="15.75" customHeight="1" x14ac:dyDescent="0.4">
      <c r="A917" s="182"/>
      <c r="B917" s="65"/>
      <c r="C917" s="65"/>
      <c r="D917" s="65"/>
      <c r="E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</row>
    <row r="918" spans="1:24" ht="15.75" customHeight="1" x14ac:dyDescent="0.4">
      <c r="A918" s="182"/>
      <c r="B918" s="65"/>
      <c r="C918" s="65"/>
      <c r="D918" s="65"/>
      <c r="E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</row>
    <row r="919" spans="1:24" ht="15.75" customHeight="1" x14ac:dyDescent="0.4">
      <c r="A919" s="182"/>
      <c r="B919" s="65"/>
      <c r="C919" s="65"/>
      <c r="D919" s="65"/>
      <c r="E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</row>
    <row r="920" spans="1:24" ht="15.75" customHeight="1" x14ac:dyDescent="0.4">
      <c r="A920" s="182"/>
      <c r="B920" s="65"/>
      <c r="C920" s="65"/>
      <c r="D920" s="65"/>
      <c r="E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</row>
    <row r="921" spans="1:24" ht="15.75" customHeight="1" x14ac:dyDescent="0.4">
      <c r="A921" s="182"/>
      <c r="B921" s="65"/>
      <c r="C921" s="65"/>
      <c r="D921" s="65"/>
      <c r="E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</row>
    <row r="922" spans="1:24" ht="15.75" customHeight="1" x14ac:dyDescent="0.4">
      <c r="A922" s="182"/>
      <c r="B922" s="65"/>
      <c r="C922" s="65"/>
      <c r="D922" s="65"/>
      <c r="E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</row>
    <row r="923" spans="1:24" ht="15.75" customHeight="1" x14ac:dyDescent="0.4">
      <c r="A923" s="182"/>
      <c r="B923" s="65"/>
      <c r="C923" s="65"/>
      <c r="D923" s="65"/>
      <c r="E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</row>
    <row r="924" spans="1:24" ht="15.75" customHeight="1" x14ac:dyDescent="0.4">
      <c r="A924" s="182"/>
      <c r="B924" s="65"/>
      <c r="C924" s="65"/>
      <c r="D924" s="65"/>
      <c r="E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</row>
    <row r="925" spans="1:24" ht="15.75" customHeight="1" x14ac:dyDescent="0.4">
      <c r="A925" s="182"/>
      <c r="B925" s="65"/>
      <c r="C925" s="65"/>
      <c r="D925" s="65"/>
      <c r="E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</row>
    <row r="926" spans="1:24" ht="15.75" customHeight="1" x14ac:dyDescent="0.4">
      <c r="A926" s="182"/>
      <c r="B926" s="65"/>
      <c r="C926" s="65"/>
      <c r="D926" s="65"/>
      <c r="E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</row>
    <row r="927" spans="1:24" ht="15.75" customHeight="1" x14ac:dyDescent="0.4">
      <c r="A927" s="182"/>
      <c r="B927" s="65"/>
      <c r="C927" s="65"/>
      <c r="D927" s="65"/>
      <c r="E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</row>
    <row r="928" spans="1:24" ht="15.75" customHeight="1" x14ac:dyDescent="0.4">
      <c r="A928" s="182"/>
      <c r="B928" s="65"/>
      <c r="C928" s="65"/>
      <c r="D928" s="65"/>
      <c r="E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</row>
    <row r="929" spans="1:24" ht="15.75" customHeight="1" x14ac:dyDescent="0.4">
      <c r="A929" s="182"/>
      <c r="B929" s="65"/>
      <c r="C929" s="65"/>
      <c r="D929" s="65"/>
      <c r="E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</row>
    <row r="930" spans="1:24" ht="15.75" customHeight="1" x14ac:dyDescent="0.4">
      <c r="A930" s="182"/>
      <c r="B930" s="65"/>
      <c r="C930" s="65"/>
      <c r="D930" s="65"/>
      <c r="E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</row>
    <row r="931" spans="1:24" ht="15.75" customHeight="1" x14ac:dyDescent="0.4">
      <c r="A931" s="182"/>
      <c r="B931" s="65"/>
      <c r="C931" s="65"/>
      <c r="D931" s="65"/>
      <c r="E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</row>
    <row r="932" spans="1:24" ht="15.75" customHeight="1" x14ac:dyDescent="0.4">
      <c r="A932" s="182"/>
      <c r="B932" s="65"/>
      <c r="C932" s="65"/>
      <c r="D932" s="65"/>
      <c r="E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</row>
    <row r="933" spans="1:24" ht="15.75" customHeight="1" x14ac:dyDescent="0.4">
      <c r="A933" s="182"/>
      <c r="B933" s="65"/>
      <c r="C933" s="65"/>
      <c r="D933" s="65"/>
      <c r="E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</row>
    <row r="934" spans="1:24" ht="15.75" customHeight="1" x14ac:dyDescent="0.4">
      <c r="A934" s="182"/>
      <c r="B934" s="65"/>
      <c r="C934" s="65"/>
      <c r="D934" s="65"/>
      <c r="E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</row>
    <row r="935" spans="1:24" ht="15.75" customHeight="1" x14ac:dyDescent="0.4">
      <c r="A935" s="182"/>
      <c r="B935" s="65"/>
      <c r="C935" s="65"/>
      <c r="D935" s="65"/>
      <c r="E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</row>
    <row r="936" spans="1:24" ht="15.75" customHeight="1" x14ac:dyDescent="0.4">
      <c r="A936" s="182"/>
      <c r="B936" s="65"/>
      <c r="C936" s="65"/>
      <c r="D936" s="65"/>
      <c r="E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</row>
    <row r="937" spans="1:24" ht="15.75" customHeight="1" x14ac:dyDescent="0.4">
      <c r="A937" s="182"/>
      <c r="B937" s="65"/>
      <c r="C937" s="65"/>
      <c r="D937" s="65"/>
      <c r="E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</row>
    <row r="938" spans="1:24" ht="15.75" customHeight="1" x14ac:dyDescent="0.4">
      <c r="A938" s="182"/>
      <c r="B938" s="65"/>
      <c r="C938" s="65"/>
      <c r="D938" s="65"/>
      <c r="E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</row>
    <row r="939" spans="1:24" ht="15.75" customHeight="1" x14ac:dyDescent="0.4">
      <c r="A939" s="182"/>
      <c r="B939" s="65"/>
      <c r="C939" s="65"/>
      <c r="D939" s="65"/>
      <c r="E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</row>
    <row r="940" spans="1:24" ht="15.75" customHeight="1" x14ac:dyDescent="0.4">
      <c r="A940" s="182"/>
      <c r="B940" s="65"/>
      <c r="C940" s="65"/>
      <c r="D940" s="65"/>
      <c r="E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</row>
    <row r="941" spans="1:24" ht="15.75" customHeight="1" x14ac:dyDescent="0.4">
      <c r="A941" s="182"/>
      <c r="B941" s="65"/>
      <c r="C941" s="65"/>
      <c r="D941" s="65"/>
      <c r="E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</row>
    <row r="942" spans="1:24" ht="15.75" customHeight="1" x14ac:dyDescent="0.4">
      <c r="A942" s="182"/>
      <c r="B942" s="65"/>
      <c r="C942" s="65"/>
      <c r="D942" s="65"/>
      <c r="E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</row>
    <row r="943" spans="1:24" ht="15.75" customHeight="1" x14ac:dyDescent="0.4">
      <c r="A943" s="182"/>
      <c r="B943" s="65"/>
      <c r="C943" s="65"/>
      <c r="D943" s="65"/>
      <c r="E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</row>
    <row r="944" spans="1:24" ht="15.75" customHeight="1" x14ac:dyDescent="0.4">
      <c r="A944" s="182"/>
      <c r="B944" s="65"/>
      <c r="C944" s="65"/>
      <c r="D944" s="65"/>
      <c r="E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</row>
    <row r="945" spans="1:24" ht="15.75" customHeight="1" x14ac:dyDescent="0.4">
      <c r="A945" s="182"/>
      <c r="B945" s="65"/>
      <c r="C945" s="65"/>
      <c r="D945" s="65"/>
      <c r="E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</row>
    <row r="946" spans="1:24" ht="15.75" customHeight="1" x14ac:dyDescent="0.4">
      <c r="A946" s="182"/>
      <c r="B946" s="65"/>
      <c r="C946" s="65"/>
      <c r="D946" s="65"/>
      <c r="E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</row>
    <row r="947" spans="1:24" ht="15.75" customHeight="1" x14ac:dyDescent="0.4">
      <c r="A947" s="182"/>
      <c r="B947" s="65"/>
      <c r="C947" s="65"/>
      <c r="D947" s="65"/>
      <c r="E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</row>
    <row r="948" spans="1:24" ht="15.75" customHeight="1" x14ac:dyDescent="0.4">
      <c r="A948" s="182"/>
      <c r="B948" s="65"/>
      <c r="C948" s="65"/>
      <c r="D948" s="65"/>
      <c r="E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</row>
    <row r="949" spans="1:24" ht="15.75" customHeight="1" x14ac:dyDescent="0.4">
      <c r="A949" s="182"/>
      <c r="B949" s="65"/>
      <c r="C949" s="65"/>
      <c r="D949" s="65"/>
      <c r="E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</row>
    <row r="950" spans="1:24" ht="15.75" customHeight="1" x14ac:dyDescent="0.4">
      <c r="A950" s="182"/>
      <c r="B950" s="65"/>
      <c r="C950" s="65"/>
      <c r="D950" s="65"/>
      <c r="E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</row>
    <row r="951" spans="1:24" ht="15.75" customHeight="1" x14ac:dyDescent="0.4">
      <c r="A951" s="182"/>
      <c r="B951" s="65"/>
      <c r="C951" s="65"/>
      <c r="D951" s="65"/>
      <c r="E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</row>
    <row r="952" spans="1:24" ht="15.75" customHeight="1" x14ac:dyDescent="0.4">
      <c r="A952" s="182"/>
      <c r="B952" s="65"/>
      <c r="C952" s="65"/>
      <c r="D952" s="65"/>
      <c r="E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</row>
    <row r="953" spans="1:24" ht="15.75" customHeight="1" x14ac:dyDescent="0.4">
      <c r="A953" s="182"/>
      <c r="B953" s="65"/>
      <c r="C953" s="65"/>
      <c r="D953" s="65"/>
      <c r="E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</row>
    <row r="954" spans="1:24" ht="15.75" customHeight="1" x14ac:dyDescent="0.4">
      <c r="A954" s="182"/>
      <c r="B954" s="65"/>
      <c r="C954" s="65"/>
      <c r="D954" s="65"/>
      <c r="E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</row>
    <row r="955" spans="1:24" ht="15.75" customHeight="1" x14ac:dyDescent="0.4">
      <c r="A955" s="182"/>
      <c r="B955" s="65"/>
      <c r="C955" s="65"/>
      <c r="D955" s="65"/>
      <c r="E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</row>
    <row r="956" spans="1:24" ht="15.75" customHeight="1" x14ac:dyDescent="0.4">
      <c r="A956" s="182"/>
      <c r="B956" s="65"/>
      <c r="C956" s="65"/>
      <c r="D956" s="65"/>
      <c r="E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</row>
    <row r="957" spans="1:24" ht="15.75" customHeight="1" x14ac:dyDescent="0.4">
      <c r="A957" s="182"/>
      <c r="B957" s="65"/>
      <c r="C957" s="65"/>
      <c r="D957" s="65"/>
      <c r="E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</row>
    <row r="958" spans="1:24" ht="15.75" customHeight="1" x14ac:dyDescent="0.4">
      <c r="A958" s="182"/>
      <c r="B958" s="65"/>
      <c r="C958" s="65"/>
      <c r="D958" s="65"/>
      <c r="E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</row>
    <row r="959" spans="1:24" ht="15.75" customHeight="1" x14ac:dyDescent="0.4">
      <c r="A959" s="182"/>
      <c r="B959" s="65"/>
      <c r="C959" s="65"/>
      <c r="D959" s="65"/>
      <c r="E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</row>
    <row r="960" spans="1:24" ht="15.75" customHeight="1" x14ac:dyDescent="0.4">
      <c r="A960" s="182"/>
      <c r="B960" s="65"/>
      <c r="C960" s="65"/>
      <c r="D960" s="65"/>
      <c r="E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</row>
    <row r="961" spans="1:24" ht="15.75" customHeight="1" x14ac:dyDescent="0.4">
      <c r="A961" s="182"/>
      <c r="B961" s="65"/>
      <c r="C961" s="65"/>
      <c r="D961" s="65"/>
      <c r="E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</row>
    <row r="962" spans="1:24" ht="15.75" customHeight="1" x14ac:dyDescent="0.4">
      <c r="A962" s="182"/>
      <c r="B962" s="65"/>
      <c r="C962" s="65"/>
      <c r="D962" s="65"/>
      <c r="E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</row>
    <row r="963" spans="1:24" ht="15.75" customHeight="1" x14ac:dyDescent="0.4">
      <c r="A963" s="182"/>
      <c r="B963" s="65"/>
      <c r="C963" s="65"/>
      <c r="D963" s="65"/>
      <c r="E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</row>
    <row r="964" spans="1:24" ht="15.75" customHeight="1" x14ac:dyDescent="0.4">
      <c r="A964" s="182"/>
      <c r="B964" s="65"/>
      <c r="C964" s="65"/>
      <c r="D964" s="65"/>
      <c r="E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</row>
    <row r="965" spans="1:24" ht="15.75" customHeight="1" x14ac:dyDescent="0.4">
      <c r="A965" s="182"/>
      <c r="B965" s="65"/>
      <c r="C965" s="65"/>
      <c r="D965" s="65"/>
      <c r="E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</row>
    <row r="966" spans="1:24" ht="15.75" customHeight="1" x14ac:dyDescent="0.4">
      <c r="A966" s="182"/>
      <c r="B966" s="65"/>
      <c r="C966" s="65"/>
      <c r="D966" s="65"/>
      <c r="E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</row>
    <row r="967" spans="1:24" ht="15.75" customHeight="1" x14ac:dyDescent="0.4">
      <c r="A967" s="182"/>
      <c r="B967" s="65"/>
      <c r="C967" s="65"/>
      <c r="D967" s="65"/>
      <c r="E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</row>
    <row r="968" spans="1:24" ht="15.75" customHeight="1" x14ac:dyDescent="0.4">
      <c r="A968" s="182"/>
      <c r="B968" s="65"/>
      <c r="C968" s="65"/>
      <c r="D968" s="65"/>
      <c r="E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</row>
    <row r="969" spans="1:24" ht="15.75" customHeight="1" x14ac:dyDescent="0.4">
      <c r="A969" s="182"/>
      <c r="B969" s="65"/>
      <c r="C969" s="65"/>
      <c r="D969" s="65"/>
      <c r="E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</row>
    <row r="970" spans="1:24" ht="15.75" customHeight="1" x14ac:dyDescent="0.4">
      <c r="A970" s="182"/>
      <c r="B970" s="65"/>
      <c r="C970" s="65"/>
      <c r="D970" s="65"/>
      <c r="E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</row>
    <row r="971" spans="1:24" ht="15.75" customHeight="1" x14ac:dyDescent="0.4">
      <c r="A971" s="182"/>
      <c r="B971" s="65"/>
      <c r="C971" s="65"/>
      <c r="D971" s="65"/>
      <c r="E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</row>
    <row r="972" spans="1:24" ht="15.75" customHeight="1" x14ac:dyDescent="0.4">
      <c r="A972" s="182"/>
      <c r="B972" s="65"/>
      <c r="C972" s="65"/>
      <c r="D972" s="65"/>
      <c r="E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</row>
    <row r="973" spans="1:24" ht="15.75" customHeight="1" x14ac:dyDescent="0.4">
      <c r="A973" s="182"/>
      <c r="B973" s="65"/>
      <c r="C973" s="65"/>
      <c r="D973" s="65"/>
      <c r="E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</row>
    <row r="974" spans="1:24" ht="15.75" customHeight="1" x14ac:dyDescent="0.4">
      <c r="A974" s="182"/>
      <c r="B974" s="65"/>
      <c r="C974" s="65"/>
      <c r="D974" s="65"/>
      <c r="E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</row>
    <row r="975" spans="1:24" ht="15.75" customHeight="1" x14ac:dyDescent="0.4">
      <c r="A975" s="182"/>
      <c r="B975" s="65"/>
      <c r="C975" s="65"/>
      <c r="D975" s="65"/>
      <c r="E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</row>
    <row r="976" spans="1:24" ht="15.75" customHeight="1" x14ac:dyDescent="0.4">
      <c r="A976" s="182"/>
      <c r="B976" s="65"/>
      <c r="C976" s="65"/>
      <c r="D976" s="65"/>
      <c r="E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</row>
    <row r="977" spans="1:24" ht="15.75" customHeight="1" x14ac:dyDescent="0.4">
      <c r="A977" s="182"/>
      <c r="B977" s="65"/>
      <c r="C977" s="65"/>
      <c r="D977" s="65"/>
      <c r="E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</row>
    <row r="978" spans="1:24" ht="15.75" customHeight="1" x14ac:dyDescent="0.4">
      <c r="A978" s="182"/>
      <c r="B978" s="65"/>
      <c r="C978" s="65"/>
      <c r="D978" s="65"/>
      <c r="E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</row>
    <row r="979" spans="1:24" ht="15.75" customHeight="1" x14ac:dyDescent="0.4">
      <c r="A979" s="182"/>
      <c r="B979" s="65"/>
      <c r="C979" s="65"/>
      <c r="D979" s="65"/>
      <c r="E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</row>
    <row r="980" spans="1:24" ht="15.75" customHeight="1" x14ac:dyDescent="0.4">
      <c r="A980" s="182"/>
      <c r="B980" s="65"/>
      <c r="C980" s="65"/>
      <c r="D980" s="65"/>
      <c r="E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</row>
    <row r="981" spans="1:24" ht="15.75" customHeight="1" x14ac:dyDescent="0.4">
      <c r="A981" s="182"/>
      <c r="B981" s="65"/>
      <c r="C981" s="65"/>
      <c r="D981" s="65"/>
      <c r="E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</row>
    <row r="982" spans="1:24" ht="15.75" customHeight="1" x14ac:dyDescent="0.4">
      <c r="A982" s="182"/>
      <c r="B982" s="65"/>
      <c r="C982" s="65"/>
      <c r="D982" s="65"/>
      <c r="E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</row>
    <row r="983" spans="1:24" ht="15.75" customHeight="1" x14ac:dyDescent="0.4">
      <c r="A983" s="182"/>
      <c r="B983" s="65"/>
      <c r="C983" s="65"/>
      <c r="D983" s="65"/>
      <c r="E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</row>
    <row r="984" spans="1:24" ht="15.75" customHeight="1" x14ac:dyDescent="0.4">
      <c r="A984" s="182"/>
      <c r="B984" s="65"/>
      <c r="C984" s="65"/>
      <c r="D984" s="65"/>
      <c r="E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</row>
    <row r="985" spans="1:24" ht="15.75" customHeight="1" x14ac:dyDescent="0.4">
      <c r="A985" s="182"/>
      <c r="B985" s="65"/>
      <c r="C985" s="65"/>
      <c r="D985" s="65"/>
      <c r="E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</row>
    <row r="986" spans="1:24" ht="15.75" customHeight="1" x14ac:dyDescent="0.4">
      <c r="A986" s="182"/>
      <c r="B986" s="65"/>
      <c r="C986" s="65"/>
      <c r="D986" s="65"/>
      <c r="E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</row>
  </sheetData>
  <dataConsolidate/>
  <mergeCells count="26">
    <mergeCell ref="A1:K1"/>
    <mergeCell ref="A85:D85"/>
    <mergeCell ref="A70:D70"/>
    <mergeCell ref="A52:D52"/>
    <mergeCell ref="A53:C53"/>
    <mergeCell ref="A71:C71"/>
    <mergeCell ref="B83:C83"/>
    <mergeCell ref="A2:C2"/>
    <mergeCell ref="B3:C3"/>
    <mergeCell ref="B4:C4"/>
    <mergeCell ref="A84:D84"/>
    <mergeCell ref="B5:C5"/>
    <mergeCell ref="B6:C6"/>
    <mergeCell ref="A7:D7"/>
    <mergeCell ref="A8:C8"/>
    <mergeCell ref="B72:C72"/>
    <mergeCell ref="B73:C73"/>
    <mergeCell ref="B74:C74"/>
    <mergeCell ref="B75:C75"/>
    <mergeCell ref="B76:C76"/>
    <mergeCell ref="B77:C77"/>
    <mergeCell ref="B78:C78"/>
    <mergeCell ref="B81:C81"/>
    <mergeCell ref="B82:C82"/>
    <mergeCell ref="B79:C79"/>
    <mergeCell ref="B80:C80"/>
  </mergeCells>
  <conditionalFormatting sqref="F3:K6 F9:K51 F54:K69 F72:K83">
    <cfRule type="cellIs" dxfId="0" priority="1" operator="equal">
      <formula>0</formula>
    </cfRule>
  </conditionalFormatting>
  <pageMargins left="0.17" right="0.18" top="0.23" bottom="0.36" header="0.17" footer="0.31496062992125984"/>
  <pageSetup paperSize="9" scale="49" orientation="portrait" horizontalDpi="4294967293" r:id="rId1"/>
  <ignoredErrors>
    <ignoredError sqref="A3:A6 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Z281"/>
  <sheetViews>
    <sheetView showGridLines="0" zoomScaleNormal="100" workbookViewId="0">
      <pane ySplit="6" topLeftCell="A121" activePane="bottomLeft" state="frozen"/>
      <selection activeCell="C37" sqref="C37"/>
      <selection pane="bottomLeft" activeCell="A148" sqref="A148"/>
    </sheetView>
  </sheetViews>
  <sheetFormatPr defaultRowHeight="15" x14ac:dyDescent="0.25"/>
  <cols>
    <col min="1" max="1" width="22.7109375" style="50" customWidth="1"/>
    <col min="2" max="2" width="22.7109375" style="19" customWidth="1"/>
    <col min="3" max="3" width="12.7109375" style="22" customWidth="1"/>
    <col min="4" max="4" width="12.7109375" style="168" customWidth="1"/>
    <col min="5" max="5" width="12.7109375" style="224" customWidth="1"/>
    <col min="6" max="6" width="12.7109375" style="168" customWidth="1"/>
    <col min="7" max="7" width="12.7109375" style="224" customWidth="1"/>
    <col min="8" max="10" width="12.7109375" style="45" customWidth="1"/>
    <col min="11" max="12" width="12.7109375" style="231" customWidth="1"/>
    <col min="13" max="13" width="12.7109375" style="293" customWidth="1"/>
    <col min="14" max="14" width="12.7109375" style="45" customWidth="1"/>
    <col min="15" max="15" width="12.7109375" style="231" customWidth="1"/>
    <col min="16" max="16" width="12.7109375" style="293" customWidth="1"/>
    <col min="17" max="17" width="12.7109375" style="231" customWidth="1"/>
    <col min="18" max="18" width="12.7109375" style="293" customWidth="1"/>
    <col min="19" max="19" width="12.7109375" style="231" customWidth="1"/>
    <col min="20" max="20" width="12.7109375" style="293" customWidth="1"/>
    <col min="21" max="21" width="12.7109375" style="231" customWidth="1"/>
    <col min="22" max="22" width="12.7109375" style="249" customWidth="1"/>
    <col min="23" max="23" width="12.7109375" style="293" customWidth="1"/>
    <col min="24" max="24" width="12.7109375" style="45" customWidth="1"/>
    <col min="25" max="25" width="12.7109375" style="231" customWidth="1"/>
    <col min="26" max="26" width="12.7109375" style="249" customWidth="1"/>
    <col min="27" max="27" width="12.7109375" style="293" customWidth="1"/>
    <col min="28" max="28" width="12.7109375" style="231" customWidth="1"/>
    <col min="29" max="29" width="12.7109375" style="249" customWidth="1"/>
    <col min="30" max="30" width="12.7109375" style="299" customWidth="1"/>
    <col min="31" max="31" width="12.7109375" style="231" customWidth="1"/>
    <col min="32" max="32" width="12.7109375" style="249" customWidth="1"/>
    <col min="33" max="33" width="12.7109375" style="299" customWidth="1"/>
    <col min="34" max="34" width="12.7109375" style="231" customWidth="1"/>
    <col min="35" max="35" width="12.7109375" style="249" customWidth="1"/>
    <col min="36" max="36" width="12.7109375" style="299" customWidth="1"/>
    <col min="37" max="37" width="12.7109375" style="231" customWidth="1"/>
    <col min="38" max="38" width="12.7109375" style="249" customWidth="1"/>
    <col min="39" max="39" width="12.7109375" style="299" customWidth="1"/>
    <col min="40" max="40" width="12.7109375" style="231" customWidth="1"/>
    <col min="41" max="41" width="12.7109375" style="323" customWidth="1"/>
    <col min="42" max="42" width="12.7109375" style="293" customWidth="1"/>
    <col min="43" max="43" width="12.7109375" style="231" customWidth="1"/>
    <col min="44" max="44" width="12.7109375" style="323" customWidth="1"/>
    <col min="45" max="45" width="12.7109375" style="293" customWidth="1"/>
    <col min="46" max="46" width="12.7109375" style="231" customWidth="1"/>
    <col min="47" max="47" width="12.7109375" style="249" customWidth="1"/>
    <col min="48" max="48" width="12.7109375" style="293" customWidth="1"/>
    <col min="49" max="49" width="12.7109375" style="231" customWidth="1"/>
    <col min="50" max="50" width="12.7109375" style="249" customWidth="1"/>
    <col min="51" max="51" width="12.7109375" style="299" customWidth="1"/>
    <col min="52" max="52" width="12.7109375" style="231" customWidth="1"/>
    <col min="53" max="53" width="12.7109375" style="249" customWidth="1"/>
    <col min="54" max="54" width="12.7109375" style="293" customWidth="1"/>
    <col min="55" max="55" width="12.7109375" style="231" customWidth="1"/>
    <col min="56" max="56" width="12.7109375" style="249" customWidth="1"/>
    <col min="57" max="57" width="12.7109375" style="293" customWidth="1"/>
    <col min="58" max="58" width="12.7109375" style="231" customWidth="1"/>
    <col min="59" max="59" width="12.7109375" style="249" customWidth="1"/>
    <col min="60" max="60" width="12.7109375" style="299" customWidth="1"/>
    <col min="61" max="61" width="12.7109375" style="231" customWidth="1"/>
    <col min="62" max="62" width="12.7109375" style="249" customWidth="1"/>
    <col min="63" max="63" width="12.7109375" style="308" customWidth="1"/>
    <col min="64" max="64" width="12.7109375" style="56" customWidth="1"/>
    <col min="65" max="65" width="12.7109375" style="241" customWidth="1"/>
    <col min="66" max="66" width="12.7109375" style="323" customWidth="1"/>
    <col min="67" max="67" width="12.7109375" style="308" customWidth="1"/>
    <col min="68" max="68" width="12.7109375" style="316" customWidth="1"/>
    <col min="69" max="69" width="12.7109375" style="231" customWidth="1"/>
    <col min="70" max="70" width="12.7109375" style="249" customWidth="1"/>
    <col min="71" max="71" width="12.7109375" style="308" customWidth="1"/>
    <col min="72" max="72" width="12.7109375" style="231" customWidth="1"/>
    <col min="73" max="73" width="12.7109375" style="249" customWidth="1"/>
    <col min="74" max="74" width="12.7109375" style="293" customWidth="1"/>
    <col min="75" max="75" width="12.7109375" style="231" customWidth="1"/>
    <col min="76" max="76" width="12.7109375" style="249" customWidth="1"/>
    <col min="77" max="77" width="12.7109375" style="299" customWidth="1"/>
    <col min="78" max="78" width="12.7109375" style="35" customWidth="1"/>
    <col min="79" max="79" width="12.7109375" style="63" customWidth="1"/>
    <col min="80" max="80" width="12.7109375" style="193" customWidth="1"/>
    <col min="81" max="81" width="12.7109375" style="241" customWidth="1"/>
    <col min="82" max="82" width="12.7109375" style="63" customWidth="1"/>
    <col min="83" max="83" width="12.7109375" style="107" customWidth="1"/>
    <col min="84" max="84" width="12.7109375" style="255" customWidth="1"/>
    <col min="85" max="85" width="12.7109375" style="316" customWidth="1"/>
    <col min="86" max="86" width="12.7109375" style="69" customWidth="1"/>
    <col min="87" max="87" width="12.7109375" style="231" customWidth="1"/>
    <col min="88" max="88" width="12.7109375" style="69" customWidth="1"/>
    <col min="89" max="89" width="12.7109375" style="241" customWidth="1"/>
    <col min="90" max="90" width="12.7109375" style="261" customWidth="1"/>
    <col min="91" max="91" width="12.7109375" style="56" customWidth="1"/>
    <col min="92" max="92" width="12.7109375" style="241" customWidth="1"/>
    <col min="93" max="93" width="12.7109375" style="56" customWidth="1"/>
    <col min="94" max="94" width="12.7109375" style="26" customWidth="1"/>
    <col min="95" max="95" width="12.7109375" style="63" customWidth="1"/>
    <col min="96" max="96" width="12.7109375" style="201" customWidth="1"/>
    <col min="97" max="97" width="12.7109375" style="40" customWidth="1"/>
    <col min="98" max="98" width="12.7109375" style="261" customWidth="1"/>
    <col min="99" max="99" width="12.7109375" style="267" customWidth="1"/>
    <col min="100" max="100" width="12.7109375" style="241" customWidth="1"/>
    <col min="101" max="101" width="12.7109375" style="242" customWidth="1"/>
    <col min="102" max="102" width="12.7109375" style="287" customWidth="1"/>
    <col min="103" max="103" width="12.7109375" style="231" customWidth="1"/>
    <col min="104" max="104" width="12.7109375" style="249" customWidth="1"/>
    <col min="105" max="105" width="12.7109375" style="273" customWidth="1"/>
    <col min="106" max="106" width="12.7109375" style="267" customWidth="1"/>
    <col min="107" max="107" width="12.7109375" style="241" customWidth="1"/>
    <col min="108" max="108" width="12.7109375" style="72" customWidth="1"/>
    <col min="109" max="109" width="12.7109375" style="40" customWidth="1"/>
    <col min="110" max="111" width="12.7109375" style="261" customWidth="1"/>
    <col min="112" max="112" width="12.7109375" style="231" customWidth="1"/>
    <col min="113" max="113" width="12.7109375" style="267" customWidth="1"/>
    <col min="114" max="114" width="12.7109375" style="26" customWidth="1"/>
    <col min="115" max="115" width="12.7109375" style="45" customWidth="1"/>
    <col min="116" max="116" width="12.7109375" style="26" customWidth="1"/>
    <col min="117" max="117" width="12.7109375" style="107" customWidth="1"/>
    <col min="118" max="118" width="12.7109375" style="103" customWidth="1"/>
    <col min="119" max="120" width="12.7109375" style="98" customWidth="1"/>
    <col min="121" max="121" width="12.7109375" style="276" customWidth="1"/>
    <col min="122" max="122" width="12.7109375" style="205" customWidth="1"/>
    <col min="123" max="123" width="12.7109375" style="273" customWidth="1"/>
    <col min="124" max="130" width="12.7109375" style="98" customWidth="1"/>
    <col min="131" max="16384" width="9.140625" style="21"/>
  </cols>
  <sheetData>
    <row r="1" spans="1:130" s="19" customFormat="1" ht="20.100000000000001" customHeight="1" x14ac:dyDescent="0.25">
      <c r="A1" s="370" t="s">
        <v>15</v>
      </c>
      <c r="B1" s="370"/>
      <c r="C1" s="49" t="s">
        <v>22</v>
      </c>
      <c r="D1" s="165" t="s">
        <v>17</v>
      </c>
      <c r="E1" s="219" t="s">
        <v>17</v>
      </c>
      <c r="F1" s="165" t="s">
        <v>17</v>
      </c>
      <c r="G1" s="219" t="s">
        <v>17</v>
      </c>
      <c r="H1" s="41" t="s">
        <v>16</v>
      </c>
      <c r="I1" s="174" t="s">
        <v>16</v>
      </c>
      <c r="J1" s="41" t="s">
        <v>16</v>
      </c>
      <c r="K1" s="225" t="s">
        <v>16</v>
      </c>
      <c r="L1" s="226" t="s">
        <v>16</v>
      </c>
      <c r="M1" s="288" t="s">
        <v>3</v>
      </c>
      <c r="N1" s="41" t="s">
        <v>16</v>
      </c>
      <c r="O1" s="225" t="s">
        <v>16</v>
      </c>
      <c r="P1" s="288" t="s">
        <v>3</v>
      </c>
      <c r="Q1" s="225" t="s">
        <v>16</v>
      </c>
      <c r="R1" s="288" t="s">
        <v>3</v>
      </c>
      <c r="S1" s="225" t="s">
        <v>16</v>
      </c>
      <c r="T1" s="288" t="s">
        <v>3</v>
      </c>
      <c r="U1" s="225" t="s">
        <v>16</v>
      </c>
      <c r="V1" s="244" t="s">
        <v>17</v>
      </c>
      <c r="W1" s="288" t="s">
        <v>3</v>
      </c>
      <c r="X1" s="187" t="s">
        <v>16</v>
      </c>
      <c r="Y1" s="225" t="s">
        <v>16</v>
      </c>
      <c r="Z1" s="301" t="s">
        <v>17</v>
      </c>
      <c r="AA1" s="288" t="s">
        <v>3</v>
      </c>
      <c r="AB1" s="225" t="s">
        <v>16</v>
      </c>
      <c r="AC1" s="244" t="s">
        <v>17</v>
      </c>
      <c r="AD1" s="294" t="s">
        <v>3</v>
      </c>
      <c r="AE1" s="225" t="s">
        <v>16</v>
      </c>
      <c r="AF1" s="244" t="s">
        <v>17</v>
      </c>
      <c r="AG1" s="302" t="s">
        <v>3</v>
      </c>
      <c r="AH1" s="225" t="s">
        <v>16</v>
      </c>
      <c r="AI1" s="244" t="s">
        <v>17</v>
      </c>
      <c r="AJ1" s="294" t="s">
        <v>3</v>
      </c>
      <c r="AK1" s="225" t="s">
        <v>16</v>
      </c>
      <c r="AL1" s="244" t="s">
        <v>17</v>
      </c>
      <c r="AM1" s="294" t="s">
        <v>3</v>
      </c>
      <c r="AN1" s="225" t="s">
        <v>16</v>
      </c>
      <c r="AO1" s="318" t="s">
        <v>17</v>
      </c>
      <c r="AP1" s="288" t="s">
        <v>3</v>
      </c>
      <c r="AQ1" s="225" t="s">
        <v>16</v>
      </c>
      <c r="AR1" s="318" t="s">
        <v>17</v>
      </c>
      <c r="AS1" s="288" t="s">
        <v>3</v>
      </c>
      <c r="AT1" s="225" t="s">
        <v>16</v>
      </c>
      <c r="AU1" s="244" t="s">
        <v>17</v>
      </c>
      <c r="AV1" s="288" t="s">
        <v>3</v>
      </c>
      <c r="AW1" s="225" t="s">
        <v>16</v>
      </c>
      <c r="AX1" s="244" t="s">
        <v>17</v>
      </c>
      <c r="AY1" s="294" t="s">
        <v>3</v>
      </c>
      <c r="AZ1" s="225" t="s">
        <v>16</v>
      </c>
      <c r="BA1" s="244" t="s">
        <v>17</v>
      </c>
      <c r="BB1" s="288" t="s">
        <v>3</v>
      </c>
      <c r="BC1" s="225" t="s">
        <v>16</v>
      </c>
      <c r="BD1" s="244" t="s">
        <v>17</v>
      </c>
      <c r="BE1" s="288" t="s">
        <v>3</v>
      </c>
      <c r="BF1" s="225" t="s">
        <v>16</v>
      </c>
      <c r="BG1" s="244" t="s">
        <v>17</v>
      </c>
      <c r="BH1" s="294" t="s">
        <v>3</v>
      </c>
      <c r="BI1" s="225" t="s">
        <v>16</v>
      </c>
      <c r="BJ1" s="244" t="s">
        <v>17</v>
      </c>
      <c r="BK1" s="317" t="s">
        <v>3</v>
      </c>
      <c r="BL1" s="52" t="s">
        <v>6</v>
      </c>
      <c r="BM1" s="232" t="s">
        <v>16</v>
      </c>
      <c r="BN1" s="318" t="s">
        <v>17</v>
      </c>
      <c r="BO1" s="303" t="s">
        <v>3</v>
      </c>
      <c r="BP1" s="311" t="s">
        <v>6</v>
      </c>
      <c r="BQ1" s="225" t="s">
        <v>16</v>
      </c>
      <c r="BR1" s="243" t="s">
        <v>17</v>
      </c>
      <c r="BS1" s="317" t="s">
        <v>3</v>
      </c>
      <c r="BT1" s="225" t="s">
        <v>16</v>
      </c>
      <c r="BU1" s="244" t="s">
        <v>17</v>
      </c>
      <c r="BV1" s="288" t="s">
        <v>3</v>
      </c>
      <c r="BW1" s="225" t="s">
        <v>16</v>
      </c>
      <c r="BX1" s="244" t="s">
        <v>17</v>
      </c>
      <c r="BY1" s="294" t="s">
        <v>3</v>
      </c>
      <c r="BZ1" s="31" t="s">
        <v>16</v>
      </c>
      <c r="CA1" s="194" t="s">
        <v>6</v>
      </c>
      <c r="CB1" s="195" t="s">
        <v>5</v>
      </c>
      <c r="CC1" s="232" t="s">
        <v>16</v>
      </c>
      <c r="CD1" s="59" t="s">
        <v>6</v>
      </c>
      <c r="CE1" s="184" t="s">
        <v>16</v>
      </c>
      <c r="CF1" s="250" t="s">
        <v>6</v>
      </c>
      <c r="CG1" s="310" t="s">
        <v>6</v>
      </c>
      <c r="CH1" s="70" t="s">
        <v>6</v>
      </c>
      <c r="CI1" s="225" t="s">
        <v>16</v>
      </c>
      <c r="CJ1" s="75" t="s">
        <v>6</v>
      </c>
      <c r="CK1" s="232" t="s">
        <v>16</v>
      </c>
      <c r="CL1" s="256" t="s">
        <v>16</v>
      </c>
      <c r="CM1" s="52" t="s">
        <v>6</v>
      </c>
      <c r="CN1" s="232" t="s">
        <v>16</v>
      </c>
      <c r="CO1" s="52" t="s">
        <v>6</v>
      </c>
      <c r="CP1" s="202" t="s">
        <v>2</v>
      </c>
      <c r="CQ1" s="59" t="s">
        <v>6</v>
      </c>
      <c r="CR1" s="196" t="s">
        <v>6</v>
      </c>
      <c r="CS1" s="36" t="s">
        <v>16</v>
      </c>
      <c r="CT1" s="256" t="s">
        <v>16</v>
      </c>
      <c r="CU1" s="262" t="s">
        <v>16</v>
      </c>
      <c r="CV1" s="232" t="s">
        <v>16</v>
      </c>
      <c r="CW1" s="233" t="s">
        <v>17</v>
      </c>
      <c r="CX1" s="282" t="s">
        <v>2</v>
      </c>
      <c r="CY1" s="225" t="s">
        <v>16</v>
      </c>
      <c r="CZ1" s="244" t="s">
        <v>17</v>
      </c>
      <c r="DA1" s="268" t="s">
        <v>2</v>
      </c>
      <c r="DB1" s="262" t="s">
        <v>16</v>
      </c>
      <c r="DC1" s="232" t="s">
        <v>16</v>
      </c>
      <c r="DD1" s="71" t="s">
        <v>17</v>
      </c>
      <c r="DE1" s="36" t="s">
        <v>16</v>
      </c>
      <c r="DF1" s="256" t="s">
        <v>16</v>
      </c>
      <c r="DG1" s="256" t="s">
        <v>16</v>
      </c>
      <c r="DH1" s="225" t="s">
        <v>16</v>
      </c>
      <c r="DI1" s="281" t="s">
        <v>17</v>
      </c>
      <c r="DJ1" s="23" t="s">
        <v>2</v>
      </c>
      <c r="DK1" s="46" t="s">
        <v>16</v>
      </c>
      <c r="DL1" s="23" t="s">
        <v>2</v>
      </c>
      <c r="DM1" s="110" t="s">
        <v>16</v>
      </c>
      <c r="DN1" s="92" t="s">
        <v>28</v>
      </c>
      <c r="DO1" s="93" t="s">
        <v>28</v>
      </c>
      <c r="DP1" s="93" t="s">
        <v>28</v>
      </c>
      <c r="DQ1" s="274" t="s">
        <v>2</v>
      </c>
      <c r="DR1" s="203" t="s">
        <v>17</v>
      </c>
      <c r="DS1" s="268" t="s">
        <v>2</v>
      </c>
      <c r="DT1" s="93" t="s">
        <v>28</v>
      </c>
      <c r="DU1" s="93" t="s">
        <v>28</v>
      </c>
      <c r="DV1" s="93" t="s">
        <v>28</v>
      </c>
      <c r="DW1" s="93" t="s">
        <v>28</v>
      </c>
      <c r="DX1" s="93" t="s">
        <v>28</v>
      </c>
      <c r="DY1" s="93" t="s">
        <v>28</v>
      </c>
      <c r="DZ1" s="93" t="s">
        <v>28</v>
      </c>
    </row>
    <row r="2" spans="1:130" s="19" customFormat="1" ht="20.100000000000001" customHeight="1" x14ac:dyDescent="0.25">
      <c r="A2" s="370"/>
      <c r="B2" s="370"/>
      <c r="C2" s="49" t="s">
        <v>23</v>
      </c>
      <c r="D2" s="165" t="s">
        <v>7</v>
      </c>
      <c r="E2" s="219" t="s">
        <v>7</v>
      </c>
      <c r="F2" s="165" t="s">
        <v>7</v>
      </c>
      <c r="G2" s="219" t="s">
        <v>7</v>
      </c>
      <c r="H2" s="41" t="s">
        <v>7</v>
      </c>
      <c r="I2" s="174" t="s">
        <v>7</v>
      </c>
      <c r="J2" s="47" t="s">
        <v>7</v>
      </c>
      <c r="K2" s="225" t="s">
        <v>7</v>
      </c>
      <c r="L2" s="225" t="s">
        <v>7</v>
      </c>
      <c r="M2" s="288" t="s">
        <v>7</v>
      </c>
      <c r="N2" s="41" t="s">
        <v>8</v>
      </c>
      <c r="O2" s="225" t="s">
        <v>7</v>
      </c>
      <c r="P2" s="288" t="s">
        <v>7</v>
      </c>
      <c r="Q2" s="225" t="s">
        <v>7</v>
      </c>
      <c r="R2" s="288" t="s">
        <v>7</v>
      </c>
      <c r="S2" s="225" t="s">
        <v>7</v>
      </c>
      <c r="T2" s="288" t="s">
        <v>7</v>
      </c>
      <c r="U2" s="225" t="s">
        <v>7</v>
      </c>
      <c r="V2" s="244" t="s">
        <v>7</v>
      </c>
      <c r="W2" s="288" t="s">
        <v>7</v>
      </c>
      <c r="X2" s="41" t="s">
        <v>7</v>
      </c>
      <c r="Y2" s="225" t="s">
        <v>7</v>
      </c>
      <c r="Z2" s="301" t="s">
        <v>7</v>
      </c>
      <c r="AA2" s="288" t="s">
        <v>7</v>
      </c>
      <c r="AB2" s="225" t="s">
        <v>7</v>
      </c>
      <c r="AC2" s="244" t="s">
        <v>7</v>
      </c>
      <c r="AD2" s="294" t="s">
        <v>7</v>
      </c>
      <c r="AE2" s="225" t="s">
        <v>7</v>
      </c>
      <c r="AF2" s="244" t="s">
        <v>7</v>
      </c>
      <c r="AG2" s="302" t="s">
        <v>7</v>
      </c>
      <c r="AH2" s="225" t="s">
        <v>7</v>
      </c>
      <c r="AI2" s="244" t="s">
        <v>7</v>
      </c>
      <c r="AJ2" s="294" t="s">
        <v>7</v>
      </c>
      <c r="AK2" s="225" t="s">
        <v>7</v>
      </c>
      <c r="AL2" s="244" t="s">
        <v>7</v>
      </c>
      <c r="AM2" s="294" t="s">
        <v>7</v>
      </c>
      <c r="AN2" s="225" t="s">
        <v>7</v>
      </c>
      <c r="AO2" s="318" t="s">
        <v>7</v>
      </c>
      <c r="AP2" s="288" t="s">
        <v>7</v>
      </c>
      <c r="AQ2" s="225" t="s">
        <v>7</v>
      </c>
      <c r="AR2" s="318" t="s">
        <v>7</v>
      </c>
      <c r="AS2" s="288" t="s">
        <v>7</v>
      </c>
      <c r="AT2" s="225" t="s">
        <v>7</v>
      </c>
      <c r="AU2" s="244" t="s">
        <v>7</v>
      </c>
      <c r="AV2" s="288" t="s">
        <v>7</v>
      </c>
      <c r="AW2" s="225" t="s">
        <v>7</v>
      </c>
      <c r="AX2" s="244" t="s">
        <v>7</v>
      </c>
      <c r="AY2" s="294" t="s">
        <v>7</v>
      </c>
      <c r="AZ2" s="225" t="s">
        <v>7</v>
      </c>
      <c r="BA2" s="244" t="s">
        <v>7</v>
      </c>
      <c r="BB2" s="288" t="s">
        <v>7</v>
      </c>
      <c r="BC2" s="225" t="s">
        <v>7</v>
      </c>
      <c r="BD2" s="244" t="s">
        <v>7</v>
      </c>
      <c r="BE2" s="288" t="s">
        <v>7</v>
      </c>
      <c r="BF2" s="225" t="s">
        <v>7</v>
      </c>
      <c r="BG2" s="244" t="s">
        <v>7</v>
      </c>
      <c r="BH2" s="294" t="s">
        <v>7</v>
      </c>
      <c r="BI2" s="225" t="s">
        <v>7</v>
      </c>
      <c r="BJ2" s="244" t="s">
        <v>7</v>
      </c>
      <c r="BK2" s="317" t="s">
        <v>7</v>
      </c>
      <c r="BL2" s="52" t="s">
        <v>7</v>
      </c>
      <c r="BM2" s="232" t="s">
        <v>7</v>
      </c>
      <c r="BN2" s="318" t="s">
        <v>7</v>
      </c>
      <c r="BO2" s="303" t="s">
        <v>7</v>
      </c>
      <c r="BP2" s="311" t="s">
        <v>7</v>
      </c>
      <c r="BQ2" s="225" t="s">
        <v>7</v>
      </c>
      <c r="BR2" s="244" t="s">
        <v>7</v>
      </c>
      <c r="BS2" s="317" t="s">
        <v>7</v>
      </c>
      <c r="BT2" s="225" t="s">
        <v>7</v>
      </c>
      <c r="BU2" s="244" t="s">
        <v>7</v>
      </c>
      <c r="BV2" s="288" t="s">
        <v>7</v>
      </c>
      <c r="BW2" s="225" t="s">
        <v>7</v>
      </c>
      <c r="BX2" s="244" t="s">
        <v>7</v>
      </c>
      <c r="BY2" s="294" t="s">
        <v>7</v>
      </c>
      <c r="BZ2" s="31" t="s">
        <v>7</v>
      </c>
      <c r="CA2" s="59" t="s">
        <v>7</v>
      </c>
      <c r="CB2" s="189" t="s">
        <v>7</v>
      </c>
      <c r="CC2" s="232" t="s">
        <v>7</v>
      </c>
      <c r="CD2" s="59" t="s">
        <v>7</v>
      </c>
      <c r="CE2" s="184" t="s">
        <v>7</v>
      </c>
      <c r="CF2" s="250" t="s">
        <v>7</v>
      </c>
      <c r="CG2" s="311" t="s">
        <v>7</v>
      </c>
      <c r="CH2" s="70" t="s">
        <v>20</v>
      </c>
      <c r="CI2" s="225" t="s">
        <v>7</v>
      </c>
      <c r="CJ2" s="75" t="s">
        <v>20</v>
      </c>
      <c r="CK2" s="232" t="s">
        <v>9</v>
      </c>
      <c r="CL2" s="256" t="s">
        <v>9</v>
      </c>
      <c r="CM2" s="52" t="s">
        <v>9</v>
      </c>
      <c r="CN2" s="232" t="s">
        <v>9</v>
      </c>
      <c r="CO2" s="52" t="s">
        <v>9</v>
      </c>
      <c r="CP2" s="23" t="s">
        <v>9</v>
      </c>
      <c r="CQ2" s="59" t="s">
        <v>9</v>
      </c>
      <c r="CR2" s="196" t="s">
        <v>9</v>
      </c>
      <c r="CS2" s="36" t="s">
        <v>7</v>
      </c>
      <c r="CT2" s="256" t="s">
        <v>7</v>
      </c>
      <c r="CU2" s="262" t="s">
        <v>7</v>
      </c>
      <c r="CV2" s="232" t="s">
        <v>7</v>
      </c>
      <c r="CW2" s="233" t="s">
        <v>7</v>
      </c>
      <c r="CX2" s="282" t="s">
        <v>7</v>
      </c>
      <c r="CY2" s="225" t="s">
        <v>7</v>
      </c>
      <c r="CZ2" s="244" t="s">
        <v>7</v>
      </c>
      <c r="DA2" s="268" t="s">
        <v>7</v>
      </c>
      <c r="DB2" s="262" t="s">
        <v>7</v>
      </c>
      <c r="DC2" s="232" t="s">
        <v>7</v>
      </c>
      <c r="DD2" s="71" t="s">
        <v>7</v>
      </c>
      <c r="DE2" s="36" t="s">
        <v>7</v>
      </c>
      <c r="DF2" s="256" t="s">
        <v>7</v>
      </c>
      <c r="DG2" s="256" t="s">
        <v>7</v>
      </c>
      <c r="DH2" s="225" t="s">
        <v>7</v>
      </c>
      <c r="DI2" s="281" t="s">
        <v>7</v>
      </c>
      <c r="DJ2" s="23" t="s">
        <v>7</v>
      </c>
      <c r="DK2" s="46" t="s">
        <v>7</v>
      </c>
      <c r="DL2" s="23" t="s">
        <v>7</v>
      </c>
      <c r="DM2" s="110" t="s">
        <v>7</v>
      </c>
      <c r="DN2" s="92" t="s">
        <v>28</v>
      </c>
      <c r="DO2" s="93" t="s">
        <v>28</v>
      </c>
      <c r="DP2" s="93" t="s">
        <v>28</v>
      </c>
      <c r="DQ2" s="274" t="s">
        <v>29</v>
      </c>
      <c r="DR2" s="203" t="s">
        <v>29</v>
      </c>
      <c r="DS2" s="268" t="s">
        <v>8</v>
      </c>
      <c r="DT2" s="93" t="s">
        <v>28</v>
      </c>
      <c r="DU2" s="93" t="s">
        <v>28</v>
      </c>
      <c r="DV2" s="93" t="s">
        <v>28</v>
      </c>
      <c r="DW2" s="93" t="s">
        <v>28</v>
      </c>
      <c r="DX2" s="93" t="s">
        <v>28</v>
      </c>
      <c r="DY2" s="93" t="s">
        <v>28</v>
      </c>
      <c r="DZ2" s="93" t="s">
        <v>28</v>
      </c>
    </row>
    <row r="3" spans="1:130" s="19" customFormat="1" ht="20.100000000000001" customHeight="1" x14ac:dyDescent="0.25">
      <c r="A3" s="370"/>
      <c r="B3" s="370"/>
      <c r="C3" s="49" t="s">
        <v>24</v>
      </c>
      <c r="D3" s="165" t="s">
        <v>18</v>
      </c>
      <c r="E3" s="219" t="s">
        <v>18</v>
      </c>
      <c r="F3" s="165" t="s">
        <v>18</v>
      </c>
      <c r="G3" s="219" t="s">
        <v>18</v>
      </c>
      <c r="H3" s="41" t="s">
        <v>14</v>
      </c>
      <c r="I3" s="174" t="s">
        <v>14</v>
      </c>
      <c r="J3" s="47" t="s">
        <v>14</v>
      </c>
      <c r="K3" s="225" t="s">
        <v>14</v>
      </c>
      <c r="L3" s="225" t="s">
        <v>14</v>
      </c>
      <c r="M3" s="288" t="s">
        <v>14</v>
      </c>
      <c r="N3" s="41" t="s">
        <v>21</v>
      </c>
      <c r="O3" s="225" t="s">
        <v>14</v>
      </c>
      <c r="P3" s="288" t="s">
        <v>14</v>
      </c>
      <c r="Q3" s="225" t="s">
        <v>14</v>
      </c>
      <c r="R3" s="288" t="s">
        <v>14</v>
      </c>
      <c r="S3" s="225" t="s">
        <v>14</v>
      </c>
      <c r="T3" s="288" t="s">
        <v>14</v>
      </c>
      <c r="U3" s="225" t="s">
        <v>14</v>
      </c>
      <c r="V3" s="244" t="s">
        <v>14</v>
      </c>
      <c r="W3" s="288" t="s">
        <v>14</v>
      </c>
      <c r="X3" s="41" t="s">
        <v>14</v>
      </c>
      <c r="Y3" s="225" t="s">
        <v>14</v>
      </c>
      <c r="Z3" s="301" t="s">
        <v>14</v>
      </c>
      <c r="AA3" s="288" t="s">
        <v>14</v>
      </c>
      <c r="AB3" s="225" t="s">
        <v>14</v>
      </c>
      <c r="AC3" s="244" t="s">
        <v>14</v>
      </c>
      <c r="AD3" s="294" t="s">
        <v>14</v>
      </c>
      <c r="AE3" s="225" t="s">
        <v>14</v>
      </c>
      <c r="AF3" s="244" t="s">
        <v>14</v>
      </c>
      <c r="AG3" s="302" t="s">
        <v>14</v>
      </c>
      <c r="AH3" s="225" t="s">
        <v>14</v>
      </c>
      <c r="AI3" s="244" t="s">
        <v>14</v>
      </c>
      <c r="AJ3" s="294" t="s">
        <v>14</v>
      </c>
      <c r="AK3" s="225" t="s">
        <v>14</v>
      </c>
      <c r="AL3" s="244" t="s">
        <v>14</v>
      </c>
      <c r="AM3" s="294" t="s">
        <v>14</v>
      </c>
      <c r="AN3" s="225" t="s">
        <v>14</v>
      </c>
      <c r="AO3" s="318" t="s">
        <v>14</v>
      </c>
      <c r="AP3" s="288" t="s">
        <v>14</v>
      </c>
      <c r="AQ3" s="225" t="s">
        <v>14</v>
      </c>
      <c r="AR3" s="318" t="s">
        <v>14</v>
      </c>
      <c r="AS3" s="288" t="s">
        <v>14</v>
      </c>
      <c r="AT3" s="225" t="s">
        <v>14</v>
      </c>
      <c r="AU3" s="244" t="s">
        <v>14</v>
      </c>
      <c r="AV3" s="288" t="s">
        <v>14</v>
      </c>
      <c r="AW3" s="225" t="s">
        <v>14</v>
      </c>
      <c r="AX3" s="244" t="s">
        <v>14</v>
      </c>
      <c r="AY3" s="294" t="s">
        <v>14</v>
      </c>
      <c r="AZ3" s="225" t="s">
        <v>14</v>
      </c>
      <c r="BA3" s="244" t="s">
        <v>14</v>
      </c>
      <c r="BB3" s="288" t="s">
        <v>14</v>
      </c>
      <c r="BC3" s="225" t="s">
        <v>14</v>
      </c>
      <c r="BD3" s="244" t="s">
        <v>14</v>
      </c>
      <c r="BE3" s="288" t="s">
        <v>14</v>
      </c>
      <c r="BF3" s="225" t="s">
        <v>14</v>
      </c>
      <c r="BG3" s="244" t="s">
        <v>14</v>
      </c>
      <c r="BH3" s="294" t="s">
        <v>14</v>
      </c>
      <c r="BI3" s="225" t="s">
        <v>14</v>
      </c>
      <c r="BJ3" s="244" t="s">
        <v>14</v>
      </c>
      <c r="BK3" s="317" t="s">
        <v>14</v>
      </c>
      <c r="BL3" s="52" t="s">
        <v>14</v>
      </c>
      <c r="BM3" s="232" t="s">
        <v>14</v>
      </c>
      <c r="BN3" s="318" t="s">
        <v>14</v>
      </c>
      <c r="BO3" s="303" t="s">
        <v>14</v>
      </c>
      <c r="BP3" s="311" t="s">
        <v>14</v>
      </c>
      <c r="BQ3" s="225" t="s">
        <v>14</v>
      </c>
      <c r="BR3" s="244" t="s">
        <v>14</v>
      </c>
      <c r="BS3" s="317" t="s">
        <v>14</v>
      </c>
      <c r="BT3" s="225" t="s">
        <v>14</v>
      </c>
      <c r="BU3" s="244" t="s">
        <v>14</v>
      </c>
      <c r="BV3" s="288" t="s">
        <v>14</v>
      </c>
      <c r="BW3" s="225" t="s">
        <v>14</v>
      </c>
      <c r="BX3" s="244" t="s">
        <v>14</v>
      </c>
      <c r="BY3" s="294" t="s">
        <v>14</v>
      </c>
      <c r="BZ3" s="31" t="s">
        <v>14</v>
      </c>
      <c r="CA3" s="59" t="s">
        <v>14</v>
      </c>
      <c r="CB3" s="189" t="s">
        <v>14</v>
      </c>
      <c r="CC3" s="232" t="s">
        <v>14</v>
      </c>
      <c r="CD3" s="59" t="s">
        <v>14</v>
      </c>
      <c r="CE3" s="184" t="s">
        <v>14</v>
      </c>
      <c r="CF3" s="250" t="s">
        <v>14</v>
      </c>
      <c r="CG3" s="311" t="s">
        <v>14</v>
      </c>
      <c r="CH3" s="70" t="s">
        <v>14</v>
      </c>
      <c r="CI3" s="225" t="s">
        <v>14</v>
      </c>
      <c r="CJ3" s="75" t="s">
        <v>14</v>
      </c>
      <c r="CK3" s="232" t="s">
        <v>14</v>
      </c>
      <c r="CL3" s="256" t="s">
        <v>14</v>
      </c>
      <c r="CM3" s="52" t="s">
        <v>14</v>
      </c>
      <c r="CN3" s="232" t="s">
        <v>14</v>
      </c>
      <c r="CO3" s="52" t="s">
        <v>14</v>
      </c>
      <c r="CP3" s="23" t="s">
        <v>14</v>
      </c>
      <c r="CQ3" s="59" t="s">
        <v>14</v>
      </c>
      <c r="CR3" s="196" t="s">
        <v>14</v>
      </c>
      <c r="CS3" s="36" t="s">
        <v>12</v>
      </c>
      <c r="CT3" s="256" t="s">
        <v>12</v>
      </c>
      <c r="CU3" s="262" t="s">
        <v>12</v>
      </c>
      <c r="CV3" s="232" t="s">
        <v>12</v>
      </c>
      <c r="CW3" s="233" t="s">
        <v>12</v>
      </c>
      <c r="CX3" s="282" t="s">
        <v>12</v>
      </c>
      <c r="CY3" s="225" t="s">
        <v>12</v>
      </c>
      <c r="CZ3" s="244" t="s">
        <v>12</v>
      </c>
      <c r="DA3" s="268" t="s">
        <v>12</v>
      </c>
      <c r="DB3" s="262" t="s">
        <v>12</v>
      </c>
      <c r="DC3" s="232" t="s">
        <v>12</v>
      </c>
      <c r="DD3" s="71" t="s">
        <v>12</v>
      </c>
      <c r="DE3" s="36" t="s">
        <v>12</v>
      </c>
      <c r="DF3" s="256" t="s">
        <v>12</v>
      </c>
      <c r="DG3" s="256" t="s">
        <v>12</v>
      </c>
      <c r="DH3" s="225" t="s">
        <v>12</v>
      </c>
      <c r="DI3" s="281" t="s">
        <v>12</v>
      </c>
      <c r="DJ3" s="23" t="s">
        <v>12</v>
      </c>
      <c r="DK3" s="46" t="s">
        <v>19</v>
      </c>
      <c r="DL3" s="23" t="s">
        <v>12</v>
      </c>
      <c r="DM3" s="110" t="s">
        <v>12</v>
      </c>
      <c r="DN3" s="92" t="s">
        <v>10</v>
      </c>
      <c r="DO3" s="93" t="s">
        <v>10</v>
      </c>
      <c r="DP3" s="93" t="s">
        <v>10</v>
      </c>
      <c r="DQ3" s="274" t="s">
        <v>10</v>
      </c>
      <c r="DR3" s="203" t="s">
        <v>10</v>
      </c>
      <c r="DS3" s="268" t="s">
        <v>10</v>
      </c>
      <c r="DT3" s="93" t="s">
        <v>10</v>
      </c>
      <c r="DU3" s="93" t="s">
        <v>10</v>
      </c>
      <c r="DV3" s="93" t="s">
        <v>10</v>
      </c>
      <c r="DW3" s="93" t="s">
        <v>10</v>
      </c>
      <c r="DX3" s="93" t="s">
        <v>10</v>
      </c>
      <c r="DY3" s="93" t="s">
        <v>10</v>
      </c>
      <c r="DZ3" s="93" t="s">
        <v>10</v>
      </c>
    </row>
    <row r="4" spans="1:130" s="20" customFormat="1" ht="30" customHeight="1" x14ac:dyDescent="0.25">
      <c r="A4" s="370"/>
      <c r="B4" s="370"/>
      <c r="C4" s="49" t="s">
        <v>25</v>
      </c>
      <c r="D4" s="166">
        <v>0.4</v>
      </c>
      <c r="E4" s="220">
        <v>0.5</v>
      </c>
      <c r="F4" s="166">
        <v>0.6</v>
      </c>
      <c r="G4" s="220">
        <v>2.6</v>
      </c>
      <c r="H4" s="42">
        <v>0.1</v>
      </c>
      <c r="I4" s="42">
        <v>0.15</v>
      </c>
      <c r="J4" s="42">
        <v>0.16</v>
      </c>
      <c r="K4" s="227">
        <v>0.2</v>
      </c>
      <c r="L4" s="227">
        <v>0.25</v>
      </c>
      <c r="M4" s="289">
        <v>0.25</v>
      </c>
      <c r="N4" s="42">
        <v>0.28000000000000003</v>
      </c>
      <c r="O4" s="227">
        <v>0.3</v>
      </c>
      <c r="P4" s="289">
        <v>0.3</v>
      </c>
      <c r="Q4" s="227">
        <v>0.35</v>
      </c>
      <c r="R4" s="289">
        <v>0.35</v>
      </c>
      <c r="S4" s="227">
        <v>0.4</v>
      </c>
      <c r="T4" s="289">
        <v>0.4</v>
      </c>
      <c r="U4" s="227">
        <v>0.45</v>
      </c>
      <c r="V4" s="245">
        <v>0.45</v>
      </c>
      <c r="W4" s="289">
        <v>0.45</v>
      </c>
      <c r="X4" s="186">
        <v>0.47499999999999998</v>
      </c>
      <c r="Y4" s="227">
        <v>0.5</v>
      </c>
      <c r="Z4" s="245">
        <v>0.5</v>
      </c>
      <c r="AA4" s="289">
        <v>0.5</v>
      </c>
      <c r="AB4" s="227">
        <v>0.55000000000000004</v>
      </c>
      <c r="AC4" s="245">
        <v>0.55000000000000004</v>
      </c>
      <c r="AD4" s="295">
        <v>0.55000000000000004</v>
      </c>
      <c r="AE4" s="227">
        <v>0.6</v>
      </c>
      <c r="AF4" s="245">
        <v>0.6</v>
      </c>
      <c r="AG4" s="295">
        <v>0.6</v>
      </c>
      <c r="AH4" s="227">
        <v>0.65</v>
      </c>
      <c r="AI4" s="245">
        <v>0.65</v>
      </c>
      <c r="AJ4" s="295">
        <v>0.65</v>
      </c>
      <c r="AK4" s="227">
        <v>0.7</v>
      </c>
      <c r="AL4" s="245">
        <v>0.7</v>
      </c>
      <c r="AM4" s="295">
        <v>0.7</v>
      </c>
      <c r="AN4" s="227">
        <v>0.75</v>
      </c>
      <c r="AO4" s="319">
        <v>0.75</v>
      </c>
      <c r="AP4" s="289">
        <v>0.75</v>
      </c>
      <c r="AQ4" s="227">
        <v>0.8</v>
      </c>
      <c r="AR4" s="319">
        <v>0.8</v>
      </c>
      <c r="AS4" s="289">
        <v>0.8</v>
      </c>
      <c r="AT4" s="227">
        <v>0.85</v>
      </c>
      <c r="AU4" s="245">
        <v>0.85</v>
      </c>
      <c r="AV4" s="289">
        <v>0.85</v>
      </c>
      <c r="AW4" s="227">
        <v>0.9</v>
      </c>
      <c r="AX4" s="245">
        <v>0.9</v>
      </c>
      <c r="AY4" s="295">
        <v>0.9</v>
      </c>
      <c r="AZ4" s="227">
        <v>0.95</v>
      </c>
      <c r="BA4" s="245">
        <v>0.95</v>
      </c>
      <c r="BB4" s="289">
        <v>0.95</v>
      </c>
      <c r="BC4" s="227">
        <v>1</v>
      </c>
      <c r="BD4" s="245">
        <v>1</v>
      </c>
      <c r="BE4" s="289">
        <v>1</v>
      </c>
      <c r="BF4" s="227">
        <v>1.05</v>
      </c>
      <c r="BG4" s="245">
        <v>1.05</v>
      </c>
      <c r="BH4" s="295">
        <v>1.05</v>
      </c>
      <c r="BI4" s="227">
        <v>1.1000000000000001</v>
      </c>
      <c r="BJ4" s="245">
        <v>1.1000000000000001</v>
      </c>
      <c r="BK4" s="304">
        <v>1.1000000000000001</v>
      </c>
      <c r="BL4" s="53">
        <v>1.1000000000000001</v>
      </c>
      <c r="BM4" s="234">
        <v>1.1499999999999999</v>
      </c>
      <c r="BN4" s="319">
        <v>1.1499999999999999</v>
      </c>
      <c r="BO4" s="304">
        <v>1.1499999999999999</v>
      </c>
      <c r="BP4" s="312">
        <v>1.1499999999999999</v>
      </c>
      <c r="BQ4" s="227">
        <v>1.2</v>
      </c>
      <c r="BR4" s="245">
        <v>1.2</v>
      </c>
      <c r="BS4" s="304">
        <v>1.2</v>
      </c>
      <c r="BT4" s="227">
        <v>1.25</v>
      </c>
      <c r="BU4" s="245">
        <v>1.25</v>
      </c>
      <c r="BV4" s="289">
        <v>1.25</v>
      </c>
      <c r="BW4" s="227">
        <v>1.3</v>
      </c>
      <c r="BX4" s="245">
        <v>1.3</v>
      </c>
      <c r="BY4" s="295">
        <v>1.3</v>
      </c>
      <c r="BZ4" s="32">
        <v>1.35</v>
      </c>
      <c r="CA4" s="60">
        <v>1.35</v>
      </c>
      <c r="CB4" s="190">
        <v>1.35</v>
      </c>
      <c r="CC4" s="234">
        <v>1.4</v>
      </c>
      <c r="CD4" s="60">
        <v>1.4</v>
      </c>
      <c r="CE4" s="104">
        <v>1.45</v>
      </c>
      <c r="CF4" s="251">
        <v>1.45</v>
      </c>
      <c r="CG4" s="312">
        <v>1.5</v>
      </c>
      <c r="CH4" s="67">
        <v>1.55</v>
      </c>
      <c r="CI4" s="227">
        <v>1.6</v>
      </c>
      <c r="CJ4" s="67">
        <v>1.85</v>
      </c>
      <c r="CK4" s="234">
        <v>1.9</v>
      </c>
      <c r="CL4" s="257">
        <v>2</v>
      </c>
      <c r="CM4" s="53">
        <v>2.2000000000000002</v>
      </c>
      <c r="CN4" s="234">
        <v>2.5</v>
      </c>
      <c r="CO4" s="53">
        <v>2.6</v>
      </c>
      <c r="CP4" s="24">
        <v>2.7</v>
      </c>
      <c r="CQ4" s="60">
        <v>3</v>
      </c>
      <c r="CR4" s="197">
        <v>3.2</v>
      </c>
      <c r="CS4" s="37">
        <v>0.08</v>
      </c>
      <c r="CT4" s="257">
        <v>0.12</v>
      </c>
      <c r="CU4" s="263">
        <v>0.14000000000000001</v>
      </c>
      <c r="CV4" s="234">
        <v>0.2</v>
      </c>
      <c r="CW4" s="235">
        <v>0.2</v>
      </c>
      <c r="CX4" s="283">
        <v>0.23</v>
      </c>
      <c r="CY4" s="227">
        <v>0.25</v>
      </c>
      <c r="CZ4" s="245">
        <v>0.25</v>
      </c>
      <c r="DA4" s="269">
        <v>0.25</v>
      </c>
      <c r="DB4" s="263">
        <v>0.28000000000000003</v>
      </c>
      <c r="DC4" s="234">
        <v>0.3</v>
      </c>
      <c r="DD4" s="57">
        <v>0.3</v>
      </c>
      <c r="DE4" s="37">
        <v>0.32</v>
      </c>
      <c r="DF4" s="257">
        <v>0.35</v>
      </c>
      <c r="DG4" s="257">
        <v>0.38</v>
      </c>
      <c r="DH4" s="227">
        <v>0.4</v>
      </c>
      <c r="DI4" s="263">
        <v>0.4</v>
      </c>
      <c r="DJ4" s="24">
        <v>0.45</v>
      </c>
      <c r="DK4" s="42">
        <v>0.45</v>
      </c>
      <c r="DL4" s="24">
        <v>0.6</v>
      </c>
      <c r="DM4" s="104">
        <v>0.95</v>
      </c>
      <c r="DN4" s="94">
        <v>0.3</v>
      </c>
      <c r="DO4" s="95">
        <v>0.5</v>
      </c>
      <c r="DP4" s="95">
        <v>0.55000000000000004</v>
      </c>
      <c r="DQ4" s="275">
        <v>0.6</v>
      </c>
      <c r="DR4" s="204">
        <v>0.7</v>
      </c>
      <c r="DS4" s="269">
        <v>0.7</v>
      </c>
      <c r="DT4" s="95">
        <v>1</v>
      </c>
      <c r="DU4" s="95">
        <v>1.2</v>
      </c>
      <c r="DV4" s="95">
        <v>1.3</v>
      </c>
      <c r="DW4" s="95">
        <v>1.4</v>
      </c>
      <c r="DX4" s="95">
        <v>1.6</v>
      </c>
      <c r="DY4" s="95">
        <v>1.7</v>
      </c>
      <c r="DZ4" s="95">
        <v>3.5</v>
      </c>
    </row>
    <row r="5" spans="1:130" ht="6.75" customHeight="1" x14ac:dyDescent="0.65">
      <c r="A5" s="370"/>
      <c r="B5" s="370"/>
      <c r="C5" s="48"/>
      <c r="D5" s="58"/>
      <c r="E5" s="221"/>
      <c r="F5" s="309"/>
      <c r="G5" s="221"/>
      <c r="H5" s="43"/>
      <c r="I5" s="43"/>
      <c r="J5" s="43"/>
      <c r="K5" s="228"/>
      <c r="L5" s="228"/>
      <c r="M5" s="290"/>
      <c r="N5" s="43"/>
      <c r="O5" s="228"/>
      <c r="P5" s="290"/>
      <c r="Q5" s="228"/>
      <c r="R5" s="290"/>
      <c r="S5" s="228"/>
      <c r="T5" s="290"/>
      <c r="U5" s="228"/>
      <c r="V5" s="246"/>
      <c r="W5" s="290"/>
      <c r="X5" s="43"/>
      <c r="Y5" s="228"/>
      <c r="Z5" s="246"/>
      <c r="AA5" s="290"/>
      <c r="AB5" s="228"/>
      <c r="AC5" s="246"/>
      <c r="AD5" s="296"/>
      <c r="AE5" s="228"/>
      <c r="AF5" s="246"/>
      <c r="AG5" s="296"/>
      <c r="AH5" s="228"/>
      <c r="AI5" s="246"/>
      <c r="AJ5" s="296"/>
      <c r="AK5" s="228"/>
      <c r="AL5" s="246"/>
      <c r="AM5" s="296"/>
      <c r="AN5" s="228"/>
      <c r="AO5" s="320"/>
      <c r="AP5" s="290"/>
      <c r="AQ5" s="228"/>
      <c r="AR5" s="320"/>
      <c r="AS5" s="290"/>
      <c r="AT5" s="228"/>
      <c r="AU5" s="246"/>
      <c r="AV5" s="290"/>
      <c r="AW5" s="228"/>
      <c r="AX5" s="246"/>
      <c r="AY5" s="296"/>
      <c r="AZ5" s="228"/>
      <c r="BA5" s="246"/>
      <c r="BB5" s="290"/>
      <c r="BC5" s="228"/>
      <c r="BD5" s="246"/>
      <c r="BE5" s="290"/>
      <c r="BF5" s="228"/>
      <c r="BG5" s="246"/>
      <c r="BH5" s="296"/>
      <c r="BI5" s="228"/>
      <c r="BJ5" s="246"/>
      <c r="BK5" s="305"/>
      <c r="BL5" s="54"/>
      <c r="BM5" s="236"/>
      <c r="BN5" s="320"/>
      <c r="BO5" s="305"/>
      <c r="BP5" s="313"/>
      <c r="BQ5" s="228"/>
      <c r="BR5" s="246"/>
      <c r="BS5" s="305"/>
      <c r="BT5" s="228"/>
      <c r="BU5" s="246"/>
      <c r="BV5" s="290"/>
      <c r="BW5" s="228"/>
      <c r="BX5" s="246"/>
      <c r="BY5" s="296"/>
      <c r="BZ5" s="33"/>
      <c r="CA5" s="61"/>
      <c r="CB5" s="191"/>
      <c r="CC5" s="236"/>
      <c r="CD5" s="61"/>
      <c r="CE5" s="105"/>
      <c r="CF5" s="252"/>
      <c r="CG5" s="313"/>
      <c r="CH5" s="68"/>
      <c r="CI5" s="228"/>
      <c r="CJ5" s="68"/>
      <c r="CK5" s="236"/>
      <c r="CL5" s="258"/>
      <c r="CM5" s="54"/>
      <c r="CN5" s="236"/>
      <c r="CO5" s="54"/>
      <c r="CP5" s="25"/>
      <c r="CQ5" s="61"/>
      <c r="CR5" s="198"/>
      <c r="CS5" s="38"/>
      <c r="CT5" s="258"/>
      <c r="CU5" s="264"/>
      <c r="CV5" s="236"/>
      <c r="CW5" s="237"/>
      <c r="CX5" s="284"/>
      <c r="CY5" s="228"/>
      <c r="CZ5" s="246"/>
      <c r="DA5" s="270"/>
      <c r="DB5" s="264"/>
      <c r="DC5" s="236"/>
      <c r="DD5" s="58"/>
      <c r="DE5" s="38"/>
      <c r="DF5" s="258"/>
      <c r="DG5" s="258"/>
      <c r="DH5" s="228"/>
      <c r="DI5" s="264"/>
      <c r="DJ5" s="25"/>
      <c r="DK5" s="43"/>
      <c r="DL5" s="25"/>
      <c r="DM5" s="105"/>
      <c r="DN5" s="96"/>
      <c r="DO5" s="97"/>
    </row>
    <row r="6" spans="1:130" s="87" customFormat="1" ht="27.95" customHeight="1" thickBot="1" x14ac:dyDescent="0.3">
      <c r="A6" s="77" t="s">
        <v>11</v>
      </c>
      <c r="B6" s="77" t="s">
        <v>26</v>
      </c>
      <c r="C6" s="78">
        <f>SUM(D6:DZ6)</f>
        <v>1230.7329999999999</v>
      </c>
      <c r="D6" s="79">
        <f t="shared" ref="D6:AM6" si="0">SUM(D8:D1048576)</f>
        <v>8.7850000000000001</v>
      </c>
      <c r="E6" s="222">
        <f t="shared" si="0"/>
        <v>0</v>
      </c>
      <c r="F6" s="79">
        <f t="shared" si="0"/>
        <v>33.14</v>
      </c>
      <c r="G6" s="222">
        <f t="shared" si="0"/>
        <v>0</v>
      </c>
      <c r="H6" s="80">
        <f t="shared" si="0"/>
        <v>92.75</v>
      </c>
      <c r="I6" s="80">
        <f t="shared" si="0"/>
        <v>2.1</v>
      </c>
      <c r="J6" s="80">
        <f t="shared" si="0"/>
        <v>32.06</v>
      </c>
      <c r="K6" s="229">
        <f t="shared" si="0"/>
        <v>0</v>
      </c>
      <c r="L6" s="229">
        <f t="shared" si="0"/>
        <v>0</v>
      </c>
      <c r="M6" s="291">
        <f t="shared" si="0"/>
        <v>2.5150000000000001</v>
      </c>
      <c r="N6" s="80">
        <f t="shared" si="0"/>
        <v>89.04</v>
      </c>
      <c r="O6" s="229">
        <f t="shared" si="0"/>
        <v>0</v>
      </c>
      <c r="P6" s="291">
        <f t="shared" si="0"/>
        <v>5.5750000000000002</v>
      </c>
      <c r="Q6" s="229">
        <f t="shared" si="0"/>
        <v>0</v>
      </c>
      <c r="R6" s="291">
        <f t="shared" si="0"/>
        <v>8.3949999999999996</v>
      </c>
      <c r="S6" s="229">
        <f t="shared" si="0"/>
        <v>0</v>
      </c>
      <c r="T6" s="291">
        <f t="shared" si="0"/>
        <v>8.41</v>
      </c>
      <c r="U6" s="229">
        <f t="shared" si="0"/>
        <v>0</v>
      </c>
      <c r="V6" s="247">
        <f t="shared" si="0"/>
        <v>0</v>
      </c>
      <c r="W6" s="291">
        <f t="shared" si="0"/>
        <v>5.9649999999999999</v>
      </c>
      <c r="X6" s="80">
        <f t="shared" si="0"/>
        <v>24.22</v>
      </c>
      <c r="Y6" s="229">
        <f t="shared" si="0"/>
        <v>0</v>
      </c>
      <c r="Z6" s="247">
        <f t="shared" si="0"/>
        <v>0</v>
      </c>
      <c r="AA6" s="291">
        <f t="shared" si="0"/>
        <v>16.86</v>
      </c>
      <c r="AB6" s="229">
        <f t="shared" si="0"/>
        <v>0</v>
      </c>
      <c r="AC6" s="247">
        <f t="shared" si="0"/>
        <v>0</v>
      </c>
      <c r="AD6" s="297">
        <f t="shared" si="0"/>
        <v>0</v>
      </c>
      <c r="AE6" s="229">
        <f t="shared" si="0"/>
        <v>0</v>
      </c>
      <c r="AF6" s="247">
        <f t="shared" si="0"/>
        <v>0</v>
      </c>
      <c r="AG6" s="297">
        <f t="shared" si="0"/>
        <v>0</v>
      </c>
      <c r="AH6" s="229">
        <f t="shared" si="0"/>
        <v>0</v>
      </c>
      <c r="AI6" s="247">
        <f t="shared" si="0"/>
        <v>0</v>
      </c>
      <c r="AJ6" s="297">
        <f t="shared" si="0"/>
        <v>0</v>
      </c>
      <c r="AK6" s="229">
        <f t="shared" si="0"/>
        <v>0</v>
      </c>
      <c r="AL6" s="247">
        <f t="shared" si="0"/>
        <v>0</v>
      </c>
      <c r="AM6" s="297">
        <f t="shared" si="0"/>
        <v>0</v>
      </c>
      <c r="AN6" s="229">
        <f t="shared" ref="AN6:BT6" si="1">SUM(AN8:AN1048576)</f>
        <v>0</v>
      </c>
      <c r="AO6" s="321">
        <f t="shared" si="1"/>
        <v>8.4</v>
      </c>
      <c r="AP6" s="291">
        <f t="shared" si="1"/>
        <v>33.880000000000003</v>
      </c>
      <c r="AQ6" s="229">
        <f t="shared" si="1"/>
        <v>0</v>
      </c>
      <c r="AR6" s="321">
        <f t="shared" si="1"/>
        <v>8.7850000000000001</v>
      </c>
      <c r="AS6" s="291">
        <f t="shared" si="1"/>
        <v>8.4350000000000005</v>
      </c>
      <c r="AT6" s="229">
        <f t="shared" si="1"/>
        <v>0</v>
      </c>
      <c r="AU6" s="247">
        <f t="shared" si="1"/>
        <v>0</v>
      </c>
      <c r="AV6" s="291">
        <f t="shared" si="1"/>
        <v>8.4949999999999992</v>
      </c>
      <c r="AW6" s="229">
        <f t="shared" si="1"/>
        <v>0</v>
      </c>
      <c r="AX6" s="247">
        <f t="shared" si="1"/>
        <v>0</v>
      </c>
      <c r="AY6" s="297">
        <f t="shared" si="1"/>
        <v>0</v>
      </c>
      <c r="AZ6" s="229">
        <f t="shared" si="1"/>
        <v>0</v>
      </c>
      <c r="BA6" s="247">
        <f t="shared" si="1"/>
        <v>0</v>
      </c>
      <c r="BB6" s="291">
        <f t="shared" si="1"/>
        <v>17.14</v>
      </c>
      <c r="BC6" s="229">
        <f t="shared" si="1"/>
        <v>0</v>
      </c>
      <c r="BD6" s="247">
        <f t="shared" si="1"/>
        <v>0</v>
      </c>
      <c r="BE6" s="291">
        <f t="shared" si="1"/>
        <v>17.03</v>
      </c>
      <c r="BF6" s="229">
        <f t="shared" si="1"/>
        <v>0</v>
      </c>
      <c r="BG6" s="247">
        <f t="shared" si="1"/>
        <v>0</v>
      </c>
      <c r="BH6" s="297">
        <f t="shared" si="1"/>
        <v>0</v>
      </c>
      <c r="BI6" s="229">
        <f t="shared" si="1"/>
        <v>0</v>
      </c>
      <c r="BJ6" s="247">
        <f t="shared" si="1"/>
        <v>0</v>
      </c>
      <c r="BK6" s="306">
        <f t="shared" si="1"/>
        <v>0</v>
      </c>
      <c r="BL6" s="84">
        <f t="shared" si="1"/>
        <v>8.3699999999999992</v>
      </c>
      <c r="BM6" s="238">
        <f t="shared" si="1"/>
        <v>0</v>
      </c>
      <c r="BN6" s="321">
        <f t="shared" si="1"/>
        <v>16.68</v>
      </c>
      <c r="BO6" s="306">
        <f t="shared" si="1"/>
        <v>0</v>
      </c>
      <c r="BP6" s="314">
        <f t="shared" si="1"/>
        <v>0</v>
      </c>
      <c r="BQ6" s="229">
        <f t="shared" si="1"/>
        <v>0</v>
      </c>
      <c r="BR6" s="247">
        <f t="shared" si="1"/>
        <v>0</v>
      </c>
      <c r="BS6" s="306">
        <f t="shared" si="1"/>
        <v>0</v>
      </c>
      <c r="BT6" s="229">
        <f t="shared" si="1"/>
        <v>0</v>
      </c>
      <c r="BU6" s="247">
        <f t="shared" ref="BU6:CZ6" si="2">SUM(BU8:BU1048576)</f>
        <v>0</v>
      </c>
      <c r="BV6" s="291">
        <f t="shared" si="2"/>
        <v>8.4550000000000001</v>
      </c>
      <c r="BW6" s="229">
        <f t="shared" si="2"/>
        <v>0</v>
      </c>
      <c r="BX6" s="247">
        <f t="shared" si="2"/>
        <v>0</v>
      </c>
      <c r="BY6" s="297">
        <f t="shared" si="2"/>
        <v>0</v>
      </c>
      <c r="BZ6" s="82">
        <f t="shared" si="2"/>
        <v>31.04</v>
      </c>
      <c r="CA6" s="83">
        <f t="shared" si="2"/>
        <v>8.44</v>
      </c>
      <c r="CB6" s="108">
        <f t="shared" si="2"/>
        <v>1.75</v>
      </c>
      <c r="CC6" s="238">
        <f t="shared" si="2"/>
        <v>0</v>
      </c>
      <c r="CD6" s="83">
        <f t="shared" si="2"/>
        <v>34.75</v>
      </c>
      <c r="CE6" s="185">
        <f t="shared" si="2"/>
        <v>16.170000000000002</v>
      </c>
      <c r="CF6" s="253">
        <f t="shared" si="2"/>
        <v>0</v>
      </c>
      <c r="CG6" s="314">
        <f t="shared" si="2"/>
        <v>0</v>
      </c>
      <c r="CH6" s="85">
        <f t="shared" si="2"/>
        <v>27.65</v>
      </c>
      <c r="CI6" s="229">
        <f t="shared" si="2"/>
        <v>0</v>
      </c>
      <c r="CJ6" s="85">
        <f t="shared" si="2"/>
        <v>28</v>
      </c>
      <c r="CK6" s="238">
        <f t="shared" si="2"/>
        <v>0</v>
      </c>
      <c r="CL6" s="259">
        <f t="shared" si="2"/>
        <v>0</v>
      </c>
      <c r="CM6" s="84">
        <f t="shared" si="2"/>
        <v>21.65</v>
      </c>
      <c r="CN6" s="238">
        <f t="shared" si="2"/>
        <v>0</v>
      </c>
      <c r="CO6" s="84">
        <f t="shared" si="2"/>
        <v>24.4</v>
      </c>
      <c r="CP6" s="86">
        <f t="shared" si="2"/>
        <v>9.1999999999999993</v>
      </c>
      <c r="CQ6" s="83">
        <f t="shared" si="2"/>
        <v>89.45</v>
      </c>
      <c r="CR6" s="199">
        <f t="shared" si="2"/>
        <v>21.45</v>
      </c>
      <c r="CS6" s="81">
        <f t="shared" si="2"/>
        <v>54.058</v>
      </c>
      <c r="CT6" s="259">
        <f t="shared" si="2"/>
        <v>0</v>
      </c>
      <c r="CU6" s="265">
        <f t="shared" si="2"/>
        <v>0</v>
      </c>
      <c r="CV6" s="238">
        <f t="shared" si="2"/>
        <v>0</v>
      </c>
      <c r="CW6" s="222">
        <f t="shared" si="2"/>
        <v>0</v>
      </c>
      <c r="CX6" s="285">
        <f t="shared" si="2"/>
        <v>0</v>
      </c>
      <c r="CY6" s="229">
        <f t="shared" si="2"/>
        <v>0</v>
      </c>
      <c r="CZ6" s="247">
        <f t="shared" si="2"/>
        <v>0</v>
      </c>
      <c r="DA6" s="271">
        <f t="shared" ref="DA6:DZ6" si="3">SUM(DA8:DA1048576)</f>
        <v>0</v>
      </c>
      <c r="DB6" s="265">
        <f t="shared" si="3"/>
        <v>0</v>
      </c>
      <c r="DC6" s="238">
        <f t="shared" si="3"/>
        <v>0</v>
      </c>
      <c r="DD6" s="79">
        <f t="shared" si="3"/>
        <v>6.6349999999999998</v>
      </c>
      <c r="DE6" s="81">
        <f t="shared" si="3"/>
        <v>8.9849999999999994</v>
      </c>
      <c r="DF6" s="259">
        <f t="shared" si="3"/>
        <v>0</v>
      </c>
      <c r="DG6" s="259">
        <f t="shared" si="3"/>
        <v>0</v>
      </c>
      <c r="DH6" s="229">
        <f t="shared" si="3"/>
        <v>0</v>
      </c>
      <c r="DI6" s="265">
        <f t="shared" si="3"/>
        <v>0</v>
      </c>
      <c r="DJ6" s="86">
        <f t="shared" si="3"/>
        <v>93.39</v>
      </c>
      <c r="DK6" s="80">
        <f t="shared" si="3"/>
        <v>14.9</v>
      </c>
      <c r="DL6" s="86">
        <f t="shared" si="3"/>
        <v>6.02</v>
      </c>
      <c r="DM6" s="109">
        <f t="shared" si="3"/>
        <v>2.25</v>
      </c>
      <c r="DN6" s="108">
        <f t="shared" si="3"/>
        <v>3.28</v>
      </c>
      <c r="DO6" s="99">
        <f t="shared" si="3"/>
        <v>63.54</v>
      </c>
      <c r="DP6" s="99">
        <f t="shared" si="3"/>
        <v>10.45</v>
      </c>
      <c r="DQ6" s="277">
        <f t="shared" si="3"/>
        <v>0</v>
      </c>
      <c r="DR6" s="206">
        <f t="shared" si="3"/>
        <v>80.83</v>
      </c>
      <c r="DS6" s="271">
        <f t="shared" si="3"/>
        <v>0</v>
      </c>
      <c r="DT6" s="99">
        <f t="shared" si="3"/>
        <v>2.5</v>
      </c>
      <c r="DU6" s="99">
        <f t="shared" si="3"/>
        <v>14.7</v>
      </c>
      <c r="DV6" s="99">
        <f t="shared" si="3"/>
        <v>2.85</v>
      </c>
      <c r="DW6" s="99">
        <f t="shared" si="3"/>
        <v>6.83</v>
      </c>
      <c r="DX6" s="99">
        <f t="shared" si="3"/>
        <v>9.2200000000000006</v>
      </c>
      <c r="DY6" s="99">
        <f t="shared" si="3"/>
        <v>18.5</v>
      </c>
      <c r="DZ6" s="99">
        <f t="shared" si="3"/>
        <v>52.36</v>
      </c>
    </row>
    <row r="7" spans="1:130" s="30" customFormat="1" ht="6.75" customHeight="1" x14ac:dyDescent="0.25">
      <c r="A7" s="51"/>
      <c r="B7" s="27"/>
      <c r="C7" s="28"/>
      <c r="D7" s="167"/>
      <c r="E7" s="223"/>
      <c r="F7" s="167"/>
      <c r="G7" s="223"/>
      <c r="H7" s="44"/>
      <c r="I7" s="44"/>
      <c r="J7" s="44"/>
      <c r="K7" s="230"/>
      <c r="L7" s="230"/>
      <c r="M7" s="292"/>
      <c r="N7" s="44"/>
      <c r="O7" s="230"/>
      <c r="P7" s="292"/>
      <c r="Q7" s="230"/>
      <c r="R7" s="292"/>
      <c r="S7" s="230"/>
      <c r="T7" s="292"/>
      <c r="U7" s="230"/>
      <c r="V7" s="248"/>
      <c r="W7" s="292"/>
      <c r="X7" s="44"/>
      <c r="Y7" s="230"/>
      <c r="Z7" s="248"/>
      <c r="AA7" s="292"/>
      <c r="AB7" s="230"/>
      <c r="AC7" s="248"/>
      <c r="AD7" s="298"/>
      <c r="AE7" s="230"/>
      <c r="AF7" s="248"/>
      <c r="AG7" s="298"/>
      <c r="AH7" s="230"/>
      <c r="AI7" s="248"/>
      <c r="AJ7" s="298"/>
      <c r="AK7" s="230"/>
      <c r="AL7" s="248"/>
      <c r="AM7" s="298"/>
      <c r="AN7" s="230"/>
      <c r="AO7" s="322"/>
      <c r="AP7" s="292"/>
      <c r="AQ7" s="230"/>
      <c r="AR7" s="322"/>
      <c r="AS7" s="292"/>
      <c r="AT7" s="230"/>
      <c r="AU7" s="248"/>
      <c r="AV7" s="292"/>
      <c r="AW7" s="230"/>
      <c r="AX7" s="248"/>
      <c r="AY7" s="298"/>
      <c r="AZ7" s="230"/>
      <c r="BA7" s="248"/>
      <c r="BB7" s="292"/>
      <c r="BC7" s="230"/>
      <c r="BD7" s="248"/>
      <c r="BE7" s="292"/>
      <c r="BF7" s="230"/>
      <c r="BG7" s="248"/>
      <c r="BH7" s="298"/>
      <c r="BI7" s="230"/>
      <c r="BJ7" s="248"/>
      <c r="BK7" s="307"/>
      <c r="BL7" s="55"/>
      <c r="BM7" s="239"/>
      <c r="BN7" s="322"/>
      <c r="BO7" s="307"/>
      <c r="BP7" s="315"/>
      <c r="BQ7" s="230"/>
      <c r="BR7" s="248"/>
      <c r="BS7" s="307"/>
      <c r="BT7" s="230"/>
      <c r="BU7" s="248"/>
      <c r="BV7" s="292"/>
      <c r="BW7" s="230"/>
      <c r="BX7" s="248"/>
      <c r="BY7" s="298"/>
      <c r="BZ7" s="34"/>
      <c r="CA7" s="62"/>
      <c r="CB7" s="192"/>
      <c r="CC7" s="239"/>
      <c r="CD7" s="62"/>
      <c r="CE7" s="106"/>
      <c r="CF7" s="254"/>
      <c r="CG7" s="315"/>
      <c r="CH7" s="76"/>
      <c r="CI7" s="230"/>
      <c r="CJ7" s="76"/>
      <c r="CK7" s="239"/>
      <c r="CL7" s="260"/>
      <c r="CM7" s="55"/>
      <c r="CN7" s="239"/>
      <c r="CO7" s="55"/>
      <c r="CP7" s="29"/>
      <c r="CQ7" s="62"/>
      <c r="CR7" s="200"/>
      <c r="CS7" s="39"/>
      <c r="CT7" s="260"/>
      <c r="CU7" s="266"/>
      <c r="CV7" s="239"/>
      <c r="CW7" s="240"/>
      <c r="CX7" s="286"/>
      <c r="CY7" s="230"/>
      <c r="CZ7" s="248"/>
      <c r="DA7" s="272"/>
      <c r="DB7" s="266"/>
      <c r="DC7" s="239"/>
      <c r="DD7" s="111"/>
      <c r="DE7" s="39"/>
      <c r="DF7" s="260"/>
      <c r="DG7" s="260"/>
      <c r="DH7" s="230"/>
      <c r="DI7" s="266"/>
      <c r="DJ7" s="29"/>
      <c r="DK7" s="44"/>
      <c r="DL7" s="29"/>
      <c r="DM7" s="106"/>
      <c r="DN7" s="100"/>
      <c r="DO7" s="101"/>
      <c r="DP7" s="102"/>
      <c r="DQ7" s="278"/>
      <c r="DR7" s="207"/>
      <c r="DS7" s="279"/>
      <c r="DT7" s="102"/>
      <c r="DU7" s="102"/>
      <c r="DV7" s="102"/>
      <c r="DW7" s="102"/>
      <c r="DX7" s="102"/>
      <c r="DY7" s="102"/>
      <c r="DZ7" s="102"/>
    </row>
    <row r="8" spans="1:130" x14ac:dyDescent="0.25">
      <c r="A8" s="50">
        <v>46119</v>
      </c>
      <c r="B8" s="19" t="s">
        <v>13</v>
      </c>
      <c r="C8" s="18">
        <f t="shared" ref="C8:C72" si="4">SUM(D8:EW8)</f>
        <v>2009.373</v>
      </c>
      <c r="D8" s="168">
        <v>25.675000000000001</v>
      </c>
      <c r="E8" s="224">
        <v>0</v>
      </c>
      <c r="F8" s="168">
        <v>0</v>
      </c>
      <c r="G8" s="224">
        <v>0</v>
      </c>
      <c r="H8" s="45">
        <v>92.75</v>
      </c>
      <c r="I8" s="45">
        <v>6.06</v>
      </c>
      <c r="J8" s="45">
        <v>32.06</v>
      </c>
      <c r="K8" s="231">
        <v>0</v>
      </c>
      <c r="L8" s="231">
        <v>0</v>
      </c>
      <c r="N8" s="45">
        <v>89.04</v>
      </c>
      <c r="O8" s="231">
        <v>26.79</v>
      </c>
      <c r="Q8" s="231">
        <v>14.455</v>
      </c>
      <c r="S8" s="231">
        <v>38.564999999999998</v>
      </c>
      <c r="U8" s="231">
        <v>16.21</v>
      </c>
      <c r="X8" s="45">
        <v>24.22</v>
      </c>
      <c r="Y8" s="231">
        <v>65.760000000000005</v>
      </c>
      <c r="AB8" s="231">
        <v>7.94</v>
      </c>
      <c r="AE8" s="231">
        <v>0</v>
      </c>
      <c r="AF8" s="249">
        <v>0</v>
      </c>
      <c r="AH8" s="231">
        <v>0</v>
      </c>
      <c r="AI8" s="249">
        <v>0</v>
      </c>
      <c r="AK8" s="231">
        <v>0</v>
      </c>
      <c r="AL8" s="249">
        <v>0</v>
      </c>
      <c r="AN8" s="231">
        <v>0</v>
      </c>
      <c r="AO8" s="323">
        <v>0</v>
      </c>
      <c r="AQ8" s="231">
        <v>0</v>
      </c>
      <c r="AR8" s="323">
        <v>0</v>
      </c>
      <c r="AT8" s="231">
        <v>0</v>
      </c>
      <c r="AU8" s="249">
        <v>0</v>
      </c>
      <c r="AW8" s="231">
        <v>0</v>
      </c>
      <c r="AX8" s="249">
        <v>0</v>
      </c>
      <c r="AZ8" s="231">
        <v>0</v>
      </c>
      <c r="BA8" s="249">
        <v>0</v>
      </c>
      <c r="BC8" s="231">
        <v>0</v>
      </c>
      <c r="BD8" s="249">
        <v>0</v>
      </c>
      <c r="BF8" s="231">
        <v>0</v>
      </c>
      <c r="BG8" s="249">
        <v>0</v>
      </c>
      <c r="BI8" s="231">
        <v>34.340000000000003</v>
      </c>
      <c r="BJ8" s="249">
        <v>0</v>
      </c>
      <c r="BM8" s="241">
        <v>34.72</v>
      </c>
      <c r="BN8" s="323">
        <v>0</v>
      </c>
      <c r="BQ8" s="231">
        <v>0</v>
      </c>
      <c r="BR8" s="249">
        <v>0</v>
      </c>
      <c r="BS8" s="308">
        <v>8.5250000000000004</v>
      </c>
      <c r="BT8" s="231">
        <v>0</v>
      </c>
      <c r="BU8" s="249">
        <v>0</v>
      </c>
      <c r="BW8" s="231">
        <v>0</v>
      </c>
      <c r="BX8" s="249">
        <v>0</v>
      </c>
      <c r="BZ8" s="35">
        <v>211.39500000000001</v>
      </c>
      <c r="CA8" s="63">
        <v>8.44</v>
      </c>
      <c r="CB8" s="193">
        <v>1.75</v>
      </c>
      <c r="CC8" s="241">
        <v>0</v>
      </c>
      <c r="CD8" s="63">
        <v>68.8</v>
      </c>
      <c r="CE8" s="107">
        <v>16.170000000000002</v>
      </c>
      <c r="CF8" s="255">
        <v>0</v>
      </c>
      <c r="CG8" s="316">
        <v>0</v>
      </c>
      <c r="CH8" s="69">
        <v>27.65</v>
      </c>
      <c r="CI8" s="231">
        <v>0</v>
      </c>
      <c r="CJ8" s="69">
        <v>28</v>
      </c>
      <c r="CK8" s="241">
        <v>103.66500000000001</v>
      </c>
      <c r="CL8" s="261">
        <v>0</v>
      </c>
      <c r="CM8" s="56">
        <v>45.85</v>
      </c>
      <c r="CN8" s="241">
        <v>0</v>
      </c>
      <c r="CO8" s="56">
        <v>45.4</v>
      </c>
      <c r="CP8" s="26">
        <v>9.1999999999999993</v>
      </c>
      <c r="CQ8" s="63">
        <v>89.45</v>
      </c>
      <c r="CR8" s="201">
        <v>21.45</v>
      </c>
      <c r="CS8" s="40">
        <v>54.058</v>
      </c>
      <c r="CT8" s="261">
        <v>0</v>
      </c>
      <c r="CU8" s="267">
        <v>0</v>
      </c>
      <c r="CV8" s="241">
        <v>32.700000000000003</v>
      </c>
      <c r="CW8" s="242">
        <v>0</v>
      </c>
      <c r="CX8" s="287">
        <v>0.75</v>
      </c>
      <c r="CY8" s="231">
        <v>0</v>
      </c>
      <c r="DA8" s="273">
        <v>0</v>
      </c>
      <c r="DB8" s="267">
        <v>0</v>
      </c>
      <c r="DC8" s="241">
        <v>0</v>
      </c>
      <c r="DD8" s="72">
        <v>13.32</v>
      </c>
      <c r="DE8" s="40">
        <v>8.9849999999999994</v>
      </c>
      <c r="DF8" s="261">
        <v>0</v>
      </c>
      <c r="DG8" s="261">
        <v>0</v>
      </c>
      <c r="DH8" s="231">
        <v>0</v>
      </c>
      <c r="DJ8" s="26">
        <v>93.39</v>
      </c>
      <c r="DK8" s="45">
        <v>14.9</v>
      </c>
      <c r="DL8" s="26">
        <v>6.02</v>
      </c>
      <c r="DM8" s="107">
        <v>2.25</v>
      </c>
      <c r="DN8" s="103">
        <v>3.28</v>
      </c>
      <c r="DO8" s="98">
        <v>63.54</v>
      </c>
      <c r="DP8" s="98">
        <v>10.45</v>
      </c>
      <c r="DQ8" s="276">
        <v>0</v>
      </c>
      <c r="DR8" s="205">
        <v>404.44</v>
      </c>
      <c r="DS8" s="273">
        <v>0</v>
      </c>
      <c r="DT8" s="98">
        <v>2.5</v>
      </c>
      <c r="DU8" s="98">
        <v>14.7</v>
      </c>
      <c r="DV8" s="98">
        <v>2.85</v>
      </c>
      <c r="DW8" s="98">
        <v>6.83</v>
      </c>
      <c r="DX8" s="98">
        <v>9.2200000000000006</v>
      </c>
      <c r="DY8" s="98">
        <v>18.5</v>
      </c>
      <c r="DZ8" s="98">
        <v>52.36</v>
      </c>
    </row>
    <row r="9" spans="1:130" x14ac:dyDescent="0.25">
      <c r="B9" s="19" t="s">
        <v>113</v>
      </c>
      <c r="C9" s="18">
        <f t="shared" si="4"/>
        <v>0.13</v>
      </c>
      <c r="BE9" s="293">
        <v>0.03</v>
      </c>
      <c r="BG9" s="249">
        <v>0.1</v>
      </c>
    </row>
    <row r="10" spans="1:130" x14ac:dyDescent="0.25">
      <c r="A10" s="50">
        <v>46120</v>
      </c>
      <c r="B10" s="19" t="s">
        <v>83</v>
      </c>
      <c r="C10" s="18">
        <f t="shared" si="4"/>
        <v>-43.445</v>
      </c>
      <c r="BI10" s="231">
        <v>-17.335000000000001</v>
      </c>
      <c r="BM10" s="241">
        <v>-26.11</v>
      </c>
    </row>
    <row r="11" spans="1:130" x14ac:dyDescent="0.25">
      <c r="A11" s="50">
        <v>46121</v>
      </c>
      <c r="B11" s="19" t="s">
        <v>84</v>
      </c>
      <c r="C11" s="18">
        <f t="shared" si="4"/>
        <v>-25.9</v>
      </c>
      <c r="Y11" s="231">
        <f>-8.475-8.58</f>
        <v>-17.055</v>
      </c>
      <c r="BI11" s="231">
        <v>-8.8450000000000006</v>
      </c>
    </row>
    <row r="12" spans="1:130" x14ac:dyDescent="0.25">
      <c r="A12" s="50">
        <v>46122</v>
      </c>
      <c r="B12" s="19" t="s">
        <v>85</v>
      </c>
      <c r="C12" s="18">
        <f t="shared" si="4"/>
        <v>-16.079999999999998</v>
      </c>
      <c r="U12" s="231">
        <v>-8.14</v>
      </c>
      <c r="AB12" s="231">
        <v>-7.94</v>
      </c>
    </row>
    <row r="13" spans="1:130" x14ac:dyDescent="0.25">
      <c r="A13" s="50">
        <v>46122</v>
      </c>
      <c r="B13" s="19" t="s">
        <v>16</v>
      </c>
      <c r="C13" s="18">
        <f t="shared" si="4"/>
        <v>993.31500000000005</v>
      </c>
      <c r="AK13" s="231">
        <v>68.625</v>
      </c>
      <c r="AN13" s="231">
        <v>70.025000000000006</v>
      </c>
      <c r="AQ13" s="231">
        <v>66.03</v>
      </c>
      <c r="AT13" s="231">
        <v>66.400000000000006</v>
      </c>
      <c r="AW13" s="231">
        <v>64.28</v>
      </c>
      <c r="AZ13" s="231">
        <v>71.19</v>
      </c>
      <c r="BC13" s="231">
        <v>98.415000000000006</v>
      </c>
      <c r="BF13" s="231">
        <v>64.22</v>
      </c>
      <c r="BI13" s="231">
        <v>33.92</v>
      </c>
      <c r="BQ13" s="231">
        <v>68.194999999999993</v>
      </c>
      <c r="BT13" s="231">
        <v>102.47</v>
      </c>
      <c r="BW13" s="300">
        <f>178.405+41.14</f>
        <v>219.54499999999999</v>
      </c>
    </row>
    <row r="14" spans="1:130" x14ac:dyDescent="0.25">
      <c r="A14" s="50">
        <v>46122</v>
      </c>
      <c r="B14" s="19" t="s">
        <v>16</v>
      </c>
      <c r="C14" s="18">
        <f t="shared" si="4"/>
        <v>167.98</v>
      </c>
      <c r="AE14" s="231">
        <v>31.1</v>
      </c>
      <c r="AH14" s="231">
        <v>33.805</v>
      </c>
      <c r="AK14" s="231">
        <f>33.35+69.725</f>
        <v>103.075</v>
      </c>
    </row>
    <row r="15" spans="1:130" x14ac:dyDescent="0.25">
      <c r="A15" s="50">
        <v>46122</v>
      </c>
      <c r="B15" s="19" t="s">
        <v>86</v>
      </c>
      <c r="C15" s="18">
        <f t="shared" si="4"/>
        <v>-796.76</v>
      </c>
      <c r="AK15" s="231">
        <v>-68.625</v>
      </c>
      <c r="AN15" s="231">
        <v>-70.025000000000006</v>
      </c>
      <c r="AQ15" s="231">
        <v>-66.03</v>
      </c>
      <c r="AT15" s="231">
        <v>-66.400000000000006</v>
      </c>
      <c r="AW15" s="231">
        <v>-64.28</v>
      </c>
      <c r="AZ15" s="231">
        <v>-71.19</v>
      </c>
      <c r="BQ15" s="231">
        <v>-68.194999999999993</v>
      </c>
      <c r="BT15" s="231">
        <v>-102.47</v>
      </c>
      <c r="BW15" s="231">
        <f>-41.14-178.405</f>
        <v>-219.54499999999999</v>
      </c>
    </row>
    <row r="16" spans="1:130" x14ac:dyDescent="0.25">
      <c r="A16" s="50">
        <v>46122</v>
      </c>
      <c r="B16" s="19" t="s">
        <v>87</v>
      </c>
      <c r="C16" s="18">
        <f t="shared" si="4"/>
        <v>-230.61500000000001</v>
      </c>
      <c r="S16" s="231">
        <v>-30.675000000000001</v>
      </c>
      <c r="AE16" s="231">
        <v>-31.1</v>
      </c>
      <c r="AK16" s="231">
        <v>-103.075</v>
      </c>
      <c r="BC16" s="231">
        <v>-65.765000000000001</v>
      </c>
    </row>
    <row r="17" spans="1:113" x14ac:dyDescent="0.25">
      <c r="A17" s="50">
        <v>46122</v>
      </c>
      <c r="B17" s="19" t="s">
        <v>91</v>
      </c>
      <c r="C17" s="18">
        <f t="shared" si="4"/>
        <v>-8.69</v>
      </c>
      <c r="AH17" s="231">
        <v>-8.69</v>
      </c>
    </row>
    <row r="18" spans="1:113" x14ac:dyDescent="0.25">
      <c r="A18" s="50">
        <v>46123</v>
      </c>
      <c r="B18" s="19" t="s">
        <v>88</v>
      </c>
      <c r="C18" s="18">
        <f t="shared" si="4"/>
        <v>-16.39</v>
      </c>
      <c r="O18" s="231">
        <v>-8.1950000000000003</v>
      </c>
      <c r="BF18" s="231">
        <v>-8.1950000000000003</v>
      </c>
    </row>
    <row r="19" spans="1:113" x14ac:dyDescent="0.25">
      <c r="A19" s="50">
        <v>46123</v>
      </c>
      <c r="B19" s="19" t="s">
        <v>89</v>
      </c>
      <c r="C19" s="18">
        <f t="shared" si="4"/>
        <v>-7.6849999999999996</v>
      </c>
      <c r="AH19" s="231">
        <v>-7.6849999999999996</v>
      </c>
    </row>
    <row r="20" spans="1:113" x14ac:dyDescent="0.25">
      <c r="A20" s="50">
        <v>46123</v>
      </c>
      <c r="B20" s="19" t="s">
        <v>90</v>
      </c>
      <c r="C20" s="18">
        <f t="shared" si="4"/>
        <v>-34.005000000000003</v>
      </c>
      <c r="AH20" s="231">
        <v>-17.43</v>
      </c>
      <c r="BC20" s="231">
        <v>-16.574999999999999</v>
      </c>
    </row>
    <row r="21" spans="1:113" x14ac:dyDescent="0.25">
      <c r="A21" s="50">
        <v>46125</v>
      </c>
      <c r="B21" s="19" t="s">
        <v>90</v>
      </c>
      <c r="C21" s="18">
        <f t="shared" si="4"/>
        <v>-4.9400000000000004</v>
      </c>
      <c r="O21" s="231">
        <v>-4.9400000000000004</v>
      </c>
    </row>
    <row r="22" spans="1:113" x14ac:dyDescent="0.25">
      <c r="A22" s="50">
        <v>46125</v>
      </c>
      <c r="B22" s="19" t="s">
        <v>17</v>
      </c>
      <c r="C22" s="18">
        <f t="shared" si="4"/>
        <v>288.53500000000003</v>
      </c>
      <c r="AF22" s="249">
        <v>33.28</v>
      </c>
      <c r="AL22" s="249">
        <v>28.57</v>
      </c>
      <c r="AO22" s="323">
        <v>33.734999999999999</v>
      </c>
      <c r="AR22" s="323">
        <v>34.26</v>
      </c>
      <c r="AU22" s="249">
        <v>33.39</v>
      </c>
      <c r="AX22" s="249">
        <v>33.700000000000003</v>
      </c>
      <c r="BA22" s="249">
        <v>33.58</v>
      </c>
      <c r="BU22" s="249">
        <v>32.685000000000002</v>
      </c>
      <c r="CZ22" s="249">
        <v>25.335000000000001</v>
      </c>
    </row>
    <row r="23" spans="1:113" x14ac:dyDescent="0.25">
      <c r="A23" s="50">
        <v>46125</v>
      </c>
      <c r="B23" s="19" t="s">
        <v>92</v>
      </c>
      <c r="C23" s="18">
        <f t="shared" si="4"/>
        <v>-92.26</v>
      </c>
      <c r="S23" s="231">
        <v>-7.89</v>
      </c>
      <c r="AF23" s="249">
        <v>-8.2200000000000006</v>
      </c>
      <c r="AL23" s="249">
        <v>-7.12</v>
      </c>
      <c r="AO23" s="323">
        <v>-16.844999999999999</v>
      </c>
      <c r="AR23" s="323">
        <v>-8.4949999999999992</v>
      </c>
      <c r="BU23" s="249">
        <v>-24.53</v>
      </c>
      <c r="CZ23" s="249">
        <v>-19.16</v>
      </c>
    </row>
    <row r="24" spans="1:113" x14ac:dyDescent="0.25">
      <c r="A24" s="50">
        <v>46126</v>
      </c>
      <c r="B24" s="280" t="s">
        <v>90</v>
      </c>
      <c r="C24" s="18">
        <f t="shared" si="4"/>
        <v>-98.23</v>
      </c>
      <c r="AF24" s="249">
        <v>-16.72</v>
      </c>
      <c r="AL24" s="249">
        <v>-14.3</v>
      </c>
      <c r="AR24" s="323">
        <v>-16.97</v>
      </c>
      <c r="AU24" s="249">
        <v>-16.649999999999999</v>
      </c>
      <c r="AX24" s="249">
        <v>-16.79</v>
      </c>
      <c r="BA24" s="249">
        <v>-16.8</v>
      </c>
    </row>
    <row r="25" spans="1:113" x14ac:dyDescent="0.25">
      <c r="A25" s="50">
        <v>46126</v>
      </c>
      <c r="B25" s="280" t="s">
        <v>89</v>
      </c>
      <c r="C25" s="18">
        <f t="shared" si="4"/>
        <v>-49.64</v>
      </c>
      <c r="AL25" s="249">
        <v>-7.15</v>
      </c>
      <c r="AO25" s="323">
        <v>-8.4250000000000007</v>
      </c>
      <c r="AR25" s="323">
        <v>-8.7949999999999999</v>
      </c>
      <c r="AU25" s="249">
        <v>-8.36</v>
      </c>
      <c r="AX25" s="249">
        <v>-16.91</v>
      </c>
    </row>
    <row r="26" spans="1:113" x14ac:dyDescent="0.25">
      <c r="A26" s="50">
        <v>46126</v>
      </c>
      <c r="B26" s="280" t="s">
        <v>93</v>
      </c>
      <c r="C26" s="18">
        <f t="shared" si="4"/>
        <v>-8.07</v>
      </c>
      <c r="U26" s="231">
        <v>-8.07</v>
      </c>
    </row>
    <row r="27" spans="1:113" x14ac:dyDescent="0.25">
      <c r="A27" s="50">
        <v>46126</v>
      </c>
      <c r="B27" s="280" t="s">
        <v>88</v>
      </c>
      <c r="C27" s="18">
        <f t="shared" si="4"/>
        <v>-8.4649999999999999</v>
      </c>
      <c r="AO27" s="323">
        <v>-8.4649999999999999</v>
      </c>
    </row>
    <row r="28" spans="1:113" x14ac:dyDescent="0.25">
      <c r="A28" s="50">
        <v>46127</v>
      </c>
      <c r="B28" s="19" t="s">
        <v>91</v>
      </c>
      <c r="C28" s="18">
        <f t="shared" si="4"/>
        <v>-16.79</v>
      </c>
      <c r="AU28" s="249">
        <v>-8.3800000000000008</v>
      </c>
      <c r="BA28" s="249">
        <v>-8.41</v>
      </c>
    </row>
    <row r="29" spans="1:113" x14ac:dyDescent="0.25">
      <c r="A29" s="50">
        <v>46127</v>
      </c>
      <c r="B29" s="19" t="s">
        <v>17</v>
      </c>
      <c r="C29" s="18">
        <f t="shared" si="4"/>
        <v>185.96</v>
      </c>
      <c r="E29" s="224">
        <v>34.344999999999999</v>
      </c>
      <c r="F29" s="168">
        <v>67.974999999999994</v>
      </c>
      <c r="G29" s="224">
        <v>46.98</v>
      </c>
      <c r="DI29" s="267">
        <v>36.659999999999997</v>
      </c>
    </row>
    <row r="30" spans="1:113" x14ac:dyDescent="0.25">
      <c r="A30" s="50">
        <v>46127</v>
      </c>
      <c r="B30" s="280" t="s">
        <v>94</v>
      </c>
      <c r="C30" s="18">
        <f t="shared" si="4"/>
        <v>-34.055</v>
      </c>
      <c r="F30" s="168">
        <v>-34.055</v>
      </c>
    </row>
    <row r="31" spans="1:113" x14ac:dyDescent="0.25">
      <c r="A31" s="50">
        <v>46127</v>
      </c>
      <c r="B31" s="280" t="s">
        <v>95</v>
      </c>
      <c r="C31" s="18">
        <f t="shared" si="4"/>
        <v>-98.41</v>
      </c>
      <c r="D31" s="168">
        <v>-25.675000000000001</v>
      </c>
      <c r="E31" s="224">
        <v>-25.754999999999999</v>
      </c>
      <c r="G31" s="224">
        <v>-46.98</v>
      </c>
    </row>
    <row r="32" spans="1:113" x14ac:dyDescent="0.25">
      <c r="A32" s="50">
        <v>46127</v>
      </c>
      <c r="B32" s="280" t="s">
        <v>96</v>
      </c>
      <c r="C32" s="18">
        <f t="shared" si="4"/>
        <v>-36.659999999999997</v>
      </c>
      <c r="DI32" s="267">
        <v>-36.659999999999997</v>
      </c>
    </row>
    <row r="33" spans="1:122" x14ac:dyDescent="0.25">
      <c r="A33" s="50">
        <v>46127</v>
      </c>
      <c r="B33" s="280" t="s">
        <v>98</v>
      </c>
      <c r="C33" s="18">
        <f t="shared" si="4"/>
        <v>-15.975</v>
      </c>
      <c r="BF33" s="231">
        <v>-15.975</v>
      </c>
    </row>
    <row r="34" spans="1:122" x14ac:dyDescent="0.25">
      <c r="A34" s="50">
        <v>46128</v>
      </c>
      <c r="B34" s="280" t="s">
        <v>119</v>
      </c>
      <c r="C34" s="18">
        <f t="shared" si="4"/>
        <v>-159.1</v>
      </c>
      <c r="DR34" s="205">
        <v>-159.1</v>
      </c>
    </row>
    <row r="35" spans="1:122" x14ac:dyDescent="0.25">
      <c r="A35" s="50">
        <v>46128</v>
      </c>
      <c r="B35" s="19" t="s">
        <v>97</v>
      </c>
      <c r="C35" s="18">
        <f t="shared" si="4"/>
        <v>-8.48</v>
      </c>
      <c r="Y35" s="231">
        <v>-8.48</v>
      </c>
    </row>
    <row r="36" spans="1:122" x14ac:dyDescent="0.25">
      <c r="A36" s="50">
        <v>46130</v>
      </c>
      <c r="B36" s="19" t="s">
        <v>93</v>
      </c>
      <c r="C36" s="18">
        <f t="shared" si="4"/>
        <v>-7.58</v>
      </c>
      <c r="BF36" s="231">
        <v>-7.58</v>
      </c>
    </row>
    <row r="37" spans="1:122" x14ac:dyDescent="0.25">
      <c r="A37" s="50">
        <v>46132</v>
      </c>
      <c r="B37" s="19" t="s">
        <v>93</v>
      </c>
      <c r="C37" s="18">
        <f t="shared" si="4"/>
        <v>-8.11</v>
      </c>
      <c r="BF37" s="231">
        <v>-8.11</v>
      </c>
    </row>
    <row r="38" spans="1:122" x14ac:dyDescent="0.25">
      <c r="A38" s="50">
        <v>46132</v>
      </c>
      <c r="B38" s="19" t="s">
        <v>17</v>
      </c>
      <c r="C38" s="18">
        <f t="shared" si="4"/>
        <v>193.27</v>
      </c>
      <c r="AF38" s="249">
        <v>33.79</v>
      </c>
      <c r="AI38" s="249">
        <v>27.53</v>
      </c>
      <c r="AL38" s="249">
        <v>34.17</v>
      </c>
      <c r="AO38" s="323">
        <v>34.085000000000001</v>
      </c>
      <c r="AR38" s="323">
        <v>32.604999999999997</v>
      </c>
      <c r="AX38" s="249">
        <v>31.09</v>
      </c>
    </row>
    <row r="39" spans="1:122" x14ac:dyDescent="0.25">
      <c r="A39" s="50">
        <v>46132</v>
      </c>
      <c r="B39" s="19" t="s">
        <v>17</v>
      </c>
      <c r="C39" s="18">
        <f t="shared" si="4"/>
        <v>-103.66500000000001</v>
      </c>
      <c r="CK39" s="241">
        <v>-103.66500000000001</v>
      </c>
    </row>
    <row r="40" spans="1:122" x14ac:dyDescent="0.25">
      <c r="A40" s="50">
        <v>46132</v>
      </c>
      <c r="B40" s="19" t="s">
        <v>99</v>
      </c>
      <c r="C40" s="18">
        <f t="shared" si="4"/>
        <v>-6.9249999999999998</v>
      </c>
      <c r="CX40" s="287">
        <v>-0.75</v>
      </c>
      <c r="CZ40" s="249">
        <v>-6.1749999999999998</v>
      </c>
    </row>
    <row r="41" spans="1:122" x14ac:dyDescent="0.25">
      <c r="A41" s="50">
        <v>46132</v>
      </c>
      <c r="B41" s="19" t="s">
        <v>92</v>
      </c>
      <c r="C41" s="18">
        <f t="shared" si="4"/>
        <v>-96.424999999999997</v>
      </c>
      <c r="AF41" s="249">
        <v>-16.93</v>
      </c>
      <c r="AI41" s="249">
        <v>-14.04</v>
      </c>
      <c r="AL41" s="249">
        <v>-17.02</v>
      </c>
      <c r="AO41" s="323">
        <v>-17.05</v>
      </c>
      <c r="AR41" s="323">
        <v>-16.285</v>
      </c>
      <c r="AX41" s="249">
        <v>-15.1</v>
      </c>
    </row>
    <row r="42" spans="1:122" x14ac:dyDescent="0.25">
      <c r="A42" s="50">
        <v>46133</v>
      </c>
      <c r="B42" s="19" t="s">
        <v>91</v>
      </c>
      <c r="C42" s="18">
        <f t="shared" si="4"/>
        <v>-16.815000000000001</v>
      </c>
      <c r="BC42" s="231">
        <v>-8.2449999999999992</v>
      </c>
      <c r="BF42" s="231">
        <v>-8.57</v>
      </c>
    </row>
    <row r="43" spans="1:122" x14ac:dyDescent="0.25">
      <c r="A43" s="50">
        <v>46133</v>
      </c>
      <c r="B43" s="19" t="s">
        <v>89</v>
      </c>
      <c r="C43" s="18">
        <f t="shared" si="4"/>
        <v>-42.534999999999997</v>
      </c>
      <c r="AF43" s="249">
        <v>-8.4450000000000003</v>
      </c>
      <c r="AL43" s="249">
        <f>-8.585-8.565</f>
        <v>-17.149999999999999</v>
      </c>
      <c r="AO43" s="323">
        <v>-8.57</v>
      </c>
      <c r="BA43" s="249">
        <v>-8.3699999999999992</v>
      </c>
    </row>
    <row r="44" spans="1:122" x14ac:dyDescent="0.25">
      <c r="A44" s="50">
        <v>46133</v>
      </c>
      <c r="B44" s="19" t="s">
        <v>100</v>
      </c>
      <c r="C44" s="18">
        <f t="shared" si="4"/>
        <v>-16.695</v>
      </c>
      <c r="AR44" s="323">
        <v>-8.1050000000000004</v>
      </c>
      <c r="AX44" s="249">
        <v>-8.59</v>
      </c>
    </row>
    <row r="45" spans="1:122" x14ac:dyDescent="0.25">
      <c r="A45" s="50">
        <v>46133</v>
      </c>
      <c r="B45" s="19" t="s">
        <v>101</v>
      </c>
      <c r="C45" s="18">
        <f t="shared" si="4"/>
        <v>-81.894999999999996</v>
      </c>
      <c r="Y45" s="231">
        <v>-15.88</v>
      </c>
      <c r="BZ45" s="35">
        <v>-66.015000000000001</v>
      </c>
    </row>
    <row r="46" spans="1:122" x14ac:dyDescent="0.25">
      <c r="A46" s="50">
        <v>46134</v>
      </c>
      <c r="B46" s="19" t="s">
        <v>102</v>
      </c>
      <c r="C46" s="18">
        <f t="shared" si="4"/>
        <v>-16.754999999999999</v>
      </c>
      <c r="AF46" s="249">
        <v>-16.754999999999999</v>
      </c>
    </row>
    <row r="47" spans="1:122" x14ac:dyDescent="0.25">
      <c r="A47" s="50">
        <v>46134</v>
      </c>
      <c r="B47" s="19" t="s">
        <v>103</v>
      </c>
      <c r="C47" s="18">
        <f t="shared" si="4"/>
        <v>92.83</v>
      </c>
      <c r="AD47" s="299">
        <v>8.4649999999999999</v>
      </c>
      <c r="AG47" s="299">
        <f>8.48+8.47</f>
        <v>16.95</v>
      </c>
      <c r="AM47" s="299">
        <f>8.38+8.365</f>
        <v>16.745000000000001</v>
      </c>
      <c r="AV47" s="293">
        <v>33.494999999999997</v>
      </c>
      <c r="BB47" s="293">
        <f>8.59+8.585</f>
        <v>17.175000000000001</v>
      </c>
    </row>
    <row r="48" spans="1:122" x14ac:dyDescent="0.25">
      <c r="A48" s="50">
        <v>46135</v>
      </c>
      <c r="B48" s="19" t="s">
        <v>104</v>
      </c>
      <c r="C48" s="18">
        <f t="shared" si="4"/>
        <v>-65.025000000000006</v>
      </c>
      <c r="BZ48" s="35">
        <v>-65.025000000000006</v>
      </c>
    </row>
    <row r="49" spans="1:100" x14ac:dyDescent="0.25">
      <c r="A49" s="50">
        <v>46135</v>
      </c>
      <c r="B49" s="19" t="s">
        <v>107</v>
      </c>
      <c r="C49" s="18">
        <f t="shared" si="4"/>
        <v>-8.2149999999999999</v>
      </c>
      <c r="AR49" s="323">
        <v>-8.2149999999999999</v>
      </c>
    </row>
    <row r="50" spans="1:100" x14ac:dyDescent="0.25">
      <c r="A50" s="50">
        <v>46136</v>
      </c>
      <c r="B50" s="19" t="s">
        <v>91</v>
      </c>
      <c r="C50" s="18">
        <f t="shared" si="4"/>
        <v>-40.055</v>
      </c>
      <c r="Q50" s="231">
        <v>-5.9249999999999998</v>
      </c>
      <c r="BI50" s="231">
        <v>-16.995000000000001</v>
      </c>
      <c r="BM50" s="241">
        <v>-8.61</v>
      </c>
      <c r="BS50" s="308">
        <v>-8.5250000000000004</v>
      </c>
    </row>
    <row r="51" spans="1:100" x14ac:dyDescent="0.25">
      <c r="A51" s="50">
        <v>46136</v>
      </c>
      <c r="B51" s="19" t="s">
        <v>105</v>
      </c>
      <c r="C51" s="18">
        <f t="shared" si="4"/>
        <v>-55.505000000000003</v>
      </c>
      <c r="AG51" s="299">
        <v>-8.48</v>
      </c>
      <c r="AI51" s="249">
        <v>-13.49</v>
      </c>
      <c r="AM51" s="299">
        <v>-16.745000000000001</v>
      </c>
      <c r="AV51" s="293">
        <v>-16.79</v>
      </c>
    </row>
    <row r="52" spans="1:100" x14ac:dyDescent="0.25">
      <c r="A52" s="50">
        <v>46136</v>
      </c>
      <c r="B52" s="19" t="s">
        <v>89</v>
      </c>
      <c r="C52" s="18">
        <f t="shared" si="4"/>
        <v>-16.93</v>
      </c>
      <c r="Q52" s="231">
        <v>-8.5299999999999994</v>
      </c>
      <c r="AV52" s="293">
        <v>-8.4</v>
      </c>
    </row>
    <row r="53" spans="1:100" x14ac:dyDescent="0.25">
      <c r="A53" s="50">
        <v>46136</v>
      </c>
      <c r="B53" s="19" t="s">
        <v>101</v>
      </c>
      <c r="C53" s="18">
        <f t="shared" si="4"/>
        <v>-41.335000000000001</v>
      </c>
      <c r="BZ53" s="35">
        <v>-32.795000000000002</v>
      </c>
      <c r="CV53" s="241">
        <v>-8.5399999999999991</v>
      </c>
    </row>
    <row r="54" spans="1:100" x14ac:dyDescent="0.25">
      <c r="A54" s="50">
        <v>46137</v>
      </c>
      <c r="B54" s="19" t="s">
        <v>103</v>
      </c>
      <c r="C54" s="18">
        <f t="shared" si="4"/>
        <v>166.6</v>
      </c>
      <c r="AJ54" s="299">
        <v>33.950000000000003</v>
      </c>
      <c r="AV54" s="293">
        <v>32.505000000000003</v>
      </c>
      <c r="AY54" s="299">
        <v>34.045000000000002</v>
      </c>
      <c r="BE54" s="293">
        <v>33.875</v>
      </c>
      <c r="BH54" s="299">
        <v>32.225000000000001</v>
      </c>
    </row>
    <row r="55" spans="1:100" x14ac:dyDescent="0.25">
      <c r="A55" s="50">
        <v>46137</v>
      </c>
      <c r="B55" s="19" t="s">
        <v>83</v>
      </c>
      <c r="C55" s="18">
        <f t="shared" si="4"/>
        <v>-82.89</v>
      </c>
      <c r="AV55" s="293">
        <v>-16.8</v>
      </c>
      <c r="BE55" s="293">
        <v>-16.940000000000001</v>
      </c>
      <c r="BH55" s="299">
        <v>-32.225000000000001</v>
      </c>
      <c r="BI55" s="231">
        <v>-16.925000000000001</v>
      </c>
    </row>
    <row r="56" spans="1:100" x14ac:dyDescent="0.25">
      <c r="A56" s="50">
        <v>46139</v>
      </c>
      <c r="B56" s="19" t="s">
        <v>91</v>
      </c>
      <c r="C56" s="18">
        <f t="shared" si="4"/>
        <v>-5.4450000000000003</v>
      </c>
      <c r="O56" s="231">
        <v>-5.4450000000000003</v>
      </c>
    </row>
    <row r="57" spans="1:100" x14ac:dyDescent="0.25">
      <c r="A57" s="50">
        <v>46139</v>
      </c>
      <c r="B57" s="19" t="s">
        <v>106</v>
      </c>
      <c r="C57" s="18">
        <f t="shared" si="4"/>
        <v>-49.494999999999997</v>
      </c>
      <c r="AD57" s="299">
        <v>-8.4649999999999999</v>
      </c>
      <c r="AJ57" s="299">
        <v>-8.5</v>
      </c>
      <c r="AO57" s="323">
        <v>-8.4649999999999999</v>
      </c>
      <c r="AV57" s="293">
        <v>-16.664999999999999</v>
      </c>
      <c r="AX57" s="249">
        <v>-7.4</v>
      </c>
    </row>
    <row r="58" spans="1:100" x14ac:dyDescent="0.25">
      <c r="A58" s="50">
        <v>46140</v>
      </c>
      <c r="B58" s="19" t="s">
        <v>108</v>
      </c>
      <c r="C58" s="18">
        <f t="shared" si="4"/>
        <v>-33.68</v>
      </c>
      <c r="AG58" s="299">
        <v>-8.4700000000000006</v>
      </c>
      <c r="AJ58" s="299">
        <v>-8.4749999999999996</v>
      </c>
      <c r="AY58" s="299">
        <v>-8.5749999999999993</v>
      </c>
      <c r="BI58" s="231">
        <v>-8.16</v>
      </c>
    </row>
    <row r="59" spans="1:100" x14ac:dyDescent="0.25">
      <c r="A59" s="50">
        <v>46140</v>
      </c>
      <c r="B59" s="19" t="s">
        <v>109</v>
      </c>
      <c r="C59" s="18">
        <f t="shared" si="4"/>
        <v>-15.93</v>
      </c>
      <c r="AV59" s="293">
        <v>-7.3449999999999998</v>
      </c>
      <c r="BB59" s="293">
        <v>-8.5850000000000009</v>
      </c>
    </row>
    <row r="60" spans="1:100" x14ac:dyDescent="0.25">
      <c r="A60" s="50">
        <v>46140</v>
      </c>
      <c r="B60" s="19" t="s">
        <v>98</v>
      </c>
      <c r="C60" s="18">
        <f t="shared" si="4"/>
        <v>-49.765000000000001</v>
      </c>
      <c r="AY60" s="299">
        <f>-8.525-8.385</f>
        <v>-16.91</v>
      </c>
      <c r="BC60" s="231">
        <v>-7.83</v>
      </c>
      <c r="BE60" s="293">
        <f>-8.475-8.46</f>
        <v>-16.934999999999999</v>
      </c>
      <c r="BF60" s="231">
        <v>-8.09</v>
      </c>
    </row>
    <row r="61" spans="1:100" x14ac:dyDescent="0.25">
      <c r="A61" s="50">
        <v>46140</v>
      </c>
      <c r="B61" s="19" t="s">
        <v>110</v>
      </c>
      <c r="C61" s="18">
        <f t="shared" si="4"/>
        <v>-8.08</v>
      </c>
      <c r="CD61" s="63">
        <v>-8.08</v>
      </c>
    </row>
    <row r="62" spans="1:100" x14ac:dyDescent="0.25">
      <c r="A62" s="50">
        <v>46141</v>
      </c>
      <c r="B62" s="19" t="s">
        <v>103</v>
      </c>
      <c r="C62" s="18">
        <f t="shared" si="4"/>
        <v>247.55</v>
      </c>
      <c r="AD62" s="299">
        <v>17.065000000000001</v>
      </c>
      <c r="AP62" s="293">
        <v>8.5050000000000008</v>
      </c>
      <c r="AY62" s="299">
        <v>34.090000000000003</v>
      </c>
      <c r="BB62" s="293">
        <v>34.134999999999998</v>
      </c>
      <c r="BE62" s="293">
        <v>34.234999999999999</v>
      </c>
      <c r="BH62" s="299">
        <v>16.940000000000001</v>
      </c>
      <c r="BK62" s="308">
        <v>17.145</v>
      </c>
      <c r="BO62" s="308">
        <v>17.239999999999998</v>
      </c>
      <c r="BS62" s="308">
        <v>16.925000000000001</v>
      </c>
      <c r="BV62" s="293">
        <v>17.184999999999999</v>
      </c>
      <c r="BY62" s="299">
        <v>34.085000000000001</v>
      </c>
    </row>
    <row r="63" spans="1:100" x14ac:dyDescent="0.25">
      <c r="A63" s="50">
        <v>46141</v>
      </c>
      <c r="B63" s="19" t="s">
        <v>111</v>
      </c>
      <c r="C63" s="18">
        <f t="shared" si="4"/>
        <v>-8.4849999999999994</v>
      </c>
      <c r="AJ63" s="299">
        <v>-8.4849999999999994</v>
      </c>
    </row>
    <row r="64" spans="1:100" x14ac:dyDescent="0.25">
      <c r="A64" s="50">
        <v>46141</v>
      </c>
      <c r="B64" s="19" t="s">
        <v>89</v>
      </c>
      <c r="C64" s="18">
        <f t="shared" si="4"/>
        <v>-25.655000000000001</v>
      </c>
      <c r="AP64" s="293">
        <v>-8.5050000000000008</v>
      </c>
      <c r="AY64" s="299">
        <v>-8.56</v>
      </c>
      <c r="BB64" s="293">
        <v>-8.59</v>
      </c>
    </row>
    <row r="65" spans="1:91" x14ac:dyDescent="0.25">
      <c r="A65" s="50">
        <v>46141</v>
      </c>
      <c r="B65" s="19" t="s">
        <v>100</v>
      </c>
      <c r="C65" s="18">
        <f t="shared" si="4"/>
        <v>-8.5449999999999999</v>
      </c>
      <c r="AD65" s="299">
        <v>-8.5449999999999999</v>
      </c>
    </row>
    <row r="66" spans="1:91" x14ac:dyDescent="0.25">
      <c r="A66" s="50">
        <v>46141</v>
      </c>
      <c r="B66" s="19" t="s">
        <v>97</v>
      </c>
      <c r="C66" s="18">
        <f t="shared" si="4"/>
        <v>-17.010000000000002</v>
      </c>
      <c r="AD66" s="299">
        <v>-8.52</v>
      </c>
      <c r="AJ66" s="299">
        <v>-8.49</v>
      </c>
    </row>
    <row r="67" spans="1:91" x14ac:dyDescent="0.25">
      <c r="A67" s="50">
        <v>46142</v>
      </c>
      <c r="B67" s="19" t="s">
        <v>112</v>
      </c>
      <c r="C67" s="18">
        <f t="shared" si="4"/>
        <v>-24.2</v>
      </c>
      <c r="CM67" s="56">
        <v>-24.2</v>
      </c>
    </row>
    <row r="68" spans="1:91" x14ac:dyDescent="0.25">
      <c r="A68" s="50">
        <v>46142</v>
      </c>
      <c r="B68" s="19" t="s">
        <v>89</v>
      </c>
      <c r="C68" s="18">
        <f t="shared" si="4"/>
        <v>-50.3</v>
      </c>
      <c r="BB68" s="293">
        <v>-8.56</v>
      </c>
      <c r="BE68" s="293">
        <v>-17.100000000000001</v>
      </c>
      <c r="BF68" s="231">
        <v>-7.7</v>
      </c>
      <c r="BH68" s="299">
        <v>-16.940000000000001</v>
      </c>
    </row>
    <row r="69" spans="1:91" x14ac:dyDescent="0.25">
      <c r="A69" s="50">
        <v>46142</v>
      </c>
      <c r="B69" s="19" t="s">
        <v>106</v>
      </c>
      <c r="C69" s="18">
        <f t="shared" si="4"/>
        <v>-17.13</v>
      </c>
      <c r="BE69" s="293">
        <v>-8.5850000000000009</v>
      </c>
      <c r="BK69" s="308">
        <v>-8.5449999999999999</v>
      </c>
    </row>
    <row r="70" spans="1:91" x14ac:dyDescent="0.25">
      <c r="A70" s="50">
        <v>46144</v>
      </c>
      <c r="B70" s="19" t="s">
        <v>107</v>
      </c>
      <c r="C70" s="18">
        <f t="shared" si="4"/>
        <v>-17.004999999999999</v>
      </c>
      <c r="BB70" s="293">
        <v>-8.4250000000000007</v>
      </c>
      <c r="BE70" s="293">
        <v>-8.58</v>
      </c>
    </row>
    <row r="71" spans="1:91" x14ac:dyDescent="0.25">
      <c r="A71" s="50">
        <v>46146</v>
      </c>
      <c r="B71" s="19" t="s">
        <v>91</v>
      </c>
      <c r="C71" s="18">
        <f t="shared" si="4"/>
        <v>-17.14</v>
      </c>
      <c r="AY71" s="299">
        <v>-8.5649999999999995</v>
      </c>
      <c r="BB71" s="293">
        <v>-8.5749999999999993</v>
      </c>
    </row>
    <row r="72" spans="1:91" x14ac:dyDescent="0.25">
      <c r="A72" s="50">
        <v>46148</v>
      </c>
      <c r="B72" s="19" t="s">
        <v>89</v>
      </c>
      <c r="C72" s="18">
        <f t="shared" si="4"/>
        <v>-7.8849999999999998</v>
      </c>
      <c r="Y72" s="231">
        <v>-7.8849999999999998</v>
      </c>
    </row>
    <row r="73" spans="1:91" x14ac:dyDescent="0.25">
      <c r="A73" s="50">
        <v>46148</v>
      </c>
      <c r="B73" s="19" t="s">
        <v>105</v>
      </c>
      <c r="C73" s="18">
        <f t="shared" ref="C73:C136" si="5">SUM(D73:EW73)</f>
        <v>-25.84</v>
      </c>
      <c r="BK73" s="308">
        <v>-8.6</v>
      </c>
      <c r="BO73" s="308">
        <f>-8.67-8.57</f>
        <v>-17.239999999999998</v>
      </c>
    </row>
    <row r="74" spans="1:91" x14ac:dyDescent="0.25">
      <c r="A74" s="50">
        <v>46148</v>
      </c>
      <c r="B74" s="19" t="s">
        <v>92</v>
      </c>
      <c r="C74" s="18">
        <f t="shared" si="5"/>
        <v>-25.524999999999999</v>
      </c>
      <c r="AY74" s="299">
        <v>-25.524999999999999</v>
      </c>
    </row>
    <row r="75" spans="1:91" x14ac:dyDescent="0.25">
      <c r="A75" s="50">
        <v>46148</v>
      </c>
      <c r="B75" s="19" t="s">
        <v>84</v>
      </c>
      <c r="C75" s="18">
        <f t="shared" si="5"/>
        <v>82.53</v>
      </c>
      <c r="CD75" s="63">
        <v>49.62</v>
      </c>
      <c r="CG75" s="316">
        <v>32.909999999999997</v>
      </c>
    </row>
    <row r="76" spans="1:91" x14ac:dyDescent="0.25">
      <c r="A76" s="50">
        <v>46148</v>
      </c>
      <c r="B76" s="19" t="s">
        <v>103</v>
      </c>
      <c r="C76" s="18">
        <f t="shared" si="5"/>
        <v>85.32</v>
      </c>
      <c r="T76" s="293">
        <v>8.3949999999999996</v>
      </c>
      <c r="AJ76" s="299">
        <v>33.909999999999997</v>
      </c>
      <c r="BE76" s="293">
        <v>25.76</v>
      </c>
      <c r="BK76" s="308">
        <v>17.254999999999999</v>
      </c>
    </row>
    <row r="77" spans="1:91" x14ac:dyDescent="0.25">
      <c r="A77" s="50">
        <v>46148</v>
      </c>
      <c r="B77" s="19" t="s">
        <v>92</v>
      </c>
      <c r="C77" s="18">
        <f t="shared" si="5"/>
        <v>-42.555</v>
      </c>
      <c r="AJ77" s="299">
        <v>-25.414999999999999</v>
      </c>
      <c r="BE77" s="293">
        <v>-17.14</v>
      </c>
    </row>
    <row r="78" spans="1:91" x14ac:dyDescent="0.25">
      <c r="A78" s="50">
        <v>46149</v>
      </c>
      <c r="B78" s="280" t="s">
        <v>84</v>
      </c>
      <c r="C78" s="18">
        <f t="shared" si="5"/>
        <v>17.059999999999999</v>
      </c>
      <c r="CG78" s="316">
        <v>17.059999999999999</v>
      </c>
    </row>
    <row r="79" spans="1:91" x14ac:dyDescent="0.25">
      <c r="A79" s="50">
        <v>46149</v>
      </c>
      <c r="B79" s="19" t="s">
        <v>105</v>
      </c>
      <c r="C79" s="18">
        <f t="shared" si="5"/>
        <v>-8.6</v>
      </c>
      <c r="BK79" s="308">
        <v>-8.6</v>
      </c>
    </row>
    <row r="80" spans="1:91" x14ac:dyDescent="0.25">
      <c r="A80" s="50">
        <v>46149</v>
      </c>
      <c r="B80" s="19" t="s">
        <v>89</v>
      </c>
      <c r="C80" s="18">
        <f t="shared" si="5"/>
        <v>-17.015000000000001</v>
      </c>
      <c r="T80" s="293">
        <v>-8.3949999999999996</v>
      </c>
      <c r="BE80" s="293">
        <v>-8.6199999999999992</v>
      </c>
    </row>
    <row r="81" spans="1:85" x14ac:dyDescent="0.25">
      <c r="A81" s="50">
        <v>46149</v>
      </c>
      <c r="B81" s="19" t="s">
        <v>91</v>
      </c>
      <c r="C81" s="18">
        <f t="shared" si="5"/>
        <v>-8.4949999999999992</v>
      </c>
      <c r="AJ81" s="299">
        <v>-8.4949999999999992</v>
      </c>
    </row>
    <row r="82" spans="1:85" x14ac:dyDescent="0.25">
      <c r="A82" s="50">
        <v>46149</v>
      </c>
      <c r="B82" s="280" t="s">
        <v>116</v>
      </c>
      <c r="C82" s="18">
        <f t="shared" si="5"/>
        <v>-49.97</v>
      </c>
      <c r="CG82" s="316">
        <v>-49.97</v>
      </c>
    </row>
    <row r="83" spans="1:85" x14ac:dyDescent="0.25">
      <c r="A83" s="50">
        <v>46153</v>
      </c>
      <c r="B83" s="19" t="s">
        <v>103</v>
      </c>
      <c r="C83" s="18">
        <f t="shared" si="5"/>
        <v>118.51</v>
      </c>
      <c r="AD83" s="299">
        <f>8.465+8.48</f>
        <v>16.945</v>
      </c>
      <c r="AG83" s="299">
        <f>8.465+8.44</f>
        <v>16.905000000000001</v>
      </c>
      <c r="AJ83" s="299">
        <v>33.695</v>
      </c>
      <c r="AY83" s="299">
        <v>33.86</v>
      </c>
      <c r="BB83" s="293">
        <f>8.545+8.56</f>
        <v>17.105</v>
      </c>
    </row>
    <row r="84" spans="1:85" x14ac:dyDescent="0.25">
      <c r="A84" s="50">
        <v>46153</v>
      </c>
      <c r="B84" s="19" t="s">
        <v>103</v>
      </c>
      <c r="C84" s="18">
        <f t="shared" si="5"/>
        <v>25.215</v>
      </c>
      <c r="AM84" s="299">
        <v>8.42</v>
      </c>
      <c r="AS84" s="293">
        <v>8.4</v>
      </c>
      <c r="AV84" s="293">
        <v>8.3949999999999996</v>
      </c>
    </row>
    <row r="85" spans="1:85" x14ac:dyDescent="0.25">
      <c r="A85" s="50">
        <v>46153</v>
      </c>
      <c r="B85" s="19" t="s">
        <v>114</v>
      </c>
      <c r="C85" s="18">
        <f t="shared" si="5"/>
        <v>-8.2100000000000009</v>
      </c>
      <c r="O85" s="231">
        <v>-8.2100000000000009</v>
      </c>
    </row>
    <row r="86" spans="1:85" x14ac:dyDescent="0.25">
      <c r="A86" s="50">
        <v>46153</v>
      </c>
      <c r="B86" s="19" t="s">
        <v>17</v>
      </c>
      <c r="C86" s="18">
        <f t="shared" si="5"/>
        <v>300.28500000000003</v>
      </c>
      <c r="D86" s="168">
        <v>17.09</v>
      </c>
      <c r="E86" s="224">
        <v>30.995000000000001</v>
      </c>
      <c r="F86" s="168">
        <v>33.14</v>
      </c>
      <c r="V86" s="249">
        <v>15.47</v>
      </c>
      <c r="AL86" s="249">
        <v>34.340000000000003</v>
      </c>
      <c r="AO86" s="323">
        <v>33.475000000000001</v>
      </c>
      <c r="AR86" s="323">
        <v>33.755000000000003</v>
      </c>
      <c r="AU86" s="249">
        <v>35.299999999999997</v>
      </c>
      <c r="BD86" s="249">
        <v>33.47</v>
      </c>
      <c r="BG86" s="249">
        <v>33.25</v>
      </c>
    </row>
    <row r="87" spans="1:85" x14ac:dyDescent="0.25">
      <c r="A87" s="50">
        <v>46154</v>
      </c>
      <c r="B87" s="19" t="s">
        <v>115</v>
      </c>
      <c r="C87" s="18">
        <f t="shared" si="5"/>
        <v>-73.42</v>
      </c>
      <c r="D87" s="168">
        <v>-8.3049999999999997</v>
      </c>
      <c r="E87" s="224">
        <v>-31.195</v>
      </c>
      <c r="F87" s="168">
        <v>-33.92</v>
      </c>
    </row>
    <row r="88" spans="1:85" x14ac:dyDescent="0.25">
      <c r="A88" s="50">
        <v>46154</v>
      </c>
      <c r="B88" s="19" t="s">
        <v>83</v>
      </c>
      <c r="C88" s="18">
        <f t="shared" si="5"/>
        <v>-8.4</v>
      </c>
      <c r="AS88" s="293">
        <v>-8.4</v>
      </c>
    </row>
    <row r="89" spans="1:85" x14ac:dyDescent="0.25">
      <c r="A89" s="50">
        <v>46154</v>
      </c>
      <c r="B89" s="19" t="s">
        <v>89</v>
      </c>
      <c r="C89" s="18">
        <f t="shared" si="5"/>
        <v>-13.975</v>
      </c>
      <c r="V89" s="249">
        <v>-5.43</v>
      </c>
      <c r="Y89" s="231">
        <v>-8.5449999999999999</v>
      </c>
    </row>
    <row r="90" spans="1:85" x14ac:dyDescent="0.25">
      <c r="A90" s="50">
        <v>46154</v>
      </c>
      <c r="B90" s="280" t="s">
        <v>107</v>
      </c>
      <c r="C90" s="18">
        <f t="shared" si="5"/>
        <v>-8.42</v>
      </c>
      <c r="AJ90" s="299">
        <v>-8.42</v>
      </c>
    </row>
    <row r="91" spans="1:85" x14ac:dyDescent="0.25">
      <c r="A91" s="50">
        <v>46154</v>
      </c>
      <c r="B91" s="280" t="s">
        <v>100</v>
      </c>
      <c r="C91" s="18">
        <f t="shared" si="5"/>
        <v>-46.265000000000001</v>
      </c>
      <c r="V91" s="249">
        <v>-4.1500000000000004</v>
      </c>
      <c r="Y91" s="231">
        <v>-7.915</v>
      </c>
      <c r="AJ91" s="299">
        <v>-8.4499999999999993</v>
      </c>
      <c r="AL91" s="249">
        <v>-8.6199999999999992</v>
      </c>
      <c r="AO91" s="323">
        <v>-8.3849999999999998</v>
      </c>
      <c r="AU91" s="249">
        <v>-8.7449999999999992</v>
      </c>
    </row>
    <row r="92" spans="1:85" x14ac:dyDescent="0.25">
      <c r="A92" s="50">
        <v>46154</v>
      </c>
      <c r="B92" s="280" t="s">
        <v>92</v>
      </c>
      <c r="C92" s="18">
        <f t="shared" si="5"/>
        <v>-33.755000000000003</v>
      </c>
      <c r="AY92" s="299">
        <v>-16.965</v>
      </c>
      <c r="BD92" s="249">
        <v>-16.79</v>
      </c>
    </row>
    <row r="93" spans="1:85" x14ac:dyDescent="0.25">
      <c r="A93" s="50">
        <v>46154</v>
      </c>
      <c r="B93" s="280" t="s">
        <v>92</v>
      </c>
      <c r="C93" s="18">
        <f t="shared" si="5"/>
        <v>-68.055000000000007</v>
      </c>
      <c r="AL93" s="249">
        <v>-17.09</v>
      </c>
      <c r="AO93" s="323">
        <v>-16.739999999999998</v>
      </c>
      <c r="AR93" s="323">
        <v>-16.594999999999999</v>
      </c>
      <c r="AU93" s="249">
        <v>-17.63</v>
      </c>
    </row>
    <row r="94" spans="1:85" x14ac:dyDescent="0.25">
      <c r="A94" s="50">
        <v>46154</v>
      </c>
      <c r="B94" s="280" t="s">
        <v>84</v>
      </c>
      <c r="C94" s="18">
        <f t="shared" si="5"/>
        <v>-42.13</v>
      </c>
      <c r="AD94" s="299">
        <v>-8.48</v>
      </c>
      <c r="AG94" s="299">
        <v>-8.4649999999999999</v>
      </c>
      <c r="AJ94" s="299">
        <v>-8.3699999999999992</v>
      </c>
      <c r="AM94" s="299">
        <v>-8.42</v>
      </c>
      <c r="AV94" s="293">
        <v>-8.3949999999999996</v>
      </c>
    </row>
    <row r="95" spans="1:85" x14ac:dyDescent="0.25">
      <c r="A95" s="50">
        <v>46155</v>
      </c>
      <c r="B95" s="19" t="s">
        <v>88</v>
      </c>
      <c r="C95" s="18">
        <f t="shared" si="5"/>
        <v>-17.844999999999999</v>
      </c>
      <c r="AR95" s="323">
        <v>-8.92</v>
      </c>
      <c r="AU95" s="249">
        <v>-8.9250000000000007</v>
      </c>
    </row>
    <row r="96" spans="1:85" x14ac:dyDescent="0.25">
      <c r="A96" s="50">
        <v>46156</v>
      </c>
      <c r="B96" s="19" t="s">
        <v>101</v>
      </c>
      <c r="C96" s="18">
        <f t="shared" si="5"/>
        <v>-3.96</v>
      </c>
      <c r="I96" s="45">
        <v>-3.96</v>
      </c>
    </row>
    <row r="97" spans="1:108" x14ac:dyDescent="0.25">
      <c r="A97" s="50">
        <v>46156</v>
      </c>
      <c r="B97" s="19" t="s">
        <v>106</v>
      </c>
      <c r="C97" s="18">
        <f t="shared" si="5"/>
        <v>-16.98</v>
      </c>
      <c r="AL97" s="249">
        <v>-8.6300000000000008</v>
      </c>
      <c r="AO97" s="323">
        <v>-8.35</v>
      </c>
    </row>
    <row r="98" spans="1:108" x14ac:dyDescent="0.25">
      <c r="A98" s="50">
        <v>46157</v>
      </c>
      <c r="B98" s="19" t="s">
        <v>92</v>
      </c>
      <c r="C98" s="18">
        <f t="shared" si="5"/>
        <v>-33.72</v>
      </c>
      <c r="AD98" s="299">
        <v>-8.4649999999999999</v>
      </c>
      <c r="AG98" s="299">
        <v>-8.44</v>
      </c>
      <c r="AJ98" s="299">
        <v>-8.4550000000000001</v>
      </c>
      <c r="BD98" s="249">
        <v>-8.36</v>
      </c>
    </row>
    <row r="99" spans="1:108" x14ac:dyDescent="0.25">
      <c r="A99" s="50">
        <v>46157</v>
      </c>
      <c r="B99" s="19" t="s">
        <v>83</v>
      </c>
      <c r="C99" s="18">
        <f t="shared" si="5"/>
        <v>-33.71</v>
      </c>
      <c r="AR99" s="323">
        <v>-8.24</v>
      </c>
      <c r="AY99" s="299">
        <v>-16.895</v>
      </c>
      <c r="BB99" s="293">
        <v>-8.5749999999999993</v>
      </c>
    </row>
    <row r="100" spans="1:108" x14ac:dyDescent="0.25">
      <c r="A100" s="50">
        <v>46157</v>
      </c>
      <c r="B100" s="19" t="s">
        <v>91</v>
      </c>
      <c r="C100" s="18">
        <f t="shared" si="5"/>
        <v>-24.16</v>
      </c>
      <c r="CV100" s="241">
        <v>-24.16</v>
      </c>
    </row>
    <row r="101" spans="1:108" x14ac:dyDescent="0.25">
      <c r="A101" s="50">
        <v>46157</v>
      </c>
      <c r="B101" s="19" t="s">
        <v>117</v>
      </c>
      <c r="C101" s="18">
        <f t="shared" si="5"/>
        <v>-17.105</v>
      </c>
      <c r="BB101" s="293">
        <v>-17.105</v>
      </c>
    </row>
    <row r="102" spans="1:108" x14ac:dyDescent="0.25">
      <c r="A102" s="50">
        <v>46161</v>
      </c>
      <c r="B102" s="19" t="s">
        <v>16</v>
      </c>
      <c r="C102" s="18">
        <f t="shared" si="5"/>
        <v>197.405</v>
      </c>
      <c r="AQ102" s="231">
        <v>197.405</v>
      </c>
    </row>
    <row r="103" spans="1:108" x14ac:dyDescent="0.25">
      <c r="A103" s="50">
        <v>46162</v>
      </c>
      <c r="B103" s="19" t="s">
        <v>92</v>
      </c>
      <c r="C103" s="18">
        <f t="shared" si="5"/>
        <v>-66.084999999999994</v>
      </c>
      <c r="AQ103" s="231">
        <f>-33.07-33.015</f>
        <v>-66.084999999999994</v>
      </c>
    </row>
    <row r="104" spans="1:108" x14ac:dyDescent="0.25">
      <c r="A104" s="50">
        <v>46162</v>
      </c>
      <c r="B104" s="19" t="s">
        <v>101</v>
      </c>
      <c r="C104" s="18">
        <f t="shared" si="5"/>
        <v>-66.19</v>
      </c>
      <c r="AQ104" s="231">
        <v>-66.19</v>
      </c>
    </row>
    <row r="105" spans="1:108" x14ac:dyDescent="0.25">
      <c r="A105" s="50">
        <v>46162</v>
      </c>
      <c r="B105" s="19" t="s">
        <v>83</v>
      </c>
      <c r="C105" s="18">
        <f t="shared" si="5"/>
        <v>-16.440000000000001</v>
      </c>
      <c r="AQ105" s="231">
        <v>-16.440000000000001</v>
      </c>
    </row>
    <row r="106" spans="1:108" x14ac:dyDescent="0.25">
      <c r="A106" s="50">
        <v>46163</v>
      </c>
      <c r="B106" s="19" t="s">
        <v>88</v>
      </c>
      <c r="C106" s="18">
        <f t="shared" si="5"/>
        <v>-16.440000000000001</v>
      </c>
      <c r="AQ106" s="231">
        <v>-16.440000000000001</v>
      </c>
    </row>
    <row r="107" spans="1:108" x14ac:dyDescent="0.25">
      <c r="A107" s="50">
        <v>46163</v>
      </c>
      <c r="B107" s="19" t="s">
        <v>89</v>
      </c>
      <c r="C107" s="18">
        <f t="shared" si="5"/>
        <v>-15.75</v>
      </c>
      <c r="AQ107" s="231">
        <v>-7.43</v>
      </c>
      <c r="BD107" s="249">
        <v>-8.32</v>
      </c>
    </row>
    <row r="108" spans="1:108" x14ac:dyDescent="0.25">
      <c r="A108" s="50">
        <v>46163</v>
      </c>
      <c r="B108" s="19" t="s">
        <v>105</v>
      </c>
      <c r="C108" s="18">
        <f t="shared" si="5"/>
        <v>-16.545000000000002</v>
      </c>
      <c r="AQ108" s="231">
        <v>-16.545000000000002</v>
      </c>
    </row>
    <row r="109" spans="1:108" x14ac:dyDescent="0.25">
      <c r="A109" s="50">
        <v>46165</v>
      </c>
      <c r="B109" s="19" t="s">
        <v>85</v>
      </c>
      <c r="C109" s="18">
        <f t="shared" si="5"/>
        <v>-27.684999999999999</v>
      </c>
      <c r="CO109" s="56">
        <v>-21</v>
      </c>
      <c r="DD109" s="72">
        <v>-6.6849999999999996</v>
      </c>
    </row>
    <row r="110" spans="1:108" x14ac:dyDescent="0.25">
      <c r="A110" s="50">
        <v>46175</v>
      </c>
      <c r="B110" s="19" t="s">
        <v>100</v>
      </c>
      <c r="C110" s="18">
        <f t="shared" si="5"/>
        <v>-8.2750000000000004</v>
      </c>
      <c r="AQ110" s="231">
        <v>-8.2750000000000004</v>
      </c>
    </row>
    <row r="111" spans="1:108" x14ac:dyDescent="0.25">
      <c r="A111" s="50">
        <v>46175</v>
      </c>
      <c r="B111" s="19" t="s">
        <v>118</v>
      </c>
      <c r="C111" s="18">
        <f t="shared" si="5"/>
        <v>-8.39</v>
      </c>
      <c r="E111" s="224">
        <v>-8.39</v>
      </c>
    </row>
    <row r="112" spans="1:108" x14ac:dyDescent="0.25">
      <c r="A112" s="50">
        <v>46175</v>
      </c>
      <c r="B112" s="19" t="s">
        <v>84</v>
      </c>
      <c r="C112" s="18">
        <f t="shared" si="5"/>
        <v>0.85</v>
      </c>
      <c r="BI112" s="231">
        <v>24.32</v>
      </c>
      <c r="BP112" s="316">
        <v>9.77</v>
      </c>
      <c r="CD112" s="63">
        <v>-33.24</v>
      </c>
    </row>
    <row r="113" spans="1:122" x14ac:dyDescent="0.25">
      <c r="A113" s="50">
        <v>46175</v>
      </c>
      <c r="B113" s="19" t="s">
        <v>92</v>
      </c>
      <c r="C113" s="18">
        <f t="shared" si="5"/>
        <v>-33.685000000000002</v>
      </c>
      <c r="BU113" s="249">
        <v>-8.1549999999999994</v>
      </c>
      <c r="BV113" s="293">
        <v>-8.59</v>
      </c>
      <c r="BY113" s="299">
        <v>-16.940000000000001</v>
      </c>
    </row>
    <row r="114" spans="1:122" x14ac:dyDescent="0.25">
      <c r="A114" s="50">
        <v>46176</v>
      </c>
      <c r="B114" s="19" t="s">
        <v>88</v>
      </c>
      <c r="C114" s="18">
        <f t="shared" si="5"/>
        <v>-8.5749999999999993</v>
      </c>
      <c r="BY114" s="299">
        <v>-8.5749999999999993</v>
      </c>
    </row>
    <row r="115" spans="1:122" x14ac:dyDescent="0.25">
      <c r="A115" s="50">
        <v>46176</v>
      </c>
      <c r="B115" s="19" t="s">
        <v>17</v>
      </c>
      <c r="C115" s="18">
        <f t="shared" si="5"/>
        <v>50.515000000000001</v>
      </c>
      <c r="E115" s="224">
        <v>16.315000000000001</v>
      </c>
      <c r="BG115" s="249">
        <v>34.200000000000003</v>
      </c>
    </row>
    <row r="116" spans="1:122" x14ac:dyDescent="0.25">
      <c r="A116" s="50">
        <v>46176</v>
      </c>
      <c r="B116" s="19" t="s">
        <v>84</v>
      </c>
      <c r="C116" s="18">
        <f t="shared" si="5"/>
        <v>-33.78</v>
      </c>
      <c r="BG116" s="249">
        <v>-33.78</v>
      </c>
    </row>
    <row r="117" spans="1:122" x14ac:dyDescent="0.25">
      <c r="A117" s="50">
        <v>46176</v>
      </c>
      <c r="B117" s="19" t="s">
        <v>118</v>
      </c>
      <c r="C117" s="18">
        <f t="shared" si="5"/>
        <v>-16.315000000000001</v>
      </c>
      <c r="E117" s="224">
        <v>-16.315000000000001</v>
      </c>
    </row>
    <row r="118" spans="1:122" x14ac:dyDescent="0.25">
      <c r="A118" s="50">
        <v>46177</v>
      </c>
      <c r="B118" s="19" t="s">
        <v>92</v>
      </c>
      <c r="C118" s="18">
        <f t="shared" si="5"/>
        <v>-31.47</v>
      </c>
      <c r="V118" s="249">
        <v>-5.89</v>
      </c>
      <c r="BK118" s="308">
        <v>-8.6549999999999994</v>
      </c>
      <c r="BS118" s="308">
        <f>-8.425-8.5</f>
        <v>-16.925000000000001</v>
      </c>
    </row>
    <row r="119" spans="1:122" x14ac:dyDescent="0.25">
      <c r="A119" s="50">
        <v>46178</v>
      </c>
      <c r="B119" s="19" t="s">
        <v>119</v>
      </c>
      <c r="C119" s="18">
        <f t="shared" si="5"/>
        <v>-164.51</v>
      </c>
      <c r="DR119" s="205">
        <v>-164.51</v>
      </c>
    </row>
    <row r="120" spans="1:122" x14ac:dyDescent="0.25">
      <c r="A120" s="50">
        <v>46178</v>
      </c>
      <c r="B120" s="19" t="s">
        <v>105</v>
      </c>
      <c r="C120" s="18">
        <f t="shared" si="5"/>
        <v>-16.52</v>
      </c>
      <c r="BG120" s="249">
        <v>-8.44</v>
      </c>
      <c r="BI120" s="231">
        <v>-8.08</v>
      </c>
    </row>
    <row r="121" spans="1:122" x14ac:dyDescent="0.25">
      <c r="A121" s="50">
        <v>46179</v>
      </c>
      <c r="B121" s="19" t="s">
        <v>103</v>
      </c>
      <c r="C121" s="18">
        <f t="shared" si="5"/>
        <v>211.745</v>
      </c>
      <c r="AA121" s="293">
        <v>8.43</v>
      </c>
      <c r="AG121" s="299">
        <v>8.48</v>
      </c>
      <c r="AJ121" s="299">
        <v>8.34</v>
      </c>
      <c r="AM121" s="299">
        <v>33.725000000000001</v>
      </c>
      <c r="AP121" s="293">
        <v>33.664999999999999</v>
      </c>
      <c r="AS121" s="293">
        <v>33.774999999999999</v>
      </c>
      <c r="AV121" s="293">
        <v>34.034999999999997</v>
      </c>
      <c r="BB121" s="293">
        <v>34.274999999999999</v>
      </c>
      <c r="BE121" s="293">
        <f>8.505+8.515</f>
        <v>17.02</v>
      </c>
    </row>
    <row r="122" spans="1:122" x14ac:dyDescent="0.25">
      <c r="A122" s="50">
        <v>46179</v>
      </c>
      <c r="B122" s="19" t="s">
        <v>103</v>
      </c>
      <c r="C122" s="18">
        <f t="shared" si="5"/>
        <v>16.815000000000001</v>
      </c>
      <c r="AP122" s="293">
        <f>8.41+8.405</f>
        <v>16.815000000000001</v>
      </c>
    </row>
    <row r="123" spans="1:122" x14ac:dyDescent="0.25">
      <c r="A123" s="50">
        <v>46179</v>
      </c>
      <c r="B123" s="19" t="s">
        <v>83</v>
      </c>
      <c r="C123" s="18">
        <f t="shared" si="5"/>
        <v>-51.015000000000001</v>
      </c>
      <c r="AM123" s="299">
        <v>-8.4350000000000005</v>
      </c>
      <c r="AP123" s="293">
        <v>-8.41</v>
      </c>
      <c r="AV123" s="293">
        <f>-8.51-8.515</f>
        <v>-17.024999999999999</v>
      </c>
      <c r="BB123" s="293">
        <f>-8.58-8.565</f>
        <v>-17.145</v>
      </c>
    </row>
    <row r="124" spans="1:122" x14ac:dyDescent="0.25">
      <c r="A124" s="50">
        <v>46179</v>
      </c>
      <c r="B124" s="19" t="s">
        <v>105</v>
      </c>
      <c r="C124" s="18">
        <f t="shared" si="5"/>
        <v>-76.03</v>
      </c>
      <c r="AG124" s="299">
        <v>-8.48</v>
      </c>
      <c r="AM124" s="299">
        <f>-8.425-8.39</f>
        <v>-16.815000000000001</v>
      </c>
      <c r="AP124" s="293">
        <f>-8.41-8.415</f>
        <v>-16.824999999999999</v>
      </c>
      <c r="AS124" s="293">
        <f>-8.41-8.47</f>
        <v>-16.88</v>
      </c>
      <c r="AV124" s="293">
        <v>-8.5150000000000006</v>
      </c>
      <c r="BE124" s="293">
        <v>-8.5150000000000006</v>
      </c>
    </row>
    <row r="125" spans="1:122" x14ac:dyDescent="0.25">
      <c r="A125" s="50">
        <v>46179</v>
      </c>
      <c r="B125" s="19" t="s">
        <v>89</v>
      </c>
      <c r="C125" s="18">
        <f t="shared" si="5"/>
        <v>-16.760000000000002</v>
      </c>
      <c r="AJ125" s="299">
        <v>-8.34</v>
      </c>
      <c r="AP125" s="293">
        <v>-8.42</v>
      </c>
    </row>
    <row r="126" spans="1:122" x14ac:dyDescent="0.25">
      <c r="A126" s="50">
        <v>46179</v>
      </c>
      <c r="B126" s="19" t="s">
        <v>100</v>
      </c>
      <c r="C126" s="18">
        <f t="shared" si="5"/>
        <v>-8.4049999999999994</v>
      </c>
      <c r="AP126" s="293">
        <v>-8.4049999999999994</v>
      </c>
    </row>
    <row r="127" spans="1:122" x14ac:dyDescent="0.25">
      <c r="A127" s="50">
        <v>46179</v>
      </c>
      <c r="B127" s="19" t="s">
        <v>83</v>
      </c>
      <c r="C127" s="18">
        <f t="shared" si="5"/>
        <v>-33.11</v>
      </c>
      <c r="BG127" s="249">
        <v>-16.87</v>
      </c>
      <c r="BI127" s="231">
        <f>-7.395-8.845</f>
        <v>-16.239999999999998</v>
      </c>
    </row>
    <row r="128" spans="1:122" x14ac:dyDescent="0.25">
      <c r="A128" s="50">
        <v>46181</v>
      </c>
      <c r="B128" s="19" t="s">
        <v>91</v>
      </c>
      <c r="C128" s="18">
        <f t="shared" si="5"/>
        <v>-25.515000000000001</v>
      </c>
      <c r="AS128" s="293">
        <v>-8.4499999999999993</v>
      </c>
      <c r="BB128" s="293">
        <v>-8.56</v>
      </c>
      <c r="BE128" s="293">
        <v>-8.5050000000000008</v>
      </c>
    </row>
    <row r="129" spans="1:82" x14ac:dyDescent="0.25">
      <c r="A129" s="50">
        <v>46181</v>
      </c>
      <c r="B129" s="19" t="s">
        <v>84</v>
      </c>
      <c r="C129" s="18">
        <f t="shared" si="5"/>
        <v>-17.585000000000001</v>
      </c>
      <c r="AM129" s="299">
        <v>-8.4749999999999996</v>
      </c>
      <c r="BB129" s="293">
        <v>-8.57</v>
      </c>
      <c r="BL129" s="56">
        <v>25.08</v>
      </c>
      <c r="CD129" s="63">
        <f>-8.38-8.53-8.71</f>
        <v>-25.62</v>
      </c>
    </row>
    <row r="130" spans="1:82" x14ac:dyDescent="0.25">
      <c r="A130" s="50">
        <v>46181</v>
      </c>
      <c r="B130" s="19" t="s">
        <v>106</v>
      </c>
      <c r="C130" s="18">
        <f t="shared" si="5"/>
        <v>-34.94</v>
      </c>
      <c r="BG130" s="249">
        <v>-8.4600000000000009</v>
      </c>
      <c r="BL130" s="56">
        <v>-16.71</v>
      </c>
      <c r="BP130" s="316">
        <v>-9.77</v>
      </c>
    </row>
    <row r="131" spans="1:82" x14ac:dyDescent="0.25">
      <c r="A131" s="50">
        <v>46181</v>
      </c>
      <c r="B131" s="19" t="s">
        <v>111</v>
      </c>
      <c r="C131" s="18">
        <f t="shared" si="5"/>
        <v>-25.36</v>
      </c>
      <c r="AP131" s="293">
        <v>-8.42</v>
      </c>
      <c r="AS131" s="293">
        <v>-8.4450000000000003</v>
      </c>
      <c r="AV131" s="293">
        <v>-8.4949999999999992</v>
      </c>
    </row>
    <row r="132" spans="1:82" x14ac:dyDescent="0.25">
      <c r="A132" s="50">
        <v>46184</v>
      </c>
      <c r="B132" s="19" t="s">
        <v>114</v>
      </c>
      <c r="C132" s="18">
        <f t="shared" si="5"/>
        <v>-25.09</v>
      </c>
      <c r="BY132" s="299">
        <v>-8.57</v>
      </c>
      <c r="BZ132" s="35">
        <v>-16.52</v>
      </c>
    </row>
    <row r="133" spans="1:82" x14ac:dyDescent="0.25">
      <c r="A133" s="50">
        <v>46185</v>
      </c>
      <c r="B133" s="19" t="s">
        <v>99</v>
      </c>
      <c r="C133" s="18">
        <f t="shared" si="5"/>
        <v>-17.594999999999999</v>
      </c>
      <c r="BV133" s="293">
        <v>-8.5950000000000006</v>
      </c>
      <c r="CD133" s="63">
        <v>-9</v>
      </c>
    </row>
    <row r="134" spans="1:82" x14ac:dyDescent="0.25">
      <c r="A134" s="50">
        <v>46186</v>
      </c>
      <c r="B134" s="19" t="s">
        <v>103</v>
      </c>
      <c r="C134" s="18">
        <f t="shared" si="5"/>
        <v>255.07499999999999</v>
      </c>
      <c r="M134" s="293">
        <v>8.4450000000000003</v>
      </c>
      <c r="P134" s="293">
        <v>8.6050000000000004</v>
      </c>
      <c r="R134" s="293">
        <v>8.3949999999999996</v>
      </c>
      <c r="T134" s="293">
        <v>8.41</v>
      </c>
      <c r="W134" s="293">
        <v>8.5150000000000006</v>
      </c>
      <c r="AA134" s="293">
        <f>8.43+8.385</f>
        <v>16.815000000000001</v>
      </c>
      <c r="AG134" s="299">
        <f>8.455+8.48</f>
        <v>16.934999999999999</v>
      </c>
      <c r="AV134" s="293">
        <f>34.08+8.505+8.495+8.515+8.5</f>
        <v>68.094999999999999</v>
      </c>
      <c r="BB134" s="293">
        <f>34.285+8.57+8.555</f>
        <v>51.41</v>
      </c>
      <c r="BE134" s="293">
        <v>34.075000000000003</v>
      </c>
      <c r="BS134" s="308">
        <f>8.38+8.54</f>
        <v>16.920000000000002</v>
      </c>
      <c r="BV134" s="293">
        <v>8.4550000000000001</v>
      </c>
    </row>
    <row r="135" spans="1:82" x14ac:dyDescent="0.25">
      <c r="A135" s="50">
        <v>46189</v>
      </c>
      <c r="B135" s="19" t="s">
        <v>111</v>
      </c>
      <c r="C135" s="18">
        <f t="shared" si="5"/>
        <v>-2.91</v>
      </c>
      <c r="M135" s="293">
        <v>-2.91</v>
      </c>
    </row>
    <row r="136" spans="1:82" x14ac:dyDescent="0.25">
      <c r="A136" s="50">
        <v>46189</v>
      </c>
      <c r="B136" s="19" t="s">
        <v>17</v>
      </c>
      <c r="C136" s="18">
        <f t="shared" si="5"/>
        <v>250.73</v>
      </c>
      <c r="AC136" s="249">
        <v>14.21</v>
      </c>
      <c r="AF136" s="249">
        <v>17.364999999999998</v>
      </c>
      <c r="AI136" s="249">
        <v>16.745000000000001</v>
      </c>
      <c r="AL136" s="249">
        <v>33.130000000000003</v>
      </c>
      <c r="AO136" s="323">
        <v>33.54</v>
      </c>
      <c r="AR136" s="323">
        <v>35.380000000000003</v>
      </c>
      <c r="AX136" s="249">
        <v>33.64</v>
      </c>
      <c r="BG136" s="249">
        <v>33.32</v>
      </c>
      <c r="BN136" s="323">
        <v>33.4</v>
      </c>
    </row>
    <row r="137" spans="1:82" x14ac:dyDescent="0.25">
      <c r="A137" s="50">
        <v>46189</v>
      </c>
      <c r="B137" s="19" t="s">
        <v>84</v>
      </c>
      <c r="C137" s="18">
        <f t="shared" ref="C137:C200" si="6">SUM(D137:EW137)</f>
        <v>-67.004999999999995</v>
      </c>
      <c r="AF137" s="249">
        <v>-8.625</v>
      </c>
      <c r="AI137" s="249">
        <v>-8.4049999999999994</v>
      </c>
      <c r="AL137" s="249">
        <v>-8.2650000000000006</v>
      </c>
      <c r="AR137" s="323">
        <v>-8.8450000000000006</v>
      </c>
      <c r="AV137" s="293">
        <v>-8.5050000000000008</v>
      </c>
      <c r="BG137" s="249">
        <f>-8.3-8.33</f>
        <v>-16.63</v>
      </c>
      <c r="CD137" s="63">
        <v>-7.73</v>
      </c>
    </row>
    <row r="138" spans="1:82" x14ac:dyDescent="0.25">
      <c r="A138" s="50">
        <v>46189</v>
      </c>
      <c r="B138" s="19" t="s">
        <v>120</v>
      </c>
      <c r="C138" s="18">
        <f t="shared" si="6"/>
        <v>-50.97</v>
      </c>
      <c r="AA138" s="293">
        <v>-8.3849999999999998</v>
      </c>
      <c r="AF138" s="249">
        <v>-8.74</v>
      </c>
      <c r="AI138" s="249">
        <v>-8.34</v>
      </c>
      <c r="AL138" s="249">
        <v>-8.23</v>
      </c>
      <c r="AO138" s="323">
        <v>-8.3699999999999992</v>
      </c>
      <c r="AR138" s="323">
        <v>-8.9049999999999994</v>
      </c>
    </row>
    <row r="139" spans="1:82" x14ac:dyDescent="0.25">
      <c r="A139" s="50">
        <v>46189</v>
      </c>
      <c r="B139" s="19" t="s">
        <v>92</v>
      </c>
      <c r="C139" s="18">
        <f t="shared" si="6"/>
        <v>-101.66500000000001</v>
      </c>
      <c r="AL139" s="249">
        <v>-16.635000000000002</v>
      </c>
      <c r="AO139" s="323">
        <v>-16.77</v>
      </c>
      <c r="AR139" s="323">
        <v>-8.8450000000000006</v>
      </c>
      <c r="AV139" s="293">
        <v>-17.015000000000001</v>
      </c>
      <c r="AX139" s="249">
        <v>-25.254999999999999</v>
      </c>
      <c r="BB139" s="293">
        <v>-17.145</v>
      </c>
    </row>
    <row r="140" spans="1:82" x14ac:dyDescent="0.25">
      <c r="A140" s="50">
        <v>46189</v>
      </c>
      <c r="B140" s="19" t="s">
        <v>88</v>
      </c>
      <c r="C140" s="18">
        <f t="shared" si="6"/>
        <v>-17.14</v>
      </c>
      <c r="AV140" s="293">
        <v>-8.5850000000000009</v>
      </c>
      <c r="BB140" s="293">
        <v>-8.5549999999999997</v>
      </c>
    </row>
    <row r="141" spans="1:82" x14ac:dyDescent="0.25">
      <c r="A141" s="50">
        <v>46189</v>
      </c>
      <c r="B141" s="19" t="s">
        <v>89</v>
      </c>
      <c r="C141" s="18">
        <f t="shared" si="6"/>
        <v>-57.45</v>
      </c>
      <c r="AC141" s="249">
        <v>-7.1050000000000004</v>
      </c>
      <c r="AG141" s="299">
        <v>-16.934999999999999</v>
      </c>
      <c r="BG141" s="249">
        <v>-16.690000000000001</v>
      </c>
      <c r="BN141" s="323">
        <v>-16.72</v>
      </c>
    </row>
    <row r="142" spans="1:82" x14ac:dyDescent="0.25">
      <c r="A142" s="50">
        <v>46189</v>
      </c>
      <c r="B142" s="19" t="s">
        <v>105</v>
      </c>
      <c r="C142" s="18">
        <f t="shared" si="6"/>
        <v>-18.52</v>
      </c>
      <c r="P142" s="293">
        <v>-3.03</v>
      </c>
      <c r="AC142" s="249">
        <v>-7.1050000000000004</v>
      </c>
      <c r="AX142" s="249">
        <v>-8.3849999999999998</v>
      </c>
    </row>
    <row r="143" spans="1:82" x14ac:dyDescent="0.25">
      <c r="A143" s="50">
        <v>46191</v>
      </c>
      <c r="B143" s="19" t="s">
        <v>83</v>
      </c>
      <c r="C143" s="18">
        <f t="shared" si="6"/>
        <v>-54.06</v>
      </c>
      <c r="M143" s="293">
        <v>-3.02</v>
      </c>
      <c r="AV143" s="293">
        <v>-8.5050000000000008</v>
      </c>
      <c r="BB143" s="293">
        <v>-8.57</v>
      </c>
      <c r="BE143" s="293">
        <v>-17.045000000000002</v>
      </c>
      <c r="BS143" s="308">
        <v>-16.920000000000002</v>
      </c>
    </row>
    <row r="144" spans="1:82" x14ac:dyDescent="0.25">
      <c r="A144" s="50">
        <v>46192</v>
      </c>
      <c r="B144" s="19" t="s">
        <v>109</v>
      </c>
      <c r="C144" s="18">
        <f t="shared" si="6"/>
        <v>-2.5499999999999998</v>
      </c>
      <c r="W144" s="293">
        <v>-2.5499999999999998</v>
      </c>
    </row>
    <row r="145" spans="1:48" x14ac:dyDescent="0.25">
      <c r="A145" s="50">
        <v>46192</v>
      </c>
      <c r="B145" s="19" t="s">
        <v>103</v>
      </c>
      <c r="C145" s="18">
        <f t="shared" si="6"/>
        <v>101.55</v>
      </c>
      <c r="AM145" s="299">
        <v>33.94</v>
      </c>
      <c r="AP145" s="293">
        <v>33.880000000000003</v>
      </c>
      <c r="AS145" s="293">
        <v>33.729999999999997</v>
      </c>
    </row>
    <row r="146" spans="1:48" x14ac:dyDescent="0.25">
      <c r="A146" s="50">
        <v>46192</v>
      </c>
      <c r="B146" s="19" t="s">
        <v>107</v>
      </c>
      <c r="C146" s="18">
        <f t="shared" si="6"/>
        <v>-16.925000000000001</v>
      </c>
      <c r="AM146" s="299">
        <v>-8.48</v>
      </c>
      <c r="AS146" s="293">
        <v>-8.4450000000000003</v>
      </c>
    </row>
    <row r="147" spans="1:48" x14ac:dyDescent="0.25">
      <c r="A147" s="50">
        <v>46192</v>
      </c>
      <c r="B147" s="19" t="s">
        <v>89</v>
      </c>
      <c r="C147" s="18">
        <f t="shared" si="6"/>
        <v>-42.31</v>
      </c>
      <c r="AM147" s="299">
        <v>-8.4700000000000006</v>
      </c>
      <c r="AS147" s="293">
        <f>-8.42-8.43</f>
        <v>-16.850000000000001</v>
      </c>
      <c r="AV147" s="293">
        <f>-8.49-8.5</f>
        <v>-16.989999999999998</v>
      </c>
    </row>
    <row r="148" spans="1:48" x14ac:dyDescent="0.25">
      <c r="A148" s="50">
        <v>46192</v>
      </c>
      <c r="B148" s="19" t="s">
        <v>84</v>
      </c>
      <c r="C148" s="18">
        <f t="shared" si="6"/>
        <v>-16.989999999999998</v>
      </c>
      <c r="AM148" s="299">
        <v>-16.989999999999998</v>
      </c>
    </row>
    <row r="149" spans="1:48" x14ac:dyDescent="0.25">
      <c r="C149" s="18">
        <f t="shared" si="6"/>
        <v>0</v>
      </c>
    </row>
    <row r="150" spans="1:48" x14ac:dyDescent="0.25">
      <c r="C150" s="18">
        <f t="shared" si="6"/>
        <v>0</v>
      </c>
    </row>
    <row r="151" spans="1:48" x14ac:dyDescent="0.25">
      <c r="C151" s="18">
        <f t="shared" si="6"/>
        <v>0</v>
      </c>
    </row>
    <row r="152" spans="1:48" x14ac:dyDescent="0.25">
      <c r="C152" s="18">
        <f t="shared" si="6"/>
        <v>0</v>
      </c>
    </row>
    <row r="153" spans="1:48" x14ac:dyDescent="0.25">
      <c r="C153" s="18">
        <f t="shared" si="6"/>
        <v>0</v>
      </c>
    </row>
    <row r="154" spans="1:48" x14ac:dyDescent="0.25">
      <c r="C154" s="18">
        <f t="shared" si="6"/>
        <v>0</v>
      </c>
    </row>
    <row r="155" spans="1:48" x14ac:dyDescent="0.25">
      <c r="C155" s="18">
        <f t="shared" si="6"/>
        <v>0</v>
      </c>
    </row>
    <row r="156" spans="1:48" x14ac:dyDescent="0.25">
      <c r="C156" s="18">
        <f t="shared" si="6"/>
        <v>0</v>
      </c>
    </row>
    <row r="157" spans="1:48" x14ac:dyDescent="0.25">
      <c r="C157" s="18">
        <f t="shared" si="6"/>
        <v>0</v>
      </c>
    </row>
    <row r="158" spans="1:48" x14ac:dyDescent="0.25">
      <c r="C158" s="18">
        <f t="shared" si="6"/>
        <v>0</v>
      </c>
    </row>
    <row r="159" spans="1:48" x14ac:dyDescent="0.25">
      <c r="C159" s="18">
        <f t="shared" si="6"/>
        <v>0</v>
      </c>
    </row>
    <row r="160" spans="1:48" x14ac:dyDescent="0.25">
      <c r="C160" s="18">
        <f t="shared" si="6"/>
        <v>0</v>
      </c>
    </row>
    <row r="161" spans="3:3" x14ac:dyDescent="0.25">
      <c r="C161" s="18">
        <f t="shared" si="6"/>
        <v>0</v>
      </c>
    </row>
    <row r="162" spans="3:3" x14ac:dyDescent="0.25">
      <c r="C162" s="18">
        <f t="shared" si="6"/>
        <v>0</v>
      </c>
    </row>
    <row r="163" spans="3:3" x14ac:dyDescent="0.25">
      <c r="C163" s="18">
        <f t="shared" si="6"/>
        <v>0</v>
      </c>
    </row>
    <row r="164" spans="3:3" x14ac:dyDescent="0.25">
      <c r="C164" s="18">
        <f t="shared" si="6"/>
        <v>0</v>
      </c>
    </row>
    <row r="165" spans="3:3" x14ac:dyDescent="0.25">
      <c r="C165" s="18">
        <f t="shared" si="6"/>
        <v>0</v>
      </c>
    </row>
    <row r="166" spans="3:3" x14ac:dyDescent="0.25">
      <c r="C166" s="18">
        <f t="shared" si="6"/>
        <v>0</v>
      </c>
    </row>
    <row r="167" spans="3:3" x14ac:dyDescent="0.25">
      <c r="C167" s="18">
        <f t="shared" si="6"/>
        <v>0</v>
      </c>
    </row>
    <row r="168" spans="3:3" x14ac:dyDescent="0.25">
      <c r="C168" s="18">
        <f t="shared" si="6"/>
        <v>0</v>
      </c>
    </row>
    <row r="169" spans="3:3" x14ac:dyDescent="0.25">
      <c r="C169" s="18">
        <f t="shared" si="6"/>
        <v>0</v>
      </c>
    </row>
    <row r="170" spans="3:3" x14ac:dyDescent="0.25">
      <c r="C170" s="18">
        <f t="shared" si="6"/>
        <v>0</v>
      </c>
    </row>
    <row r="171" spans="3:3" x14ac:dyDescent="0.25">
      <c r="C171" s="18">
        <f t="shared" si="6"/>
        <v>0</v>
      </c>
    </row>
    <row r="172" spans="3:3" x14ac:dyDescent="0.25">
      <c r="C172" s="18">
        <f t="shared" si="6"/>
        <v>0</v>
      </c>
    </row>
    <row r="173" spans="3:3" x14ac:dyDescent="0.25">
      <c r="C173" s="18">
        <f t="shared" si="6"/>
        <v>0</v>
      </c>
    </row>
    <row r="174" spans="3:3" x14ac:dyDescent="0.25">
      <c r="C174" s="18">
        <f t="shared" si="6"/>
        <v>0</v>
      </c>
    </row>
    <row r="175" spans="3:3" x14ac:dyDescent="0.25">
      <c r="C175" s="18">
        <f t="shared" si="6"/>
        <v>0</v>
      </c>
    </row>
    <row r="176" spans="3:3" x14ac:dyDescent="0.25">
      <c r="C176" s="18">
        <f t="shared" si="6"/>
        <v>0</v>
      </c>
    </row>
    <row r="177" spans="3:3" x14ac:dyDescent="0.25">
      <c r="C177" s="18">
        <f t="shared" si="6"/>
        <v>0</v>
      </c>
    </row>
    <row r="178" spans="3:3" x14ac:dyDescent="0.25">
      <c r="C178" s="18">
        <f t="shared" si="6"/>
        <v>0</v>
      </c>
    </row>
    <row r="179" spans="3:3" x14ac:dyDescent="0.25">
      <c r="C179" s="18">
        <f t="shared" si="6"/>
        <v>0</v>
      </c>
    </row>
    <row r="180" spans="3:3" x14ac:dyDescent="0.25">
      <c r="C180" s="18">
        <f t="shared" si="6"/>
        <v>0</v>
      </c>
    </row>
    <row r="181" spans="3:3" x14ac:dyDescent="0.25">
      <c r="C181" s="18">
        <f t="shared" si="6"/>
        <v>0</v>
      </c>
    </row>
    <row r="182" spans="3:3" x14ac:dyDescent="0.25">
      <c r="C182" s="18">
        <f t="shared" si="6"/>
        <v>0</v>
      </c>
    </row>
    <row r="183" spans="3:3" x14ac:dyDescent="0.25">
      <c r="C183" s="18">
        <f t="shared" si="6"/>
        <v>0</v>
      </c>
    </row>
    <row r="184" spans="3:3" x14ac:dyDescent="0.25">
      <c r="C184" s="18">
        <f t="shared" si="6"/>
        <v>0</v>
      </c>
    </row>
    <row r="185" spans="3:3" x14ac:dyDescent="0.25">
      <c r="C185" s="18">
        <f t="shared" si="6"/>
        <v>0</v>
      </c>
    </row>
    <row r="186" spans="3:3" x14ac:dyDescent="0.25">
      <c r="C186" s="18">
        <f t="shared" si="6"/>
        <v>0</v>
      </c>
    </row>
    <row r="187" spans="3:3" x14ac:dyDescent="0.25">
      <c r="C187" s="18">
        <f t="shared" si="6"/>
        <v>0</v>
      </c>
    </row>
    <row r="188" spans="3:3" x14ac:dyDescent="0.25">
      <c r="C188" s="18">
        <f t="shared" si="6"/>
        <v>0</v>
      </c>
    </row>
    <row r="189" spans="3:3" x14ac:dyDescent="0.25">
      <c r="C189" s="18">
        <f t="shared" si="6"/>
        <v>0</v>
      </c>
    </row>
    <row r="190" spans="3:3" x14ac:dyDescent="0.25">
      <c r="C190" s="18">
        <f t="shared" si="6"/>
        <v>0</v>
      </c>
    </row>
    <row r="191" spans="3:3" x14ac:dyDescent="0.25">
      <c r="C191" s="18">
        <f t="shared" si="6"/>
        <v>0</v>
      </c>
    </row>
    <row r="192" spans="3:3" x14ac:dyDescent="0.25">
      <c r="C192" s="18">
        <f t="shared" si="6"/>
        <v>0</v>
      </c>
    </row>
    <row r="193" spans="3:3" x14ac:dyDescent="0.25">
      <c r="C193" s="18">
        <f t="shared" si="6"/>
        <v>0</v>
      </c>
    </row>
    <row r="194" spans="3:3" x14ac:dyDescent="0.25">
      <c r="C194" s="18">
        <f t="shared" si="6"/>
        <v>0</v>
      </c>
    </row>
    <row r="195" spans="3:3" x14ac:dyDescent="0.25">
      <c r="C195" s="18">
        <f t="shared" si="6"/>
        <v>0</v>
      </c>
    </row>
    <row r="196" spans="3:3" x14ac:dyDescent="0.25">
      <c r="C196" s="18">
        <f t="shared" si="6"/>
        <v>0</v>
      </c>
    </row>
    <row r="197" spans="3:3" x14ac:dyDescent="0.25">
      <c r="C197" s="18">
        <f t="shared" si="6"/>
        <v>0</v>
      </c>
    </row>
    <row r="198" spans="3:3" x14ac:dyDescent="0.25">
      <c r="C198" s="18">
        <f t="shared" si="6"/>
        <v>0</v>
      </c>
    </row>
    <row r="199" spans="3:3" x14ac:dyDescent="0.25">
      <c r="C199" s="18">
        <f t="shared" si="6"/>
        <v>0</v>
      </c>
    </row>
    <row r="200" spans="3:3" x14ac:dyDescent="0.25">
      <c r="C200" s="18">
        <f t="shared" si="6"/>
        <v>0</v>
      </c>
    </row>
    <row r="201" spans="3:3" x14ac:dyDescent="0.25">
      <c r="C201" s="18">
        <f t="shared" ref="C201:C264" si="7">SUM(D201:EW201)</f>
        <v>0</v>
      </c>
    </row>
    <row r="202" spans="3:3" x14ac:dyDescent="0.25">
      <c r="C202" s="18">
        <f t="shared" si="7"/>
        <v>0</v>
      </c>
    </row>
    <row r="203" spans="3:3" x14ac:dyDescent="0.25">
      <c r="C203" s="18">
        <f t="shared" si="7"/>
        <v>0</v>
      </c>
    </row>
    <row r="204" spans="3:3" x14ac:dyDescent="0.25">
      <c r="C204" s="18">
        <f t="shared" si="7"/>
        <v>0</v>
      </c>
    </row>
    <row r="205" spans="3:3" x14ac:dyDescent="0.25">
      <c r="C205" s="18">
        <f t="shared" si="7"/>
        <v>0</v>
      </c>
    </row>
    <row r="206" spans="3:3" x14ac:dyDescent="0.25">
      <c r="C206" s="18">
        <f t="shared" si="7"/>
        <v>0</v>
      </c>
    </row>
    <row r="207" spans="3:3" x14ac:dyDescent="0.25">
      <c r="C207" s="18">
        <f t="shared" si="7"/>
        <v>0</v>
      </c>
    </row>
    <row r="208" spans="3:3" x14ac:dyDescent="0.25">
      <c r="C208" s="18">
        <f t="shared" si="7"/>
        <v>0</v>
      </c>
    </row>
    <row r="209" spans="3:3" x14ac:dyDescent="0.25">
      <c r="C209" s="18">
        <f t="shared" si="7"/>
        <v>0</v>
      </c>
    </row>
    <row r="210" spans="3:3" x14ac:dyDescent="0.25">
      <c r="C210" s="18">
        <f t="shared" si="7"/>
        <v>0</v>
      </c>
    </row>
    <row r="211" spans="3:3" x14ac:dyDescent="0.25">
      <c r="C211" s="18">
        <f t="shared" si="7"/>
        <v>0</v>
      </c>
    </row>
    <row r="212" spans="3:3" x14ac:dyDescent="0.25">
      <c r="C212" s="18">
        <f t="shared" si="7"/>
        <v>0</v>
      </c>
    </row>
    <row r="213" spans="3:3" x14ac:dyDescent="0.25">
      <c r="C213" s="18">
        <f t="shared" si="7"/>
        <v>0</v>
      </c>
    </row>
    <row r="214" spans="3:3" x14ac:dyDescent="0.25">
      <c r="C214" s="18">
        <f t="shared" si="7"/>
        <v>0</v>
      </c>
    </row>
    <row r="215" spans="3:3" x14ac:dyDescent="0.25">
      <c r="C215" s="18">
        <f t="shared" si="7"/>
        <v>0</v>
      </c>
    </row>
    <row r="216" spans="3:3" x14ac:dyDescent="0.25">
      <c r="C216" s="18">
        <f t="shared" si="7"/>
        <v>0</v>
      </c>
    </row>
    <row r="217" spans="3:3" x14ac:dyDescent="0.25">
      <c r="C217" s="18">
        <f t="shared" si="7"/>
        <v>0</v>
      </c>
    </row>
    <row r="218" spans="3:3" x14ac:dyDescent="0.25">
      <c r="C218" s="18">
        <f t="shared" si="7"/>
        <v>0</v>
      </c>
    </row>
    <row r="219" spans="3:3" x14ac:dyDescent="0.25">
      <c r="C219" s="18">
        <f t="shared" si="7"/>
        <v>0</v>
      </c>
    </row>
    <row r="220" spans="3:3" x14ac:dyDescent="0.25">
      <c r="C220" s="18">
        <f t="shared" si="7"/>
        <v>0</v>
      </c>
    </row>
    <row r="221" spans="3:3" x14ac:dyDescent="0.25">
      <c r="C221" s="18">
        <f t="shared" si="7"/>
        <v>0</v>
      </c>
    </row>
    <row r="222" spans="3:3" x14ac:dyDescent="0.25">
      <c r="C222" s="18">
        <f t="shared" si="7"/>
        <v>0</v>
      </c>
    </row>
    <row r="223" spans="3:3" x14ac:dyDescent="0.25">
      <c r="C223" s="18">
        <f t="shared" si="7"/>
        <v>0</v>
      </c>
    </row>
    <row r="224" spans="3:3" x14ac:dyDescent="0.25">
      <c r="C224" s="18">
        <f t="shared" si="7"/>
        <v>0</v>
      </c>
    </row>
    <row r="225" spans="3:3" x14ac:dyDescent="0.25">
      <c r="C225" s="18">
        <f t="shared" si="7"/>
        <v>0</v>
      </c>
    </row>
    <row r="226" spans="3:3" x14ac:dyDescent="0.25">
      <c r="C226" s="18">
        <f t="shared" si="7"/>
        <v>0</v>
      </c>
    </row>
    <row r="227" spans="3:3" x14ac:dyDescent="0.25">
      <c r="C227" s="18">
        <f t="shared" si="7"/>
        <v>0</v>
      </c>
    </row>
    <row r="228" spans="3:3" x14ac:dyDescent="0.25">
      <c r="C228" s="18">
        <f t="shared" si="7"/>
        <v>0</v>
      </c>
    </row>
    <row r="229" spans="3:3" x14ac:dyDescent="0.25">
      <c r="C229" s="18">
        <f t="shared" si="7"/>
        <v>0</v>
      </c>
    </row>
    <row r="230" spans="3:3" x14ac:dyDescent="0.25">
      <c r="C230" s="18">
        <f t="shared" si="7"/>
        <v>0</v>
      </c>
    </row>
    <row r="231" spans="3:3" x14ac:dyDescent="0.25">
      <c r="C231" s="18">
        <f t="shared" si="7"/>
        <v>0</v>
      </c>
    </row>
    <row r="232" spans="3:3" x14ac:dyDescent="0.25">
      <c r="C232" s="18">
        <f t="shared" si="7"/>
        <v>0</v>
      </c>
    </row>
    <row r="233" spans="3:3" x14ac:dyDescent="0.25">
      <c r="C233" s="18">
        <f t="shared" si="7"/>
        <v>0</v>
      </c>
    </row>
    <row r="234" spans="3:3" x14ac:dyDescent="0.25">
      <c r="C234" s="18">
        <f t="shared" si="7"/>
        <v>0</v>
      </c>
    </row>
    <row r="235" spans="3:3" x14ac:dyDescent="0.25">
      <c r="C235" s="18">
        <f t="shared" si="7"/>
        <v>0</v>
      </c>
    </row>
    <row r="236" spans="3:3" x14ac:dyDescent="0.25">
      <c r="C236" s="18">
        <f t="shared" si="7"/>
        <v>0</v>
      </c>
    </row>
    <row r="237" spans="3:3" x14ac:dyDescent="0.25">
      <c r="C237" s="18">
        <f t="shared" si="7"/>
        <v>0</v>
      </c>
    </row>
    <row r="238" spans="3:3" x14ac:dyDescent="0.25">
      <c r="C238" s="18">
        <f t="shared" si="7"/>
        <v>0</v>
      </c>
    </row>
    <row r="239" spans="3:3" x14ac:dyDescent="0.25">
      <c r="C239" s="18">
        <f t="shared" si="7"/>
        <v>0</v>
      </c>
    </row>
    <row r="240" spans="3:3" x14ac:dyDescent="0.25">
      <c r="C240" s="18">
        <f t="shared" si="7"/>
        <v>0</v>
      </c>
    </row>
    <row r="241" spans="3:3" x14ac:dyDescent="0.25">
      <c r="C241" s="18">
        <f t="shared" si="7"/>
        <v>0</v>
      </c>
    </row>
    <row r="242" spans="3:3" x14ac:dyDescent="0.25">
      <c r="C242" s="18">
        <f t="shared" si="7"/>
        <v>0</v>
      </c>
    </row>
    <row r="243" spans="3:3" x14ac:dyDescent="0.25">
      <c r="C243" s="18">
        <f t="shared" si="7"/>
        <v>0</v>
      </c>
    </row>
    <row r="244" spans="3:3" x14ac:dyDescent="0.25">
      <c r="C244" s="18">
        <f t="shared" si="7"/>
        <v>0</v>
      </c>
    </row>
    <row r="245" spans="3:3" x14ac:dyDescent="0.25">
      <c r="C245" s="18">
        <f t="shared" si="7"/>
        <v>0</v>
      </c>
    </row>
    <row r="246" spans="3:3" x14ac:dyDescent="0.25">
      <c r="C246" s="18">
        <f t="shared" si="7"/>
        <v>0</v>
      </c>
    </row>
    <row r="247" spans="3:3" x14ac:dyDescent="0.25">
      <c r="C247" s="18">
        <f t="shared" si="7"/>
        <v>0</v>
      </c>
    </row>
    <row r="248" spans="3:3" x14ac:dyDescent="0.25">
      <c r="C248" s="18">
        <f t="shared" si="7"/>
        <v>0</v>
      </c>
    </row>
    <row r="249" spans="3:3" x14ac:dyDescent="0.25">
      <c r="C249" s="18">
        <f t="shared" si="7"/>
        <v>0</v>
      </c>
    </row>
    <row r="250" spans="3:3" x14ac:dyDescent="0.25">
      <c r="C250" s="18">
        <f t="shared" si="7"/>
        <v>0</v>
      </c>
    </row>
    <row r="251" spans="3:3" x14ac:dyDescent="0.25">
      <c r="C251" s="18">
        <f t="shared" si="7"/>
        <v>0</v>
      </c>
    </row>
    <row r="252" spans="3:3" x14ac:dyDescent="0.25">
      <c r="C252" s="18">
        <f t="shared" si="7"/>
        <v>0</v>
      </c>
    </row>
    <row r="253" spans="3:3" x14ac:dyDescent="0.25">
      <c r="C253" s="18">
        <f t="shared" si="7"/>
        <v>0</v>
      </c>
    </row>
    <row r="254" spans="3:3" x14ac:dyDescent="0.25">
      <c r="C254" s="18">
        <f t="shared" si="7"/>
        <v>0</v>
      </c>
    </row>
    <row r="255" spans="3:3" x14ac:dyDescent="0.25">
      <c r="C255" s="18">
        <f t="shared" si="7"/>
        <v>0</v>
      </c>
    </row>
    <row r="256" spans="3:3" x14ac:dyDescent="0.25">
      <c r="C256" s="18">
        <f t="shared" si="7"/>
        <v>0</v>
      </c>
    </row>
    <row r="257" spans="3:3" x14ac:dyDescent="0.25">
      <c r="C257" s="18">
        <f t="shared" si="7"/>
        <v>0</v>
      </c>
    </row>
    <row r="258" spans="3:3" x14ac:dyDescent="0.25">
      <c r="C258" s="18">
        <f t="shared" si="7"/>
        <v>0</v>
      </c>
    </row>
    <row r="259" spans="3:3" x14ac:dyDescent="0.25">
      <c r="C259" s="18">
        <f t="shared" si="7"/>
        <v>0</v>
      </c>
    </row>
    <row r="260" spans="3:3" x14ac:dyDescent="0.25">
      <c r="C260" s="18">
        <f t="shared" si="7"/>
        <v>0</v>
      </c>
    </row>
    <row r="261" spans="3:3" x14ac:dyDescent="0.25">
      <c r="C261" s="18">
        <f t="shared" si="7"/>
        <v>0</v>
      </c>
    </row>
    <row r="262" spans="3:3" x14ac:dyDescent="0.25">
      <c r="C262" s="18">
        <f t="shared" si="7"/>
        <v>0</v>
      </c>
    </row>
    <row r="263" spans="3:3" x14ac:dyDescent="0.25">
      <c r="C263" s="18">
        <f t="shared" si="7"/>
        <v>0</v>
      </c>
    </row>
    <row r="264" spans="3:3" x14ac:dyDescent="0.25">
      <c r="C264" s="18">
        <f t="shared" si="7"/>
        <v>0</v>
      </c>
    </row>
    <row r="265" spans="3:3" x14ac:dyDescent="0.25">
      <c r="C265" s="18">
        <f t="shared" ref="C265:C274" si="8">SUM(D265:EW265)</f>
        <v>0</v>
      </c>
    </row>
    <row r="266" spans="3:3" x14ac:dyDescent="0.25">
      <c r="C266" s="18">
        <f t="shared" si="8"/>
        <v>0</v>
      </c>
    </row>
    <row r="267" spans="3:3" x14ac:dyDescent="0.25">
      <c r="C267" s="18">
        <f t="shared" si="8"/>
        <v>0</v>
      </c>
    </row>
    <row r="268" spans="3:3" x14ac:dyDescent="0.25">
      <c r="C268" s="18">
        <f t="shared" si="8"/>
        <v>0</v>
      </c>
    </row>
    <row r="269" spans="3:3" x14ac:dyDescent="0.25">
      <c r="C269" s="18">
        <f t="shared" si="8"/>
        <v>0</v>
      </c>
    </row>
    <row r="270" spans="3:3" x14ac:dyDescent="0.25">
      <c r="C270" s="18">
        <f t="shared" si="8"/>
        <v>0</v>
      </c>
    </row>
    <row r="271" spans="3:3" x14ac:dyDescent="0.25">
      <c r="C271" s="18">
        <f t="shared" si="8"/>
        <v>0</v>
      </c>
    </row>
    <row r="272" spans="3:3" x14ac:dyDescent="0.25">
      <c r="C272" s="18">
        <f t="shared" si="8"/>
        <v>0</v>
      </c>
    </row>
    <row r="273" spans="3:3" x14ac:dyDescent="0.25">
      <c r="C273" s="18">
        <f t="shared" si="8"/>
        <v>0</v>
      </c>
    </row>
    <row r="274" spans="3:3" x14ac:dyDescent="0.25">
      <c r="C274" s="18">
        <f t="shared" si="8"/>
        <v>0</v>
      </c>
    </row>
    <row r="275" spans="3:3" x14ac:dyDescent="0.25">
      <c r="C275" s="18">
        <f t="shared" ref="C275:C281" si="9">SUM(D275:EW275)</f>
        <v>0</v>
      </c>
    </row>
    <row r="276" spans="3:3" x14ac:dyDescent="0.25">
      <c r="C276" s="18">
        <f t="shared" si="9"/>
        <v>0</v>
      </c>
    </row>
    <row r="277" spans="3:3" x14ac:dyDescent="0.25">
      <c r="C277" s="18">
        <f t="shared" si="9"/>
        <v>0</v>
      </c>
    </row>
    <row r="278" spans="3:3" x14ac:dyDescent="0.25">
      <c r="C278" s="18">
        <f t="shared" si="9"/>
        <v>0</v>
      </c>
    </row>
    <row r="279" spans="3:3" x14ac:dyDescent="0.25">
      <c r="C279" s="18">
        <f t="shared" si="9"/>
        <v>0</v>
      </c>
    </row>
    <row r="280" spans="3:3" x14ac:dyDescent="0.25">
      <c r="C280" s="18">
        <f t="shared" si="9"/>
        <v>0</v>
      </c>
    </row>
    <row r="281" spans="3:3" x14ac:dyDescent="0.25">
      <c r="C281" s="18">
        <f t="shared" si="9"/>
        <v>0</v>
      </c>
    </row>
  </sheetData>
  <sortState ref="A6191:IW6194">
    <sortCondition ref="A6191:A6194"/>
  </sortState>
  <mergeCells count="1">
    <mergeCell ref="A1:B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88"/>
    <col min="2" max="3" width="20.7109375" style="88" customWidth="1"/>
    <col min="4" max="16384" width="9.140625" style="88"/>
  </cols>
  <sheetData>
    <row r="1" spans="1:4" x14ac:dyDescent="0.25">
      <c r="A1" s="89"/>
      <c r="B1" s="89"/>
      <c r="C1" s="89"/>
      <c r="D1" s="89"/>
    </row>
    <row r="2" spans="1:4" x14ac:dyDescent="0.25">
      <c r="A2" s="89"/>
      <c r="B2" s="89"/>
      <c r="C2" s="89"/>
      <c r="D2" s="89"/>
    </row>
    <row r="3" spans="1:4" ht="20.100000000000001" customHeight="1" x14ac:dyDescent="0.25">
      <c r="A3" s="89"/>
      <c r="B3" s="371" t="s">
        <v>10</v>
      </c>
      <c r="C3" s="371"/>
      <c r="D3" s="89"/>
    </row>
    <row r="4" spans="1:4" ht="20.100000000000001" customHeight="1" x14ac:dyDescent="0.25">
      <c r="A4" s="89"/>
      <c r="B4" s="371"/>
      <c r="C4" s="371"/>
      <c r="D4" s="89"/>
    </row>
    <row r="5" spans="1:4" ht="20.100000000000001" customHeight="1" x14ac:dyDescent="0.25">
      <c r="A5" s="89"/>
      <c r="B5" s="90">
        <v>0.3</v>
      </c>
      <c r="C5" s="91">
        <v>3.4</v>
      </c>
      <c r="D5" s="89"/>
    </row>
    <row r="6" spans="1:4" ht="20.100000000000001" customHeight="1" x14ac:dyDescent="0.25">
      <c r="A6" s="89"/>
      <c r="B6" s="90">
        <v>0.5</v>
      </c>
      <c r="C6" s="91">
        <f>21.6+20.86+3.44+17.62</f>
        <v>63.52</v>
      </c>
      <c r="D6" s="89"/>
    </row>
    <row r="7" spans="1:4" ht="20.100000000000001" customHeight="1" x14ac:dyDescent="0.25">
      <c r="A7" s="89"/>
      <c r="B7" s="90">
        <v>0.55000000000000004</v>
      </c>
      <c r="C7" s="91">
        <v>10.46</v>
      </c>
      <c r="D7" s="89"/>
    </row>
    <row r="8" spans="1:4" ht="20.100000000000001" customHeight="1" x14ac:dyDescent="0.25">
      <c r="A8" s="89"/>
      <c r="B8" s="90">
        <v>1</v>
      </c>
      <c r="C8" s="91">
        <v>2.5</v>
      </c>
      <c r="D8" s="89"/>
    </row>
    <row r="9" spans="1:4" ht="20.100000000000001" customHeight="1" x14ac:dyDescent="0.25">
      <c r="A9" s="89"/>
      <c r="B9" s="90">
        <v>1.2</v>
      </c>
      <c r="C9" s="91">
        <v>16.399999999999999</v>
      </c>
      <c r="D9" s="89"/>
    </row>
    <row r="10" spans="1:4" ht="20.100000000000001" customHeight="1" x14ac:dyDescent="0.25">
      <c r="A10" s="89"/>
      <c r="B10" s="90">
        <v>1.3</v>
      </c>
      <c r="C10" s="91">
        <v>4.8</v>
      </c>
      <c r="D10" s="89"/>
    </row>
    <row r="11" spans="1:4" ht="20.100000000000001" customHeight="1" x14ac:dyDescent="0.25">
      <c r="A11" s="89"/>
      <c r="B11" s="90">
        <v>1.4</v>
      </c>
      <c r="C11" s="91">
        <v>9.14</v>
      </c>
      <c r="D11" s="89"/>
    </row>
    <row r="12" spans="1:4" ht="20.100000000000001" customHeight="1" x14ac:dyDescent="0.25">
      <c r="A12" s="89"/>
      <c r="B12" s="90">
        <v>1.6</v>
      </c>
      <c r="C12" s="91">
        <v>9.2200000000000006</v>
      </c>
      <c r="D12" s="89"/>
    </row>
    <row r="13" spans="1:4" ht="20.100000000000001" customHeight="1" x14ac:dyDescent="0.25">
      <c r="A13" s="89"/>
      <c r="B13" s="90">
        <v>1.7</v>
      </c>
      <c r="C13" s="91">
        <v>18.5</v>
      </c>
      <c r="D13" s="89"/>
    </row>
    <row r="14" spans="1:4" ht="20.100000000000001" customHeight="1" x14ac:dyDescent="0.25">
      <c r="A14" s="89"/>
      <c r="B14" s="90">
        <v>1.8</v>
      </c>
      <c r="C14" s="91">
        <v>64.48</v>
      </c>
      <c r="D14" s="89"/>
    </row>
    <row r="15" spans="1:4" ht="20.100000000000001" customHeight="1" x14ac:dyDescent="0.25">
      <c r="A15" s="89"/>
      <c r="B15" s="90">
        <v>3.5</v>
      </c>
      <c r="C15" s="91">
        <v>52.36</v>
      </c>
      <c r="D15" s="89"/>
    </row>
    <row r="16" spans="1:4" x14ac:dyDescent="0.25">
      <c r="A16" s="89"/>
      <c r="B16" s="89"/>
      <c r="C16" s="89"/>
      <c r="D16" s="89"/>
    </row>
    <row r="17" spans="1:4" x14ac:dyDescent="0.25">
      <c r="A17" s="89"/>
      <c r="B17" s="89"/>
      <c r="C17" s="89"/>
      <c r="D17" s="89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77"/>
  <sheetViews>
    <sheetView zoomScale="129" zoomScaleNormal="129" zoomScalePageLayoutView="55" workbookViewId="0">
      <selection activeCell="J1" sqref="J1:J1048576"/>
    </sheetView>
  </sheetViews>
  <sheetFormatPr defaultColWidth="9.140625" defaultRowHeight="26.25" x14ac:dyDescent="0.4"/>
  <cols>
    <col min="1" max="1" width="18.7109375" style="217" customWidth="1"/>
    <col min="2" max="2" width="18.7109375" style="218" customWidth="1"/>
    <col min="3" max="3" width="18.7109375" style="64" customWidth="1"/>
    <col min="4" max="9" width="18.7109375" style="65" customWidth="1"/>
    <col min="10" max="10" width="18.7109375" style="64" customWidth="1"/>
    <col min="11" max="16384" width="9.140625" style="64"/>
  </cols>
  <sheetData>
    <row r="1" spans="1:23" ht="21.95" customHeight="1" x14ac:dyDescent="0.4">
      <c r="A1" s="215" t="s">
        <v>35</v>
      </c>
      <c r="B1" s="181" t="s">
        <v>36</v>
      </c>
      <c r="C1" s="181" t="s">
        <v>27</v>
      </c>
      <c r="D1" s="214" t="s">
        <v>16</v>
      </c>
      <c r="E1" s="214" t="s">
        <v>17</v>
      </c>
      <c r="F1" s="214" t="s">
        <v>3</v>
      </c>
      <c r="G1" s="214" t="s">
        <v>2</v>
      </c>
      <c r="H1" s="214" t="s">
        <v>6</v>
      </c>
      <c r="I1" s="214" t="s">
        <v>5</v>
      </c>
      <c r="J1" s="181" t="s">
        <v>4</v>
      </c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</row>
    <row r="2" spans="1:23" s="73" customFormat="1" ht="18.600000000000001" customHeight="1" x14ac:dyDescent="0.35">
      <c r="A2" s="215" t="s">
        <v>30</v>
      </c>
      <c r="B2" s="181" t="s">
        <v>18</v>
      </c>
      <c r="C2" s="181">
        <v>102</v>
      </c>
      <c r="D2" s="127"/>
      <c r="E2" s="127">
        <f>'STOK DETAY'!D6</f>
        <v>8.7850000000000001</v>
      </c>
      <c r="F2" s="127"/>
      <c r="G2" s="127"/>
      <c r="H2" s="127"/>
      <c r="I2" s="127"/>
      <c r="J2" s="146">
        <f t="shared" ref="J2:J33" si="0">SUM(D2:I2)</f>
        <v>8.7850000000000001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</row>
    <row r="3" spans="1:23" s="73" customFormat="1" ht="18.600000000000001" customHeight="1" x14ac:dyDescent="0.35">
      <c r="A3" s="215" t="s">
        <v>31</v>
      </c>
      <c r="B3" s="181" t="s">
        <v>18</v>
      </c>
      <c r="C3" s="181">
        <v>102</v>
      </c>
      <c r="D3" s="127"/>
      <c r="E3" s="127">
        <f>'STOK DETAY'!E6</f>
        <v>0</v>
      </c>
      <c r="F3" s="127"/>
      <c r="G3" s="127"/>
      <c r="H3" s="127"/>
      <c r="I3" s="127"/>
      <c r="J3" s="146">
        <f t="shared" si="0"/>
        <v>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</row>
    <row r="4" spans="1:23" s="73" customFormat="1" ht="18.600000000000001" customHeight="1" x14ac:dyDescent="0.35">
      <c r="A4" s="215" t="s">
        <v>32</v>
      </c>
      <c r="B4" s="181" t="s">
        <v>18</v>
      </c>
      <c r="C4" s="181">
        <v>102</v>
      </c>
      <c r="D4" s="127"/>
      <c r="E4" s="127">
        <f>'STOK DETAY'!F6</f>
        <v>33.14</v>
      </c>
      <c r="F4" s="127"/>
      <c r="G4" s="127"/>
      <c r="H4" s="127"/>
      <c r="I4" s="127"/>
      <c r="J4" s="146">
        <f t="shared" si="0"/>
        <v>33.14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</row>
    <row r="5" spans="1:23" s="73" customFormat="1" ht="18.600000000000001" customHeight="1" x14ac:dyDescent="0.35">
      <c r="A5" s="215" t="s">
        <v>33</v>
      </c>
      <c r="B5" s="181" t="s">
        <v>18</v>
      </c>
      <c r="C5" s="181"/>
      <c r="D5" s="146"/>
      <c r="E5" s="146">
        <f>'STOK DETAY'!G6</f>
        <v>0</v>
      </c>
      <c r="F5" s="146"/>
      <c r="G5" s="146"/>
      <c r="H5" s="146"/>
      <c r="I5" s="146"/>
      <c r="J5" s="146">
        <f t="shared" si="0"/>
        <v>0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</row>
    <row r="6" spans="1:23" s="73" customFormat="1" ht="18.600000000000001" customHeight="1" x14ac:dyDescent="0.35">
      <c r="A6" s="215" t="s">
        <v>34</v>
      </c>
      <c r="B6" s="181" t="s">
        <v>14</v>
      </c>
      <c r="C6" s="181">
        <v>312</v>
      </c>
      <c r="D6" s="127">
        <f>'STOK DETAY'!H6</f>
        <v>92.75</v>
      </c>
      <c r="E6" s="127"/>
      <c r="F6" s="127"/>
      <c r="G6" s="127"/>
      <c r="H6" s="127"/>
      <c r="I6" s="127"/>
      <c r="J6" s="146">
        <f t="shared" si="0"/>
        <v>92.75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</row>
    <row r="7" spans="1:23" s="73" customFormat="1" ht="18.600000000000001" customHeight="1" x14ac:dyDescent="0.35">
      <c r="A7" s="215" t="s">
        <v>37</v>
      </c>
      <c r="B7" s="181" t="s">
        <v>14</v>
      </c>
      <c r="C7" s="181">
        <v>113</v>
      </c>
      <c r="D7" s="127">
        <f>'STOK DETAY'!I6</f>
        <v>2.1</v>
      </c>
      <c r="E7" s="127"/>
      <c r="F7" s="127"/>
      <c r="G7" s="127"/>
      <c r="H7" s="127"/>
      <c r="I7" s="127"/>
      <c r="J7" s="146">
        <f t="shared" si="0"/>
        <v>2.1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</row>
    <row r="8" spans="1:23" s="73" customFormat="1" ht="18.600000000000001" customHeight="1" x14ac:dyDescent="0.35">
      <c r="A8" s="215" t="s">
        <v>38</v>
      </c>
      <c r="B8" s="181" t="s">
        <v>14</v>
      </c>
      <c r="C8" s="181">
        <v>113</v>
      </c>
      <c r="D8" s="146">
        <f>'STOK DETAY'!J6</f>
        <v>32.06</v>
      </c>
      <c r="E8" s="146"/>
      <c r="F8" s="146"/>
      <c r="G8" s="146"/>
      <c r="H8" s="146"/>
      <c r="I8" s="146"/>
      <c r="J8" s="146">
        <f t="shared" si="0"/>
        <v>32.06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</row>
    <row r="9" spans="1:23" s="73" customFormat="1" ht="18.600000000000001" customHeight="1" x14ac:dyDescent="0.35">
      <c r="A9" s="215" t="s">
        <v>39</v>
      </c>
      <c r="B9" s="181" t="s">
        <v>14</v>
      </c>
      <c r="C9" s="181">
        <v>103</v>
      </c>
      <c r="D9" s="146">
        <f>'STOK DETAY'!K6</f>
        <v>0</v>
      </c>
      <c r="E9" s="146"/>
      <c r="F9" s="146"/>
      <c r="G9" s="146"/>
      <c r="H9" s="146"/>
      <c r="I9" s="146"/>
      <c r="J9" s="146">
        <f t="shared" si="0"/>
        <v>0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</row>
    <row r="10" spans="1:23" s="73" customFormat="1" ht="18.600000000000001" customHeight="1" x14ac:dyDescent="0.35">
      <c r="A10" s="215" t="s">
        <v>40</v>
      </c>
      <c r="B10" s="181" t="s">
        <v>14</v>
      </c>
      <c r="C10" s="181">
        <v>103</v>
      </c>
      <c r="D10" s="146">
        <f>'STOK DETAY'!L6</f>
        <v>0</v>
      </c>
      <c r="E10" s="146"/>
      <c r="F10" s="146">
        <f>'STOK DETAY'!M6</f>
        <v>2.5150000000000001</v>
      </c>
      <c r="G10" s="146"/>
      <c r="H10" s="146"/>
      <c r="I10" s="146"/>
      <c r="J10" s="146">
        <f t="shared" si="0"/>
        <v>2.5150000000000001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</row>
    <row r="11" spans="1:23" s="73" customFormat="1" ht="18.600000000000001" customHeight="1" x14ac:dyDescent="0.35">
      <c r="A11" s="215" t="s">
        <v>41</v>
      </c>
      <c r="B11" s="181" t="s">
        <v>14</v>
      </c>
      <c r="C11" s="181">
        <v>212</v>
      </c>
      <c r="D11" s="146">
        <f>'STOK DETAY'!N6</f>
        <v>89.04</v>
      </c>
      <c r="E11" s="146"/>
      <c r="F11" s="146"/>
      <c r="G11" s="146"/>
      <c r="H11" s="146"/>
      <c r="I11" s="146"/>
      <c r="J11" s="146">
        <f t="shared" si="0"/>
        <v>89.04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</row>
    <row r="12" spans="1:23" s="73" customFormat="1" ht="18.600000000000001" customHeight="1" x14ac:dyDescent="0.35">
      <c r="A12" s="215" t="s">
        <v>42</v>
      </c>
      <c r="B12" s="181" t="s">
        <v>14</v>
      </c>
      <c r="C12" s="181">
        <v>201</v>
      </c>
      <c r="D12" s="146">
        <f>'STOK DETAY'!O6</f>
        <v>0</v>
      </c>
      <c r="E12" s="146"/>
      <c r="F12" s="146">
        <f>'STOK DETAY'!P6</f>
        <v>5.5750000000000002</v>
      </c>
      <c r="G12" s="149"/>
      <c r="H12" s="146"/>
      <c r="I12" s="146"/>
      <c r="J12" s="146">
        <f t="shared" si="0"/>
        <v>5.5750000000000002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</row>
    <row r="13" spans="1:23" s="73" customFormat="1" ht="18.600000000000001" customHeight="1" x14ac:dyDescent="0.35">
      <c r="A13" s="215" t="s">
        <v>43</v>
      </c>
      <c r="B13" s="181" t="s">
        <v>14</v>
      </c>
      <c r="C13" s="181">
        <v>201</v>
      </c>
      <c r="D13" s="146">
        <f>'STOK DETAY'!Q6</f>
        <v>0</v>
      </c>
      <c r="E13" s="146"/>
      <c r="F13" s="146">
        <f>'STOK DETAY'!R6</f>
        <v>8.3949999999999996</v>
      </c>
      <c r="G13" s="146"/>
      <c r="H13" s="146"/>
      <c r="I13" s="146"/>
      <c r="J13" s="146">
        <f t="shared" si="0"/>
        <v>8.3949999999999996</v>
      </c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</row>
    <row r="14" spans="1:23" s="73" customFormat="1" ht="18.600000000000001" customHeight="1" x14ac:dyDescent="0.35">
      <c r="A14" s="215" t="s">
        <v>30</v>
      </c>
      <c r="B14" s="181" t="s">
        <v>14</v>
      </c>
      <c r="C14" s="181">
        <v>202</v>
      </c>
      <c r="D14" s="146">
        <f>'STOK DETAY'!S6</f>
        <v>0</v>
      </c>
      <c r="E14" s="146"/>
      <c r="F14" s="146">
        <f>'STOK DETAY'!T6</f>
        <v>8.41</v>
      </c>
      <c r="G14" s="146"/>
      <c r="H14" s="146"/>
      <c r="I14" s="146"/>
      <c r="J14" s="146">
        <f t="shared" si="0"/>
        <v>8.41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</row>
    <row r="15" spans="1:23" s="73" customFormat="1" ht="18.600000000000001" customHeight="1" x14ac:dyDescent="0.35">
      <c r="A15" s="215" t="s">
        <v>44</v>
      </c>
      <c r="B15" s="181" t="s">
        <v>14</v>
      </c>
      <c r="C15" s="181">
        <v>202</v>
      </c>
      <c r="D15" s="146">
        <f>'STOK DETAY'!U6</f>
        <v>0</v>
      </c>
      <c r="E15" s="146">
        <f>'STOK DETAY'!V6</f>
        <v>0</v>
      </c>
      <c r="F15" s="146">
        <f>'STOK DETAY'!W6</f>
        <v>5.9649999999999999</v>
      </c>
      <c r="G15" s="146"/>
      <c r="H15" s="146"/>
      <c r="I15" s="146"/>
      <c r="J15" s="146">
        <f t="shared" si="0"/>
        <v>5.9649999999999999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</row>
    <row r="16" spans="1:23" s="73" customFormat="1" ht="18.600000000000001" customHeight="1" x14ac:dyDescent="0.35">
      <c r="A16" s="215" t="s">
        <v>45</v>
      </c>
      <c r="B16" s="181" t="s">
        <v>14</v>
      </c>
      <c r="C16" s="181">
        <v>212</v>
      </c>
      <c r="D16" s="146">
        <f>'STOK DETAY'!X6</f>
        <v>24.22</v>
      </c>
      <c r="E16" s="146"/>
      <c r="F16" s="146"/>
      <c r="G16" s="146"/>
      <c r="H16" s="146"/>
      <c r="I16" s="146"/>
      <c r="J16" s="146">
        <f t="shared" si="0"/>
        <v>24.22</v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</row>
    <row r="17" spans="1:23" s="73" customFormat="1" ht="18.600000000000001" customHeight="1" x14ac:dyDescent="0.35">
      <c r="A17" s="215" t="s">
        <v>31</v>
      </c>
      <c r="B17" s="181" t="s">
        <v>14</v>
      </c>
      <c r="C17" s="181">
        <v>203</v>
      </c>
      <c r="D17" s="146">
        <f>'STOK DETAY'!Y6</f>
        <v>0</v>
      </c>
      <c r="E17" s="146">
        <f>'STOK DETAY'!Z6</f>
        <v>0</v>
      </c>
      <c r="F17" s="146">
        <f>'STOK DETAY'!AA6</f>
        <v>16.86</v>
      </c>
      <c r="G17" s="146"/>
      <c r="H17" s="146"/>
      <c r="I17" s="146"/>
      <c r="J17" s="146">
        <f t="shared" si="0"/>
        <v>16.86</v>
      </c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</row>
    <row r="18" spans="1:23" s="73" customFormat="1" ht="18.600000000000001" customHeight="1" x14ac:dyDescent="0.35">
      <c r="A18" s="215" t="s">
        <v>46</v>
      </c>
      <c r="B18" s="181" t="s">
        <v>14</v>
      </c>
      <c r="C18" s="181">
        <v>203</v>
      </c>
      <c r="D18" s="146">
        <f>'STOK DETAY'!AB6</f>
        <v>0</v>
      </c>
      <c r="E18" s="146">
        <f>'STOK DETAY'!AC6</f>
        <v>0</v>
      </c>
      <c r="F18" s="146">
        <f>'STOK DETAY'!AD6</f>
        <v>0</v>
      </c>
      <c r="G18" s="146"/>
      <c r="H18" s="146"/>
      <c r="I18" s="146"/>
      <c r="J18" s="146">
        <f t="shared" si="0"/>
        <v>0</v>
      </c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</row>
    <row r="19" spans="1:23" s="73" customFormat="1" ht="18.600000000000001" customHeight="1" x14ac:dyDescent="0.35">
      <c r="A19" s="215" t="s">
        <v>32</v>
      </c>
      <c r="B19" s="181" t="s">
        <v>14</v>
      </c>
      <c r="C19" s="181">
        <v>301</v>
      </c>
      <c r="D19" s="146">
        <f>'STOK DETAY'!AE6</f>
        <v>0</v>
      </c>
      <c r="E19" s="146">
        <f>'STOK DETAY'!AF6</f>
        <v>0</v>
      </c>
      <c r="F19" s="146">
        <f>'STOK DETAY'!AG6</f>
        <v>0</v>
      </c>
      <c r="G19" s="146"/>
      <c r="H19" s="146"/>
      <c r="I19" s="146"/>
      <c r="J19" s="146">
        <f t="shared" si="0"/>
        <v>0</v>
      </c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</row>
    <row r="20" spans="1:23" s="73" customFormat="1" ht="18.600000000000001" customHeight="1" x14ac:dyDescent="0.35">
      <c r="A20" s="215" t="s">
        <v>47</v>
      </c>
      <c r="B20" s="181" t="s">
        <v>14</v>
      </c>
      <c r="C20" s="181">
        <v>301</v>
      </c>
      <c r="D20" s="146">
        <f>'STOK DETAY'!AH6</f>
        <v>0</v>
      </c>
      <c r="E20" s="146">
        <f>'STOK DETAY'!AI6</f>
        <v>0</v>
      </c>
      <c r="F20" s="146">
        <f>'STOK DETAY'!AJ6</f>
        <v>0</v>
      </c>
      <c r="G20" s="146"/>
      <c r="H20" s="146"/>
      <c r="I20" s="146"/>
      <c r="J20" s="146">
        <f t="shared" si="0"/>
        <v>0</v>
      </c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</row>
    <row r="21" spans="1:23" s="73" customFormat="1" ht="18.600000000000001" customHeight="1" x14ac:dyDescent="0.35">
      <c r="A21" s="215" t="s">
        <v>48</v>
      </c>
      <c r="B21" s="181" t="s">
        <v>14</v>
      </c>
      <c r="C21" s="181">
        <v>302</v>
      </c>
      <c r="D21" s="146">
        <f>'STOK DETAY'!AK6</f>
        <v>0</v>
      </c>
      <c r="E21" s="146">
        <f>'STOK DETAY'!AL6</f>
        <v>0</v>
      </c>
      <c r="F21" s="146">
        <f>'STOK DETAY'!AM6</f>
        <v>0</v>
      </c>
      <c r="G21" s="146"/>
      <c r="H21" s="146"/>
      <c r="I21" s="146"/>
      <c r="J21" s="146">
        <f t="shared" si="0"/>
        <v>0</v>
      </c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</row>
    <row r="22" spans="1:23" s="73" customFormat="1" ht="18.600000000000001" customHeight="1" x14ac:dyDescent="0.35">
      <c r="A22" s="215" t="s">
        <v>49</v>
      </c>
      <c r="B22" s="181" t="s">
        <v>14</v>
      </c>
      <c r="C22" s="181">
        <v>302</v>
      </c>
      <c r="D22" s="146">
        <f>'STOK DETAY'!AN6</f>
        <v>0</v>
      </c>
      <c r="E22" s="146">
        <f>'STOK DETAY'!AO6</f>
        <v>8.4</v>
      </c>
      <c r="F22" s="146">
        <f>'STOK DETAY'!AP6</f>
        <v>33.880000000000003</v>
      </c>
      <c r="G22" s="146"/>
      <c r="H22" s="146"/>
      <c r="I22" s="146"/>
      <c r="J22" s="146">
        <f t="shared" si="0"/>
        <v>42.28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</row>
    <row r="23" spans="1:23" s="73" customFormat="1" ht="18.600000000000001" customHeight="1" x14ac:dyDescent="0.35">
      <c r="A23" s="215" t="s">
        <v>50</v>
      </c>
      <c r="B23" s="181" t="s">
        <v>14</v>
      </c>
      <c r="C23" s="181">
        <v>303</v>
      </c>
      <c r="D23" s="146">
        <f>'STOK DETAY'!AQ6</f>
        <v>0</v>
      </c>
      <c r="E23" s="146">
        <f>'STOK DETAY'!AR6</f>
        <v>8.7850000000000001</v>
      </c>
      <c r="F23" s="146">
        <f>'STOK DETAY'!AS6</f>
        <v>8.4350000000000005</v>
      </c>
      <c r="G23" s="146"/>
      <c r="H23" s="146"/>
      <c r="I23" s="146"/>
      <c r="J23" s="146">
        <f t="shared" si="0"/>
        <v>17.22</v>
      </c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</row>
    <row r="24" spans="1:23" s="73" customFormat="1" ht="18.600000000000001" customHeight="1" x14ac:dyDescent="0.35">
      <c r="A24" s="215" t="s">
        <v>51</v>
      </c>
      <c r="B24" s="181" t="s">
        <v>14</v>
      </c>
      <c r="C24" s="181">
        <v>303</v>
      </c>
      <c r="D24" s="146">
        <f>'STOK DETAY'!AT6</f>
        <v>0</v>
      </c>
      <c r="E24" s="146">
        <f>'STOK DETAY'!AU6</f>
        <v>0</v>
      </c>
      <c r="F24" s="146">
        <f>'STOK DETAY'!AV6</f>
        <v>8.4949999999999992</v>
      </c>
      <c r="G24" s="146"/>
      <c r="H24" s="146"/>
      <c r="I24" s="146"/>
      <c r="J24" s="146">
        <f t="shared" si="0"/>
        <v>8.4949999999999992</v>
      </c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</row>
    <row r="25" spans="1:23" s="73" customFormat="1" ht="18.600000000000001" customHeight="1" x14ac:dyDescent="0.35">
      <c r="A25" s="215" t="s">
        <v>52</v>
      </c>
      <c r="B25" s="181" t="s">
        <v>14</v>
      </c>
      <c r="C25" s="181">
        <v>401</v>
      </c>
      <c r="D25" s="146">
        <f>'STOK DETAY'!AW6</f>
        <v>0</v>
      </c>
      <c r="E25" s="146">
        <f>'STOK DETAY'!AX6</f>
        <v>0</v>
      </c>
      <c r="F25" s="146">
        <f>'STOK DETAY'!AY6</f>
        <v>0</v>
      </c>
      <c r="G25" s="146"/>
      <c r="H25" s="146"/>
      <c r="I25" s="146"/>
      <c r="J25" s="146">
        <f t="shared" si="0"/>
        <v>0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</row>
    <row r="26" spans="1:23" s="73" customFormat="1" ht="18.600000000000001" customHeight="1" x14ac:dyDescent="0.35">
      <c r="A26" s="215" t="s">
        <v>53</v>
      </c>
      <c r="B26" s="181" t="s">
        <v>14</v>
      </c>
      <c r="C26" s="181">
        <v>401</v>
      </c>
      <c r="D26" s="146">
        <f>'STOK DETAY'!AZ6</f>
        <v>0</v>
      </c>
      <c r="E26" s="146">
        <f>'STOK DETAY'!BA6</f>
        <v>0</v>
      </c>
      <c r="F26" s="146">
        <f>'STOK DETAY'!BB6</f>
        <v>17.14</v>
      </c>
      <c r="G26" s="146"/>
      <c r="H26" s="146"/>
      <c r="I26" s="146"/>
      <c r="J26" s="146">
        <f t="shared" si="0"/>
        <v>17.14</v>
      </c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</row>
    <row r="27" spans="1:23" s="73" customFormat="1" ht="18.600000000000001" customHeight="1" x14ac:dyDescent="0.35">
      <c r="A27" s="215" t="s">
        <v>54</v>
      </c>
      <c r="B27" s="181" t="s">
        <v>14</v>
      </c>
      <c r="C27" s="181">
        <v>402</v>
      </c>
      <c r="D27" s="146">
        <f>'STOK DETAY'!BC6</f>
        <v>0</v>
      </c>
      <c r="E27" s="146">
        <f>'STOK DETAY'!BD6</f>
        <v>0</v>
      </c>
      <c r="F27" s="146">
        <f>'STOK DETAY'!BE6</f>
        <v>17.03</v>
      </c>
      <c r="G27" s="146"/>
      <c r="H27" s="146"/>
      <c r="I27" s="146"/>
      <c r="J27" s="146">
        <f t="shared" si="0"/>
        <v>17.03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</row>
    <row r="28" spans="1:23" s="73" customFormat="1" ht="18.600000000000001" customHeight="1" x14ac:dyDescent="0.35">
      <c r="A28" s="215" t="s">
        <v>55</v>
      </c>
      <c r="B28" s="181" t="s">
        <v>14</v>
      </c>
      <c r="C28" s="181">
        <v>402</v>
      </c>
      <c r="D28" s="146">
        <f>'STOK DETAY'!BF6</f>
        <v>0</v>
      </c>
      <c r="E28" s="146">
        <f>'STOK DETAY'!BG6</f>
        <v>0</v>
      </c>
      <c r="F28" s="146">
        <f>'STOK DETAY'!BH6</f>
        <v>0</v>
      </c>
      <c r="G28" s="146"/>
      <c r="H28" s="146"/>
      <c r="I28" s="146"/>
      <c r="J28" s="146">
        <f t="shared" si="0"/>
        <v>0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</row>
    <row r="29" spans="1:23" s="73" customFormat="1" ht="18.600000000000001" customHeight="1" x14ac:dyDescent="0.35">
      <c r="A29" s="215" t="s">
        <v>56</v>
      </c>
      <c r="B29" s="181" t="s">
        <v>14</v>
      </c>
      <c r="C29" s="181">
        <v>403</v>
      </c>
      <c r="D29" s="146">
        <f>'STOK DETAY'!BI6</f>
        <v>0</v>
      </c>
      <c r="E29" s="146">
        <f>'STOK DETAY'!BJ6</f>
        <v>0</v>
      </c>
      <c r="F29" s="146">
        <f>'STOK DETAY'!BK6</f>
        <v>0</v>
      </c>
      <c r="G29" s="146"/>
      <c r="H29" s="146">
        <f>'STOK DETAY'!BL6</f>
        <v>8.3699999999999992</v>
      </c>
      <c r="I29" s="146"/>
      <c r="J29" s="146">
        <f t="shared" si="0"/>
        <v>8.3699999999999992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</row>
    <row r="30" spans="1:23" s="73" customFormat="1" ht="18.600000000000001" customHeight="1" x14ac:dyDescent="0.35">
      <c r="A30" s="215" t="s">
        <v>57</v>
      </c>
      <c r="B30" s="181" t="s">
        <v>14</v>
      </c>
      <c r="C30" s="181">
        <v>403</v>
      </c>
      <c r="D30" s="146">
        <f>'STOK DETAY'!BM6</f>
        <v>0</v>
      </c>
      <c r="E30" s="146">
        <f>'STOK DETAY'!BN6</f>
        <v>16.68</v>
      </c>
      <c r="F30" s="146">
        <f>'STOK DETAY'!BO6</f>
        <v>0</v>
      </c>
      <c r="G30" s="146"/>
      <c r="H30" s="146">
        <f>'STOK DETAY'!BP6</f>
        <v>0</v>
      </c>
      <c r="I30" s="146"/>
      <c r="J30" s="146">
        <f t="shared" si="0"/>
        <v>16.68</v>
      </c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</row>
    <row r="31" spans="1:23" s="73" customFormat="1" ht="18.600000000000001" customHeight="1" x14ac:dyDescent="0.35">
      <c r="A31" s="215" t="s">
        <v>58</v>
      </c>
      <c r="B31" s="181" t="s">
        <v>14</v>
      </c>
      <c r="C31" s="181">
        <v>501</v>
      </c>
      <c r="D31" s="146">
        <f>'STOK DETAY'!BQ6</f>
        <v>0</v>
      </c>
      <c r="E31" s="146">
        <f>'STOK DETAY'!BR6</f>
        <v>0</v>
      </c>
      <c r="F31" s="146">
        <f>'STOK DETAY'!BS6</f>
        <v>0</v>
      </c>
      <c r="G31" s="210"/>
      <c r="H31" s="146"/>
      <c r="I31" s="146"/>
      <c r="J31" s="146">
        <f t="shared" si="0"/>
        <v>0</v>
      </c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</row>
    <row r="32" spans="1:23" s="73" customFormat="1" ht="18.600000000000001" customHeight="1" x14ac:dyDescent="0.35">
      <c r="A32" s="215" t="s">
        <v>59</v>
      </c>
      <c r="B32" s="181" t="s">
        <v>14</v>
      </c>
      <c r="C32" s="181">
        <v>501</v>
      </c>
      <c r="D32" s="146">
        <f>'STOK DETAY'!BT6</f>
        <v>0</v>
      </c>
      <c r="E32" s="146">
        <f>'STOK DETAY'!BU6</f>
        <v>0</v>
      </c>
      <c r="F32" s="146">
        <f>'STOK DETAY'!BV6</f>
        <v>8.4550000000000001</v>
      </c>
      <c r="G32" s="146"/>
      <c r="H32" s="146"/>
      <c r="I32" s="146"/>
      <c r="J32" s="146">
        <f t="shared" si="0"/>
        <v>8.4550000000000001</v>
      </c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</row>
    <row r="33" spans="1:23" s="73" customFormat="1" ht="18.600000000000001" customHeight="1" x14ac:dyDescent="0.35">
      <c r="A33" s="215" t="s">
        <v>60</v>
      </c>
      <c r="B33" s="181" t="s">
        <v>14</v>
      </c>
      <c r="C33" s="181">
        <v>502</v>
      </c>
      <c r="D33" s="146">
        <f>'STOK DETAY'!BW6</f>
        <v>0</v>
      </c>
      <c r="E33" s="146">
        <f>'STOK DETAY'!BX6</f>
        <v>0</v>
      </c>
      <c r="F33" s="146">
        <f>'STOK DETAY'!BY6</f>
        <v>0</v>
      </c>
      <c r="G33" s="146"/>
      <c r="H33" s="146"/>
      <c r="I33" s="146"/>
      <c r="J33" s="146">
        <f t="shared" si="0"/>
        <v>0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</row>
    <row r="34" spans="1:23" s="73" customFormat="1" ht="18.600000000000001" customHeight="1" x14ac:dyDescent="0.35">
      <c r="A34" s="215" t="s">
        <v>61</v>
      </c>
      <c r="B34" s="181" t="s">
        <v>14</v>
      </c>
      <c r="C34" s="181">
        <v>502</v>
      </c>
      <c r="D34" s="146">
        <f>'STOK DETAY'!BZ6</f>
        <v>31.04</v>
      </c>
      <c r="E34" s="146"/>
      <c r="F34" s="146"/>
      <c r="G34" s="146"/>
      <c r="H34" s="146">
        <f>'STOK DETAY'!CA6</f>
        <v>8.44</v>
      </c>
      <c r="I34" s="146">
        <f>'STOK DETAY'!CB6</f>
        <v>1.75</v>
      </c>
      <c r="J34" s="146">
        <f t="shared" ref="J34:J65" si="1">SUM(D34:I34)</f>
        <v>41.23</v>
      </c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</row>
    <row r="35" spans="1:23" s="73" customFormat="1" ht="18.600000000000001" customHeight="1" x14ac:dyDescent="0.35">
      <c r="A35" s="215" t="s">
        <v>62</v>
      </c>
      <c r="B35" s="181" t="s">
        <v>14</v>
      </c>
      <c r="C35" s="181">
        <v>503</v>
      </c>
      <c r="D35" s="146">
        <f>'STOK DETAY'!CC6</f>
        <v>0</v>
      </c>
      <c r="E35" s="146"/>
      <c r="F35" s="146"/>
      <c r="G35" s="146"/>
      <c r="H35" s="146">
        <f>'STOK DETAY'!CD6</f>
        <v>34.75</v>
      </c>
      <c r="I35" s="146"/>
      <c r="J35" s="146">
        <f t="shared" si="1"/>
        <v>34.75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</row>
    <row r="36" spans="1:23" s="73" customFormat="1" ht="18.600000000000001" customHeight="1" x14ac:dyDescent="0.35">
      <c r="A36" s="215" t="s">
        <v>63</v>
      </c>
      <c r="B36" s="181" t="s">
        <v>14</v>
      </c>
      <c r="C36" s="181">
        <v>503</v>
      </c>
      <c r="D36" s="146">
        <f>'STOK DETAY'!CE6</f>
        <v>16.170000000000002</v>
      </c>
      <c r="E36" s="146"/>
      <c r="F36" s="146"/>
      <c r="G36" s="146"/>
      <c r="H36" s="146">
        <f>'STOK DETAY'!CF6</f>
        <v>0</v>
      </c>
      <c r="I36" s="146"/>
      <c r="J36" s="146">
        <f t="shared" si="1"/>
        <v>16.170000000000002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</row>
    <row r="37" spans="1:23" s="73" customFormat="1" ht="18.600000000000001" customHeight="1" x14ac:dyDescent="0.35">
      <c r="A37" s="215" t="s">
        <v>64</v>
      </c>
      <c r="B37" s="181" t="s">
        <v>14</v>
      </c>
      <c r="C37" s="181"/>
      <c r="D37" s="146"/>
      <c r="E37" s="146"/>
      <c r="F37" s="146"/>
      <c r="G37" s="146"/>
      <c r="H37" s="146">
        <f>'STOK DETAY'!CG6</f>
        <v>0</v>
      </c>
      <c r="I37" s="146"/>
      <c r="J37" s="146">
        <f t="shared" si="1"/>
        <v>0</v>
      </c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</row>
    <row r="38" spans="1:23" s="73" customFormat="1" ht="18.600000000000001" customHeight="1" x14ac:dyDescent="0.35">
      <c r="A38" s="215" t="s">
        <v>65</v>
      </c>
      <c r="B38" s="181" t="s">
        <v>14</v>
      </c>
      <c r="C38" s="181">
        <v>211</v>
      </c>
      <c r="D38" s="146"/>
      <c r="E38" s="146"/>
      <c r="F38" s="146"/>
      <c r="G38" s="146"/>
      <c r="H38" s="146">
        <f>'STOK DETAY'!CH6</f>
        <v>27.65</v>
      </c>
      <c r="I38" s="146"/>
      <c r="J38" s="146">
        <f t="shared" si="1"/>
        <v>27.65</v>
      </c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</row>
    <row r="39" spans="1:23" s="73" customFormat="1" ht="18.600000000000001" customHeight="1" x14ac:dyDescent="0.35">
      <c r="A39" s="215" t="s">
        <v>32</v>
      </c>
      <c r="B39" s="181" t="s">
        <v>14</v>
      </c>
      <c r="C39" s="181"/>
      <c r="D39" s="146">
        <f>'STOK DETAY'!CI6</f>
        <v>0</v>
      </c>
      <c r="E39" s="146"/>
      <c r="F39" s="146"/>
      <c r="G39" s="146"/>
      <c r="H39" s="146"/>
      <c r="I39" s="146"/>
      <c r="J39" s="146">
        <f t="shared" si="1"/>
        <v>0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</row>
    <row r="40" spans="1:23" s="73" customFormat="1" ht="18.600000000000001" customHeight="1" x14ac:dyDescent="0.35">
      <c r="A40" s="215" t="s">
        <v>66</v>
      </c>
      <c r="B40" s="181" t="s">
        <v>14</v>
      </c>
      <c r="C40" s="181">
        <v>112</v>
      </c>
      <c r="D40" s="146"/>
      <c r="E40" s="146"/>
      <c r="F40" s="146"/>
      <c r="G40" s="146"/>
      <c r="H40" s="146">
        <f>'STOK DETAY'!CJ6</f>
        <v>28</v>
      </c>
      <c r="I40" s="146"/>
      <c r="J40" s="146">
        <f t="shared" si="1"/>
        <v>28</v>
      </c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</row>
    <row r="41" spans="1:23" s="73" customFormat="1" ht="18.600000000000001" customHeight="1" x14ac:dyDescent="0.35">
      <c r="A41" s="215" t="s">
        <v>67</v>
      </c>
      <c r="B41" s="181" t="s">
        <v>14</v>
      </c>
      <c r="C41" s="181">
        <v>112</v>
      </c>
      <c r="D41" s="146">
        <f>'STOK DETAY'!CK6</f>
        <v>0</v>
      </c>
      <c r="E41" s="146"/>
      <c r="F41" s="146"/>
      <c r="G41" s="146"/>
      <c r="H41" s="146"/>
      <c r="I41" s="146"/>
      <c r="J41" s="146">
        <f t="shared" si="1"/>
        <v>0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</row>
    <row r="42" spans="1:23" s="73" customFormat="1" ht="18.600000000000001" customHeight="1" x14ac:dyDescent="0.35">
      <c r="A42" s="215" t="s">
        <v>68</v>
      </c>
      <c r="B42" s="181" t="s">
        <v>14</v>
      </c>
      <c r="C42" s="181"/>
      <c r="D42" s="146">
        <f>'STOK DETAY'!CL6</f>
        <v>0</v>
      </c>
      <c r="E42" s="146"/>
      <c r="F42" s="146"/>
      <c r="G42" s="146"/>
      <c r="H42" s="146"/>
      <c r="I42" s="146"/>
      <c r="J42" s="146">
        <f t="shared" si="1"/>
        <v>0</v>
      </c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</row>
    <row r="43" spans="1:23" s="73" customFormat="1" ht="18.600000000000001" customHeight="1" x14ac:dyDescent="0.35">
      <c r="A43" s="215" t="s">
        <v>69</v>
      </c>
      <c r="B43" s="181" t="s">
        <v>14</v>
      </c>
      <c r="C43" s="181">
        <v>211</v>
      </c>
      <c r="D43" s="146"/>
      <c r="E43" s="146"/>
      <c r="F43" s="146"/>
      <c r="G43" s="146"/>
      <c r="H43" s="146">
        <f>'STOK DETAY'!CM6</f>
        <v>21.65</v>
      </c>
      <c r="I43" s="146"/>
      <c r="J43" s="146">
        <f t="shared" si="1"/>
        <v>21.65</v>
      </c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</row>
    <row r="44" spans="1:23" s="73" customFormat="1" ht="18.600000000000001" customHeight="1" x14ac:dyDescent="0.35">
      <c r="A44" s="215" t="s">
        <v>70</v>
      </c>
      <c r="B44" s="181" t="s">
        <v>14</v>
      </c>
      <c r="C44" s="181"/>
      <c r="D44" s="146"/>
      <c r="E44" s="146"/>
      <c r="F44" s="146"/>
      <c r="G44" s="146"/>
      <c r="H44" s="146"/>
      <c r="I44" s="146"/>
      <c r="J44" s="146">
        <f t="shared" si="1"/>
        <v>0</v>
      </c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</row>
    <row r="45" spans="1:23" s="73" customFormat="1" ht="18.600000000000001" customHeight="1" x14ac:dyDescent="0.35">
      <c r="A45" s="215" t="s">
        <v>33</v>
      </c>
      <c r="B45" s="181" t="s">
        <v>14</v>
      </c>
      <c r="C45" s="181">
        <v>211</v>
      </c>
      <c r="D45" s="146"/>
      <c r="E45" s="146"/>
      <c r="F45" s="146"/>
      <c r="G45" s="146"/>
      <c r="H45" s="146">
        <f>'STOK DETAY'!CO6</f>
        <v>24.4</v>
      </c>
      <c r="I45" s="146"/>
      <c r="J45" s="146">
        <f t="shared" si="1"/>
        <v>24.4</v>
      </c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</row>
    <row r="46" spans="1:23" s="73" customFormat="1" ht="18.600000000000001" customHeight="1" x14ac:dyDescent="0.35">
      <c r="A46" s="215" t="s">
        <v>71</v>
      </c>
      <c r="B46" s="181" t="s">
        <v>14</v>
      </c>
      <c r="C46" s="181">
        <v>211</v>
      </c>
      <c r="D46" s="146"/>
      <c r="E46" s="146"/>
      <c r="F46" s="146"/>
      <c r="G46" s="146">
        <f>'STOK DETAY'!CP6</f>
        <v>9.1999999999999993</v>
      </c>
      <c r="H46" s="146"/>
      <c r="I46" s="146"/>
      <c r="J46" s="146">
        <f t="shared" si="1"/>
        <v>9.1999999999999993</v>
      </c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</row>
    <row r="47" spans="1:23" s="73" customFormat="1" ht="18.600000000000001" customHeight="1" x14ac:dyDescent="0.35">
      <c r="A47" s="215" t="s">
        <v>72</v>
      </c>
      <c r="B47" s="181" t="s">
        <v>14</v>
      </c>
      <c r="C47" s="181">
        <v>113</v>
      </c>
      <c r="D47" s="146"/>
      <c r="E47" s="146"/>
      <c r="F47" s="146"/>
      <c r="G47" s="146"/>
      <c r="H47" s="146">
        <f>'STOK DETAY'!CQ6</f>
        <v>89.45</v>
      </c>
      <c r="I47" s="146"/>
      <c r="J47" s="146">
        <f t="shared" si="1"/>
        <v>89.45</v>
      </c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</row>
    <row r="48" spans="1:23" s="73" customFormat="1" ht="18.600000000000001" customHeight="1" x14ac:dyDescent="0.35">
      <c r="A48" s="215" t="s">
        <v>73</v>
      </c>
      <c r="B48" s="181" t="s">
        <v>14</v>
      </c>
      <c r="C48" s="181">
        <v>112</v>
      </c>
      <c r="D48" s="146"/>
      <c r="E48" s="146"/>
      <c r="F48" s="146"/>
      <c r="G48" s="146"/>
      <c r="H48" s="146">
        <f>'STOK DETAY'!CR6</f>
        <v>21.45</v>
      </c>
      <c r="I48" s="146"/>
      <c r="J48" s="146">
        <f t="shared" si="1"/>
        <v>21.45</v>
      </c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</row>
    <row r="49" spans="1:23" s="73" customFormat="1" ht="18.600000000000001" customHeight="1" x14ac:dyDescent="0.35">
      <c r="A49" s="215" t="s">
        <v>74</v>
      </c>
      <c r="B49" s="181" t="s">
        <v>12</v>
      </c>
      <c r="C49" s="214">
        <v>312</v>
      </c>
      <c r="D49" s="146">
        <f>'STOK DETAY'!CS6</f>
        <v>54.058</v>
      </c>
      <c r="E49" s="146"/>
      <c r="F49" s="146"/>
      <c r="G49" s="146"/>
      <c r="H49" s="146"/>
      <c r="I49" s="146"/>
      <c r="J49" s="146">
        <f t="shared" si="1"/>
        <v>54.058</v>
      </c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</row>
    <row r="50" spans="1:23" s="73" customFormat="1" ht="18.600000000000001" customHeight="1" x14ac:dyDescent="0.35">
      <c r="A50" s="215" t="s">
        <v>75</v>
      </c>
      <c r="B50" s="148" t="s">
        <v>12</v>
      </c>
      <c r="C50" s="214"/>
      <c r="D50" s="146">
        <f>'STOK DETAY'!CT6</f>
        <v>0</v>
      </c>
      <c r="E50" s="146"/>
      <c r="F50" s="146"/>
      <c r="G50" s="146"/>
      <c r="H50" s="146"/>
      <c r="I50" s="146"/>
      <c r="J50" s="146">
        <f t="shared" si="1"/>
        <v>0</v>
      </c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</row>
    <row r="51" spans="1:23" s="73" customFormat="1" ht="18.600000000000001" customHeight="1" x14ac:dyDescent="0.35">
      <c r="A51" s="215" t="s">
        <v>76</v>
      </c>
      <c r="B51" s="148" t="s">
        <v>12</v>
      </c>
      <c r="C51" s="214"/>
      <c r="D51" s="146">
        <f>'STOK DETAY'!CU6</f>
        <v>0</v>
      </c>
      <c r="E51" s="146"/>
      <c r="F51" s="146"/>
      <c r="G51" s="146"/>
      <c r="H51" s="146"/>
      <c r="I51" s="146"/>
      <c r="J51" s="146">
        <f t="shared" si="1"/>
        <v>0</v>
      </c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</row>
    <row r="52" spans="1:23" s="73" customFormat="1" ht="18.600000000000001" customHeight="1" x14ac:dyDescent="0.35">
      <c r="A52" s="215" t="s">
        <v>39</v>
      </c>
      <c r="B52" s="148" t="s">
        <v>12</v>
      </c>
      <c r="C52" s="214">
        <v>212</v>
      </c>
      <c r="D52" s="146">
        <f>'STOK DETAY'!CV6</f>
        <v>0</v>
      </c>
      <c r="E52" s="146">
        <f>'STOK DETAY'!CW6</f>
        <v>0</v>
      </c>
      <c r="F52" s="146"/>
      <c r="G52" s="146"/>
      <c r="H52" s="146"/>
      <c r="I52" s="146"/>
      <c r="J52" s="146">
        <f t="shared" si="1"/>
        <v>0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</row>
    <row r="53" spans="1:23" s="73" customFormat="1" ht="18.600000000000001" customHeight="1" x14ac:dyDescent="0.35">
      <c r="A53" s="215" t="s">
        <v>77</v>
      </c>
      <c r="B53" s="148" t="s">
        <v>12</v>
      </c>
      <c r="C53" s="214">
        <v>212</v>
      </c>
      <c r="D53" s="146"/>
      <c r="E53" s="146"/>
      <c r="F53" s="146"/>
      <c r="G53" s="146">
        <f>'STOK DETAY'!CX6</f>
        <v>0</v>
      </c>
      <c r="H53" s="146"/>
      <c r="I53" s="146"/>
      <c r="J53" s="146">
        <f t="shared" si="1"/>
        <v>0</v>
      </c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</row>
    <row r="54" spans="1:23" s="73" customFormat="1" ht="18.600000000000001" customHeight="1" x14ac:dyDescent="0.35">
      <c r="A54" s="215" t="s">
        <v>40</v>
      </c>
      <c r="B54" s="148" t="s">
        <v>12</v>
      </c>
      <c r="C54" s="214"/>
      <c r="D54" s="146">
        <f>'STOK DETAY'!CY6</f>
        <v>0</v>
      </c>
      <c r="E54" s="146">
        <f>'STOK DETAY'!CZ6</f>
        <v>0</v>
      </c>
      <c r="F54" s="146"/>
      <c r="G54" s="146">
        <f>'STOK DETAY'!DA6</f>
        <v>0</v>
      </c>
      <c r="H54" s="146"/>
      <c r="I54" s="146"/>
      <c r="J54" s="146">
        <f t="shared" si="1"/>
        <v>0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</row>
    <row r="55" spans="1:23" s="73" customFormat="1" ht="18.600000000000001" customHeight="1" x14ac:dyDescent="0.35">
      <c r="A55" s="215" t="s">
        <v>41</v>
      </c>
      <c r="B55" s="148" t="s">
        <v>12</v>
      </c>
      <c r="C55" s="214"/>
      <c r="D55" s="146">
        <f>'STOK DETAY'!DB6</f>
        <v>0</v>
      </c>
      <c r="E55" s="146"/>
      <c r="F55" s="146"/>
      <c r="G55" s="146"/>
      <c r="H55" s="146"/>
      <c r="I55" s="146"/>
      <c r="J55" s="146">
        <f t="shared" si="1"/>
        <v>0</v>
      </c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</row>
    <row r="56" spans="1:23" s="73" customFormat="1" ht="18.600000000000001" customHeight="1" x14ac:dyDescent="0.35">
      <c r="A56" s="215" t="s">
        <v>42</v>
      </c>
      <c r="B56" s="148" t="s">
        <v>12</v>
      </c>
      <c r="C56" s="214">
        <v>311</v>
      </c>
      <c r="D56" s="146">
        <f>'STOK DETAY'!DC6</f>
        <v>0</v>
      </c>
      <c r="E56" s="146">
        <f>'STOK DETAY'!DD6</f>
        <v>6.6349999999999998</v>
      </c>
      <c r="F56" s="146"/>
      <c r="G56" s="146"/>
      <c r="H56" s="146"/>
      <c r="I56" s="146"/>
      <c r="J56" s="146">
        <f t="shared" si="1"/>
        <v>6.6349999999999998</v>
      </c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</row>
    <row r="57" spans="1:23" s="73" customFormat="1" ht="18.600000000000001" customHeight="1" x14ac:dyDescent="0.35">
      <c r="A57" s="215" t="s">
        <v>78</v>
      </c>
      <c r="B57" s="148" t="s">
        <v>12</v>
      </c>
      <c r="C57" s="214">
        <v>311</v>
      </c>
      <c r="D57" s="146">
        <f>'STOK DETAY'!DE6</f>
        <v>8.9849999999999994</v>
      </c>
      <c r="E57" s="146"/>
      <c r="F57" s="146"/>
      <c r="G57" s="146"/>
      <c r="H57" s="146"/>
      <c r="I57" s="146"/>
      <c r="J57" s="146">
        <f t="shared" si="1"/>
        <v>8.9849999999999994</v>
      </c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</row>
    <row r="58" spans="1:23" s="73" customFormat="1" ht="18.600000000000001" customHeight="1" x14ac:dyDescent="0.35">
      <c r="A58" s="215" t="s">
        <v>43</v>
      </c>
      <c r="B58" s="148" t="s">
        <v>12</v>
      </c>
      <c r="C58" s="214"/>
      <c r="D58" s="146">
        <f>'STOK DETAY'!DF6</f>
        <v>0</v>
      </c>
      <c r="E58" s="146"/>
      <c r="F58" s="146"/>
      <c r="G58" s="146"/>
      <c r="H58" s="146"/>
      <c r="I58" s="146"/>
      <c r="J58" s="146">
        <f t="shared" si="1"/>
        <v>0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</row>
    <row r="59" spans="1:23" s="73" customFormat="1" ht="18.600000000000001" customHeight="1" x14ac:dyDescent="0.35">
      <c r="A59" s="215" t="s">
        <v>79</v>
      </c>
      <c r="B59" s="148" t="s">
        <v>12</v>
      </c>
      <c r="C59" s="214"/>
      <c r="D59" s="146">
        <f>'STOK DETAY'!DG6</f>
        <v>0</v>
      </c>
      <c r="E59" s="146"/>
      <c r="F59" s="146"/>
      <c r="G59" s="146"/>
      <c r="H59" s="146"/>
      <c r="I59" s="146"/>
      <c r="J59" s="146">
        <f t="shared" si="1"/>
        <v>0</v>
      </c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</row>
    <row r="60" spans="1:23" s="73" customFormat="1" ht="18.600000000000001" customHeight="1" x14ac:dyDescent="0.35">
      <c r="A60" s="215" t="s">
        <v>30</v>
      </c>
      <c r="B60" s="148" t="s">
        <v>12</v>
      </c>
      <c r="C60" s="214"/>
      <c r="D60" s="146">
        <f>'STOK DETAY'!DH6</f>
        <v>0</v>
      </c>
      <c r="E60" s="146"/>
      <c r="F60" s="146"/>
      <c r="G60" s="146"/>
      <c r="H60" s="146"/>
      <c r="I60" s="146"/>
      <c r="J60" s="146">
        <f t="shared" si="1"/>
        <v>0</v>
      </c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</row>
    <row r="61" spans="1:23" s="73" customFormat="1" ht="18.600000000000001" customHeight="1" x14ac:dyDescent="0.35">
      <c r="A61" s="215" t="s">
        <v>44</v>
      </c>
      <c r="B61" s="148" t="s">
        <v>12</v>
      </c>
      <c r="C61" s="214">
        <v>213</v>
      </c>
      <c r="D61" s="146"/>
      <c r="E61" s="146"/>
      <c r="F61" s="146"/>
      <c r="G61" s="146">
        <f>'STOK DETAY'!DJ6</f>
        <v>93.39</v>
      </c>
      <c r="H61" s="146"/>
      <c r="I61" s="146"/>
      <c r="J61" s="146">
        <f t="shared" si="1"/>
        <v>93.39</v>
      </c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</row>
    <row r="62" spans="1:23" s="73" customFormat="1" ht="18.600000000000001" customHeight="1" x14ac:dyDescent="0.35">
      <c r="A62" s="215" t="s">
        <v>44</v>
      </c>
      <c r="B62" s="148" t="s">
        <v>19</v>
      </c>
      <c r="C62" s="214">
        <v>213</v>
      </c>
      <c r="D62" s="146">
        <f>'STOK DETAY'!DK6</f>
        <v>14.9</v>
      </c>
      <c r="E62" s="146"/>
      <c r="F62" s="146"/>
      <c r="G62" s="146"/>
      <c r="H62" s="146"/>
      <c r="I62" s="146"/>
      <c r="J62" s="146">
        <f t="shared" si="1"/>
        <v>14.9</v>
      </c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</row>
    <row r="63" spans="1:23" s="73" customFormat="1" ht="18.600000000000001" customHeight="1" x14ac:dyDescent="0.35">
      <c r="A63" s="215" t="s">
        <v>32</v>
      </c>
      <c r="B63" s="148" t="s">
        <v>12</v>
      </c>
      <c r="C63" s="214">
        <v>312</v>
      </c>
      <c r="D63" s="146"/>
      <c r="E63" s="146"/>
      <c r="F63" s="146"/>
      <c r="G63" s="146">
        <f>'STOK DETAY'!DL6</f>
        <v>6.02</v>
      </c>
      <c r="H63" s="146"/>
      <c r="I63" s="146"/>
      <c r="J63" s="146">
        <f t="shared" si="1"/>
        <v>6.02</v>
      </c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</row>
    <row r="64" spans="1:23" s="73" customFormat="1" ht="18.600000000000001" customHeight="1" x14ac:dyDescent="0.35">
      <c r="A64" s="215" t="s">
        <v>53</v>
      </c>
      <c r="B64" s="148" t="s">
        <v>12</v>
      </c>
      <c r="C64" s="214">
        <v>312</v>
      </c>
      <c r="D64" s="146">
        <f>'STOK DETAY'!DM6</f>
        <v>2.25</v>
      </c>
      <c r="E64" s="146"/>
      <c r="F64" s="146"/>
      <c r="G64" s="146"/>
      <c r="H64" s="146"/>
      <c r="I64" s="146"/>
      <c r="J64" s="146">
        <f t="shared" si="1"/>
        <v>2.25</v>
      </c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</row>
    <row r="65" spans="1:23" s="73" customFormat="1" ht="18.600000000000001" customHeight="1" x14ac:dyDescent="0.35">
      <c r="A65" s="215" t="s">
        <v>42</v>
      </c>
      <c r="B65" s="180" t="s">
        <v>10</v>
      </c>
      <c r="C65" s="214">
        <v>511</v>
      </c>
      <c r="D65" s="146"/>
      <c r="E65" s="210"/>
      <c r="F65" s="146">
        <f>'STOK DETAY'!DN6</f>
        <v>3.28</v>
      </c>
      <c r="G65" s="146"/>
      <c r="H65" s="146"/>
      <c r="I65" s="146"/>
      <c r="J65" s="146">
        <f t="shared" si="1"/>
        <v>3.28</v>
      </c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</row>
    <row r="66" spans="1:23" s="73" customFormat="1" ht="18.600000000000001" customHeight="1" x14ac:dyDescent="0.35">
      <c r="A66" s="215" t="s">
        <v>31</v>
      </c>
      <c r="B66" s="180" t="s">
        <v>10</v>
      </c>
      <c r="C66" s="214">
        <v>511</v>
      </c>
      <c r="D66" s="146"/>
      <c r="E66" s="210"/>
      <c r="F66" s="146">
        <f>'STOK DETAY'!DO6</f>
        <v>63.54</v>
      </c>
      <c r="G66" s="146"/>
      <c r="H66" s="146"/>
      <c r="I66" s="146"/>
      <c r="J66" s="146">
        <f t="shared" ref="J66:J67" si="2">SUM(D66:I66)</f>
        <v>63.54</v>
      </c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</row>
    <row r="67" spans="1:23" s="73" customFormat="1" ht="18.600000000000001" customHeight="1" x14ac:dyDescent="0.35">
      <c r="A67" s="215" t="s">
        <v>46</v>
      </c>
      <c r="B67" s="180" t="s">
        <v>10</v>
      </c>
      <c r="C67" s="214">
        <v>511</v>
      </c>
      <c r="D67" s="146"/>
      <c r="E67" s="210"/>
      <c r="F67" s="146">
        <f>'STOK DETAY'!DP6</f>
        <v>10.45</v>
      </c>
      <c r="G67" s="146"/>
      <c r="H67" s="146"/>
      <c r="I67" s="146"/>
      <c r="J67" s="146">
        <f t="shared" si="2"/>
        <v>10.45</v>
      </c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</row>
    <row r="68" spans="1:23" s="73" customFormat="1" ht="18.600000000000001" customHeight="1" x14ac:dyDescent="0.35">
      <c r="A68" s="215" t="s">
        <v>32</v>
      </c>
      <c r="B68" s="180" t="s">
        <v>10</v>
      </c>
      <c r="C68" s="214">
        <v>101</v>
      </c>
      <c r="D68" s="210"/>
      <c r="E68" s="146"/>
      <c r="F68" s="146"/>
      <c r="G68" s="146">
        <f>'STOK DETAY'!DQ6</f>
        <v>0</v>
      </c>
      <c r="H68" s="146"/>
      <c r="I68" s="146"/>
      <c r="J68" s="146">
        <f>SUM(E68:I68)</f>
        <v>0</v>
      </c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</row>
    <row r="69" spans="1:23" s="73" customFormat="1" ht="18.600000000000001" customHeight="1" x14ac:dyDescent="0.35">
      <c r="A69" s="215" t="s">
        <v>48</v>
      </c>
      <c r="B69" s="180" t="s">
        <v>10</v>
      </c>
      <c r="C69" s="214">
        <v>101</v>
      </c>
      <c r="D69" s="210"/>
      <c r="E69" s="146">
        <f>'STOK DETAY'!DR6</f>
        <v>80.83</v>
      </c>
      <c r="F69" s="146"/>
      <c r="G69" s="146">
        <f>'STOK DETAY'!DS6</f>
        <v>0</v>
      </c>
      <c r="H69" s="146"/>
      <c r="I69" s="210"/>
      <c r="J69" s="146">
        <f>SUM(E69:H69)</f>
        <v>80.83</v>
      </c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</row>
    <row r="70" spans="1:23" s="73" customFormat="1" ht="18.600000000000001" customHeight="1" x14ac:dyDescent="0.35">
      <c r="A70" s="215" t="s">
        <v>54</v>
      </c>
      <c r="B70" s="180" t="s">
        <v>10</v>
      </c>
      <c r="C70" s="214">
        <v>511</v>
      </c>
      <c r="D70" s="146"/>
      <c r="E70" s="210"/>
      <c r="F70" s="146">
        <f>'STOK DETAY'!DT6</f>
        <v>2.5</v>
      </c>
      <c r="G70" s="146"/>
      <c r="H70" s="146"/>
      <c r="I70" s="146"/>
      <c r="J70" s="146">
        <f t="shared" ref="J70:J76" si="3">SUM(D70:I70)</f>
        <v>2.5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</row>
    <row r="71" spans="1:23" s="73" customFormat="1" ht="18.600000000000001" customHeight="1" x14ac:dyDescent="0.35">
      <c r="A71" s="215" t="s">
        <v>58</v>
      </c>
      <c r="B71" s="180" t="s">
        <v>10</v>
      </c>
      <c r="C71" s="214">
        <v>511</v>
      </c>
      <c r="D71" s="146"/>
      <c r="E71" s="210"/>
      <c r="F71" s="146">
        <f>'STOK DETAY'!DU6</f>
        <v>14.7</v>
      </c>
      <c r="G71" s="146"/>
      <c r="H71" s="146"/>
      <c r="I71" s="146"/>
      <c r="J71" s="146">
        <f t="shared" si="3"/>
        <v>14.7</v>
      </c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</row>
    <row r="72" spans="1:23" s="73" customFormat="1" ht="18.600000000000001" customHeight="1" x14ac:dyDescent="0.35">
      <c r="A72" s="215" t="s">
        <v>60</v>
      </c>
      <c r="B72" s="180" t="s">
        <v>10</v>
      </c>
      <c r="C72" s="214">
        <v>511</v>
      </c>
      <c r="D72" s="146"/>
      <c r="E72" s="210"/>
      <c r="F72" s="146">
        <f>'STOK DETAY'!DV6</f>
        <v>2.85</v>
      </c>
      <c r="G72" s="146"/>
      <c r="H72" s="146"/>
      <c r="I72" s="146"/>
      <c r="J72" s="146">
        <f t="shared" si="3"/>
        <v>2.85</v>
      </c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</row>
    <row r="73" spans="1:23" s="73" customFormat="1" ht="18.600000000000001" customHeight="1" x14ac:dyDescent="0.35">
      <c r="A73" s="215" t="s">
        <v>62</v>
      </c>
      <c r="B73" s="180" t="s">
        <v>10</v>
      </c>
      <c r="C73" s="214">
        <v>511</v>
      </c>
      <c r="D73" s="146"/>
      <c r="E73" s="210"/>
      <c r="F73" s="146">
        <f>'STOK DETAY'!DW6</f>
        <v>6.83</v>
      </c>
      <c r="G73" s="146"/>
      <c r="H73" s="146"/>
      <c r="I73" s="146"/>
      <c r="J73" s="146">
        <f t="shared" si="3"/>
        <v>6.83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</row>
    <row r="74" spans="1:23" s="73" customFormat="1" ht="18.600000000000001" customHeight="1" x14ac:dyDescent="0.35">
      <c r="A74" s="215" t="s">
        <v>80</v>
      </c>
      <c r="B74" s="180" t="s">
        <v>10</v>
      </c>
      <c r="C74" s="214">
        <v>511</v>
      </c>
      <c r="D74" s="146"/>
      <c r="E74" s="210"/>
      <c r="F74" s="146">
        <f>'STOK DETAY'!DX6</f>
        <v>9.2200000000000006</v>
      </c>
      <c r="G74" s="146"/>
      <c r="H74" s="146"/>
      <c r="I74" s="146"/>
      <c r="J74" s="146">
        <f t="shared" si="3"/>
        <v>9.2200000000000006</v>
      </c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</row>
    <row r="75" spans="1:23" s="73" customFormat="1" ht="18.600000000000001" customHeight="1" x14ac:dyDescent="0.35">
      <c r="A75" s="215" t="s">
        <v>81</v>
      </c>
      <c r="B75" s="180" t="s">
        <v>10</v>
      </c>
      <c r="C75" s="214">
        <v>511</v>
      </c>
      <c r="D75" s="146"/>
      <c r="E75" s="210"/>
      <c r="F75" s="146">
        <f>'STOK DETAY'!DY6</f>
        <v>18.5</v>
      </c>
      <c r="G75" s="146"/>
      <c r="H75" s="146"/>
      <c r="I75" s="146"/>
      <c r="J75" s="146">
        <f t="shared" si="3"/>
        <v>18.5</v>
      </c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</row>
    <row r="76" spans="1:23" s="73" customFormat="1" ht="18.600000000000001" customHeight="1" x14ac:dyDescent="0.35">
      <c r="A76" s="215" t="s">
        <v>82</v>
      </c>
      <c r="B76" s="180" t="s">
        <v>10</v>
      </c>
      <c r="C76" s="181">
        <v>511</v>
      </c>
      <c r="D76" s="146"/>
      <c r="E76" s="210"/>
      <c r="F76" s="146">
        <f>'STOK DETAY'!DZ6</f>
        <v>52.36</v>
      </c>
      <c r="G76" s="146"/>
      <c r="H76" s="146"/>
      <c r="I76" s="146"/>
      <c r="J76" s="146">
        <f t="shared" si="3"/>
        <v>52.36</v>
      </c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</row>
    <row r="77" spans="1:23" ht="15.75" customHeight="1" x14ac:dyDescent="0.4">
      <c r="A77" s="216"/>
      <c r="B77" s="65"/>
      <c r="C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</row>
    <row r="78" spans="1:23" ht="15.75" customHeight="1" x14ac:dyDescent="0.4">
      <c r="A78" s="216"/>
      <c r="B78" s="65"/>
      <c r="C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</row>
    <row r="79" spans="1:23" ht="15.75" customHeight="1" x14ac:dyDescent="0.4">
      <c r="A79" s="216"/>
      <c r="B79" s="65"/>
      <c r="C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</row>
    <row r="80" spans="1:23" ht="15.75" customHeight="1" x14ac:dyDescent="0.4">
      <c r="A80" s="216"/>
      <c r="B80" s="65"/>
      <c r="C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</row>
    <row r="81" spans="1:23" ht="15.75" customHeight="1" x14ac:dyDescent="0.4">
      <c r="A81" s="216"/>
      <c r="B81" s="65"/>
      <c r="C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</row>
    <row r="82" spans="1:23" ht="15.75" customHeight="1" x14ac:dyDescent="0.4">
      <c r="A82" s="216"/>
      <c r="B82" s="65"/>
      <c r="C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</row>
    <row r="83" spans="1:23" ht="15.75" customHeight="1" x14ac:dyDescent="0.4">
      <c r="A83" s="216"/>
      <c r="B83" s="65"/>
      <c r="C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</row>
    <row r="84" spans="1:23" ht="15.75" customHeight="1" x14ac:dyDescent="0.4">
      <c r="A84" s="216"/>
      <c r="B84" s="65"/>
      <c r="C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</row>
    <row r="85" spans="1:23" ht="15.75" customHeight="1" x14ac:dyDescent="0.4">
      <c r="A85" s="216"/>
      <c r="B85" s="65"/>
      <c r="C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</row>
    <row r="86" spans="1:23" ht="15.75" customHeight="1" x14ac:dyDescent="0.4">
      <c r="A86" s="216"/>
      <c r="B86" s="65"/>
      <c r="C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</row>
    <row r="87" spans="1:23" ht="15.75" customHeight="1" x14ac:dyDescent="0.4">
      <c r="A87" s="216"/>
      <c r="B87" s="65"/>
      <c r="C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</row>
    <row r="88" spans="1:23" ht="15.75" customHeight="1" x14ac:dyDescent="0.4">
      <c r="A88" s="216"/>
      <c r="B88" s="65"/>
      <c r="C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</row>
    <row r="89" spans="1:23" ht="15.75" customHeight="1" x14ac:dyDescent="0.4">
      <c r="A89" s="216"/>
      <c r="B89" s="65"/>
      <c r="C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</row>
    <row r="90" spans="1:23" ht="15.75" customHeight="1" x14ac:dyDescent="0.4">
      <c r="A90" s="216"/>
      <c r="B90" s="65"/>
      <c r="C90" s="65"/>
      <c r="F90" s="66"/>
      <c r="H90" s="66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</row>
    <row r="91" spans="1:23" ht="15.75" customHeight="1" x14ac:dyDescent="0.4">
      <c r="A91" s="216"/>
      <c r="B91" s="65"/>
      <c r="C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</row>
    <row r="92" spans="1:23" ht="15.75" customHeight="1" x14ac:dyDescent="0.4">
      <c r="A92" s="216"/>
      <c r="B92" s="65"/>
      <c r="C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</row>
    <row r="93" spans="1:23" ht="15.75" customHeight="1" x14ac:dyDescent="0.4">
      <c r="A93" s="216"/>
      <c r="B93" s="65"/>
      <c r="C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</row>
    <row r="94" spans="1:23" ht="15.75" customHeight="1" x14ac:dyDescent="0.4">
      <c r="A94" s="216"/>
      <c r="B94" s="65"/>
      <c r="C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</row>
    <row r="95" spans="1:23" ht="15.75" customHeight="1" x14ac:dyDescent="0.4">
      <c r="A95" s="216"/>
      <c r="B95" s="65"/>
      <c r="C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</row>
    <row r="96" spans="1:23" ht="15.75" customHeight="1" x14ac:dyDescent="0.4">
      <c r="A96" s="216"/>
      <c r="B96" s="65"/>
      <c r="C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</row>
    <row r="97" spans="1:23" ht="15.75" customHeight="1" x14ac:dyDescent="0.4">
      <c r="A97" s="216"/>
      <c r="B97" s="65"/>
      <c r="C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</row>
    <row r="98" spans="1:23" ht="15.75" customHeight="1" x14ac:dyDescent="0.4">
      <c r="A98" s="216"/>
      <c r="B98" s="65"/>
      <c r="C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</row>
    <row r="99" spans="1:23" ht="15.75" customHeight="1" x14ac:dyDescent="0.4">
      <c r="A99" s="216"/>
      <c r="B99" s="65"/>
      <c r="C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</row>
    <row r="100" spans="1:23" ht="15.75" customHeight="1" x14ac:dyDescent="0.4">
      <c r="A100" s="216"/>
      <c r="B100" s="65"/>
      <c r="C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</row>
    <row r="101" spans="1:23" ht="15.75" customHeight="1" x14ac:dyDescent="0.4">
      <c r="A101" s="216"/>
      <c r="B101" s="65"/>
      <c r="C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</row>
    <row r="102" spans="1:23" ht="15.75" customHeight="1" x14ac:dyDescent="0.4">
      <c r="A102" s="216"/>
      <c r="B102" s="65"/>
      <c r="C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</row>
    <row r="103" spans="1:23" ht="15.75" customHeight="1" x14ac:dyDescent="0.4">
      <c r="A103" s="216"/>
      <c r="B103" s="65"/>
      <c r="C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</row>
    <row r="104" spans="1:23" ht="15.75" customHeight="1" x14ac:dyDescent="0.4">
      <c r="A104" s="216"/>
      <c r="B104" s="65"/>
      <c r="C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</row>
    <row r="105" spans="1:23" ht="15.75" customHeight="1" x14ac:dyDescent="0.4">
      <c r="A105" s="216"/>
      <c r="B105" s="65"/>
      <c r="C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</row>
    <row r="106" spans="1:23" ht="15.75" customHeight="1" x14ac:dyDescent="0.4">
      <c r="A106" s="216"/>
      <c r="B106" s="65"/>
      <c r="C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</row>
    <row r="107" spans="1:23" ht="15.75" customHeight="1" x14ac:dyDescent="0.4">
      <c r="A107" s="216"/>
      <c r="B107" s="65"/>
      <c r="C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</row>
    <row r="108" spans="1:23" ht="15.75" customHeight="1" x14ac:dyDescent="0.4">
      <c r="A108" s="216"/>
      <c r="B108" s="65"/>
      <c r="C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</row>
    <row r="109" spans="1:23" ht="15.75" customHeight="1" x14ac:dyDescent="0.4">
      <c r="A109" s="216"/>
      <c r="B109" s="65"/>
      <c r="C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</row>
    <row r="110" spans="1:23" ht="15.75" customHeight="1" x14ac:dyDescent="0.4">
      <c r="A110" s="216"/>
      <c r="B110" s="65"/>
      <c r="C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</row>
    <row r="111" spans="1:23" ht="15.75" customHeight="1" x14ac:dyDescent="0.4">
      <c r="A111" s="216"/>
      <c r="B111" s="65"/>
      <c r="C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</row>
    <row r="112" spans="1:23" ht="15.75" customHeight="1" x14ac:dyDescent="0.4">
      <c r="A112" s="216"/>
      <c r="B112" s="65"/>
      <c r="C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</row>
    <row r="113" spans="1:23" ht="15.75" customHeight="1" x14ac:dyDescent="0.4">
      <c r="A113" s="216"/>
      <c r="B113" s="65"/>
      <c r="C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</row>
    <row r="114" spans="1:23" ht="15.75" customHeight="1" x14ac:dyDescent="0.4">
      <c r="A114" s="216"/>
      <c r="B114" s="65"/>
      <c r="C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</row>
    <row r="115" spans="1:23" ht="15.75" customHeight="1" x14ac:dyDescent="0.4">
      <c r="A115" s="216"/>
      <c r="B115" s="65"/>
      <c r="C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</row>
    <row r="116" spans="1:23" ht="15.75" customHeight="1" x14ac:dyDescent="0.4">
      <c r="A116" s="216"/>
      <c r="B116" s="65"/>
      <c r="C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</row>
    <row r="117" spans="1:23" ht="15.75" customHeight="1" x14ac:dyDescent="0.4">
      <c r="A117" s="216"/>
      <c r="B117" s="65"/>
      <c r="C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</row>
    <row r="118" spans="1:23" ht="15.75" customHeight="1" x14ac:dyDescent="0.4">
      <c r="A118" s="216"/>
      <c r="B118" s="65"/>
      <c r="C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</row>
    <row r="119" spans="1:23" ht="15.75" customHeight="1" x14ac:dyDescent="0.4">
      <c r="A119" s="216"/>
      <c r="B119" s="65"/>
      <c r="C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</row>
    <row r="120" spans="1:23" ht="15.75" customHeight="1" x14ac:dyDescent="0.4">
      <c r="A120" s="216"/>
      <c r="B120" s="65"/>
      <c r="C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</row>
    <row r="121" spans="1:23" ht="15.75" customHeight="1" x14ac:dyDescent="0.4">
      <c r="A121" s="216"/>
      <c r="B121" s="65"/>
      <c r="C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</row>
    <row r="122" spans="1:23" ht="15.75" customHeight="1" x14ac:dyDescent="0.4">
      <c r="A122" s="216"/>
      <c r="B122" s="65"/>
      <c r="C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</row>
    <row r="123" spans="1:23" ht="15.75" customHeight="1" x14ac:dyDescent="0.4">
      <c r="A123" s="216"/>
      <c r="B123" s="65"/>
      <c r="C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</row>
    <row r="124" spans="1:23" ht="15.75" customHeight="1" x14ac:dyDescent="0.4">
      <c r="A124" s="216"/>
      <c r="B124" s="65"/>
      <c r="C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</row>
    <row r="125" spans="1:23" ht="15.75" customHeight="1" x14ac:dyDescent="0.4">
      <c r="A125" s="216"/>
      <c r="B125" s="65"/>
      <c r="C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</row>
    <row r="126" spans="1:23" ht="15.75" customHeight="1" x14ac:dyDescent="0.4">
      <c r="A126" s="216"/>
      <c r="B126" s="65"/>
      <c r="C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</row>
    <row r="127" spans="1:23" ht="15.75" customHeight="1" x14ac:dyDescent="0.4">
      <c r="A127" s="216"/>
      <c r="B127" s="65"/>
      <c r="C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</row>
    <row r="128" spans="1:23" ht="15.75" customHeight="1" x14ac:dyDescent="0.4">
      <c r="A128" s="216"/>
      <c r="B128" s="65"/>
      <c r="C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</row>
    <row r="129" spans="1:23" ht="15.75" customHeight="1" x14ac:dyDescent="0.4">
      <c r="A129" s="216"/>
      <c r="B129" s="65"/>
      <c r="C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</row>
    <row r="130" spans="1:23" ht="15.75" customHeight="1" x14ac:dyDescent="0.4">
      <c r="A130" s="216"/>
      <c r="B130" s="65"/>
      <c r="C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</row>
    <row r="131" spans="1:23" ht="15.75" customHeight="1" x14ac:dyDescent="0.4">
      <c r="A131" s="216"/>
      <c r="B131" s="65"/>
      <c r="C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</row>
    <row r="132" spans="1:23" ht="15.75" customHeight="1" x14ac:dyDescent="0.4">
      <c r="A132" s="216"/>
      <c r="B132" s="65"/>
      <c r="C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</row>
    <row r="133" spans="1:23" ht="15.75" customHeight="1" x14ac:dyDescent="0.4">
      <c r="A133" s="216"/>
      <c r="B133" s="65"/>
      <c r="C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</row>
    <row r="134" spans="1:23" ht="15.75" customHeight="1" x14ac:dyDescent="0.4">
      <c r="A134" s="216"/>
      <c r="B134" s="65"/>
      <c r="C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</row>
    <row r="135" spans="1:23" ht="15.75" customHeight="1" x14ac:dyDescent="0.4">
      <c r="A135" s="216"/>
      <c r="B135" s="65"/>
      <c r="C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</row>
    <row r="136" spans="1:23" ht="15.75" customHeight="1" x14ac:dyDescent="0.4">
      <c r="A136" s="216"/>
      <c r="B136" s="65"/>
      <c r="C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</row>
    <row r="137" spans="1:23" ht="15.75" customHeight="1" x14ac:dyDescent="0.4">
      <c r="A137" s="216"/>
      <c r="B137" s="65"/>
      <c r="C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</row>
    <row r="138" spans="1:23" ht="15.75" customHeight="1" x14ac:dyDescent="0.4">
      <c r="A138" s="216"/>
      <c r="B138" s="65"/>
      <c r="C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</row>
    <row r="139" spans="1:23" ht="15.75" customHeight="1" x14ac:dyDescent="0.4">
      <c r="A139" s="216"/>
      <c r="B139" s="65"/>
      <c r="C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</row>
    <row r="140" spans="1:23" ht="15.75" customHeight="1" x14ac:dyDescent="0.4">
      <c r="A140" s="216"/>
      <c r="B140" s="65"/>
      <c r="C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</row>
    <row r="141" spans="1:23" ht="15.75" customHeight="1" x14ac:dyDescent="0.4">
      <c r="A141" s="216"/>
      <c r="B141" s="65"/>
      <c r="C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</row>
    <row r="142" spans="1:23" ht="15.75" customHeight="1" x14ac:dyDescent="0.4">
      <c r="A142" s="216"/>
      <c r="B142" s="65"/>
      <c r="C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</row>
    <row r="143" spans="1:23" ht="15.75" customHeight="1" x14ac:dyDescent="0.4">
      <c r="A143" s="216"/>
      <c r="B143" s="65"/>
      <c r="C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</row>
    <row r="144" spans="1:23" ht="15.75" customHeight="1" x14ac:dyDescent="0.4">
      <c r="A144" s="216"/>
      <c r="B144" s="65"/>
      <c r="C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</row>
    <row r="145" spans="1:23" ht="15.75" customHeight="1" x14ac:dyDescent="0.4">
      <c r="A145" s="216"/>
      <c r="B145" s="65"/>
      <c r="C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</row>
    <row r="146" spans="1:23" ht="15.75" customHeight="1" x14ac:dyDescent="0.4">
      <c r="A146" s="216"/>
      <c r="B146" s="65"/>
      <c r="C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</row>
    <row r="147" spans="1:23" ht="15.75" customHeight="1" x14ac:dyDescent="0.4">
      <c r="A147" s="216"/>
      <c r="B147" s="65"/>
      <c r="C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</row>
    <row r="148" spans="1:23" ht="15.75" customHeight="1" x14ac:dyDescent="0.4">
      <c r="A148" s="216"/>
      <c r="B148" s="65"/>
      <c r="C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</row>
    <row r="149" spans="1:23" ht="15.75" customHeight="1" x14ac:dyDescent="0.4">
      <c r="A149" s="216"/>
      <c r="B149" s="65"/>
      <c r="C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</row>
    <row r="150" spans="1:23" ht="15.75" customHeight="1" x14ac:dyDescent="0.4">
      <c r="A150" s="216"/>
      <c r="B150" s="65"/>
      <c r="C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</row>
    <row r="151" spans="1:23" ht="15.75" customHeight="1" x14ac:dyDescent="0.4">
      <c r="A151" s="216"/>
      <c r="B151" s="65"/>
      <c r="C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</row>
    <row r="152" spans="1:23" ht="15.75" customHeight="1" x14ac:dyDescent="0.4">
      <c r="A152" s="216"/>
      <c r="B152" s="65"/>
      <c r="C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</row>
    <row r="153" spans="1:23" ht="15.75" customHeight="1" x14ac:dyDescent="0.4">
      <c r="A153" s="216"/>
      <c r="B153" s="65"/>
      <c r="C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</row>
    <row r="154" spans="1:23" ht="15.75" customHeight="1" x14ac:dyDescent="0.4">
      <c r="A154" s="216"/>
      <c r="B154" s="65"/>
      <c r="C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</row>
    <row r="155" spans="1:23" ht="15.75" customHeight="1" x14ac:dyDescent="0.4">
      <c r="A155" s="216"/>
      <c r="B155" s="65"/>
      <c r="C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</row>
    <row r="156" spans="1:23" ht="15.75" customHeight="1" x14ac:dyDescent="0.4">
      <c r="A156" s="216"/>
      <c r="B156" s="65"/>
      <c r="C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</row>
    <row r="157" spans="1:23" ht="15.75" customHeight="1" x14ac:dyDescent="0.4">
      <c r="A157" s="216"/>
      <c r="B157" s="65"/>
      <c r="C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</row>
    <row r="158" spans="1:23" ht="15.75" customHeight="1" x14ac:dyDescent="0.4">
      <c r="A158" s="216"/>
      <c r="B158" s="65"/>
      <c r="C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</row>
    <row r="159" spans="1:23" ht="15.75" customHeight="1" x14ac:dyDescent="0.4">
      <c r="A159" s="216"/>
      <c r="B159" s="65"/>
      <c r="C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</row>
    <row r="160" spans="1:23" ht="15.75" customHeight="1" x14ac:dyDescent="0.4">
      <c r="A160" s="216"/>
      <c r="B160" s="65"/>
      <c r="C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</row>
    <row r="161" spans="1:23" ht="15.75" customHeight="1" x14ac:dyDescent="0.4">
      <c r="A161" s="216"/>
      <c r="B161" s="65"/>
      <c r="C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</row>
    <row r="162" spans="1:23" ht="15.75" customHeight="1" x14ac:dyDescent="0.4">
      <c r="A162" s="216"/>
      <c r="B162" s="65"/>
      <c r="C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</row>
    <row r="163" spans="1:23" ht="15.75" customHeight="1" x14ac:dyDescent="0.4">
      <c r="A163" s="216"/>
      <c r="B163" s="65"/>
      <c r="C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</row>
    <row r="164" spans="1:23" ht="15.75" customHeight="1" x14ac:dyDescent="0.4">
      <c r="A164" s="216"/>
      <c r="B164" s="65"/>
      <c r="C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</row>
    <row r="165" spans="1:23" ht="15.75" customHeight="1" x14ac:dyDescent="0.4">
      <c r="A165" s="216"/>
      <c r="B165" s="65"/>
      <c r="C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</row>
    <row r="166" spans="1:23" ht="15.75" customHeight="1" x14ac:dyDescent="0.4">
      <c r="A166" s="216"/>
      <c r="B166" s="65"/>
      <c r="C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</row>
    <row r="167" spans="1:23" ht="15.75" customHeight="1" x14ac:dyDescent="0.4">
      <c r="A167" s="216"/>
      <c r="B167" s="65"/>
      <c r="C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</row>
    <row r="168" spans="1:23" ht="15.75" customHeight="1" x14ac:dyDescent="0.4">
      <c r="A168" s="216"/>
      <c r="B168" s="65"/>
      <c r="C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</row>
    <row r="169" spans="1:23" ht="15.75" customHeight="1" x14ac:dyDescent="0.4">
      <c r="A169" s="216"/>
      <c r="B169" s="65"/>
      <c r="C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</row>
    <row r="170" spans="1:23" ht="15.75" customHeight="1" x14ac:dyDescent="0.4">
      <c r="A170" s="216"/>
      <c r="B170" s="65"/>
      <c r="C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</row>
    <row r="171" spans="1:23" ht="15.75" customHeight="1" x14ac:dyDescent="0.4">
      <c r="A171" s="216"/>
      <c r="B171" s="65"/>
      <c r="C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</row>
    <row r="172" spans="1:23" ht="15.75" customHeight="1" x14ac:dyDescent="0.4">
      <c r="A172" s="216"/>
      <c r="B172" s="65"/>
      <c r="C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</row>
    <row r="173" spans="1:23" ht="15.75" customHeight="1" x14ac:dyDescent="0.4">
      <c r="A173" s="216"/>
      <c r="B173" s="65"/>
      <c r="C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</row>
    <row r="174" spans="1:23" ht="15.75" customHeight="1" x14ac:dyDescent="0.4">
      <c r="A174" s="216"/>
      <c r="B174" s="65"/>
      <c r="C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</row>
    <row r="175" spans="1:23" ht="15.75" customHeight="1" x14ac:dyDescent="0.4">
      <c r="A175" s="216"/>
      <c r="B175" s="65"/>
      <c r="C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</row>
    <row r="176" spans="1:23" ht="15.75" customHeight="1" x14ac:dyDescent="0.4">
      <c r="A176" s="216"/>
      <c r="B176" s="65"/>
      <c r="C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</row>
    <row r="177" spans="1:23" ht="15.75" customHeight="1" x14ac:dyDescent="0.4">
      <c r="A177" s="216"/>
      <c r="B177" s="65"/>
      <c r="C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</row>
    <row r="178" spans="1:23" ht="15.75" customHeight="1" x14ac:dyDescent="0.4">
      <c r="A178" s="216"/>
      <c r="B178" s="65"/>
      <c r="C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</row>
    <row r="179" spans="1:23" ht="15.75" customHeight="1" x14ac:dyDescent="0.4">
      <c r="A179" s="216"/>
      <c r="B179" s="65"/>
      <c r="C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</row>
    <row r="180" spans="1:23" ht="15.75" customHeight="1" x14ac:dyDescent="0.4">
      <c r="A180" s="216"/>
      <c r="B180" s="65"/>
      <c r="C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</row>
    <row r="181" spans="1:23" ht="15.75" customHeight="1" x14ac:dyDescent="0.4">
      <c r="A181" s="216"/>
      <c r="B181" s="65"/>
      <c r="C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</row>
    <row r="182" spans="1:23" ht="15.75" customHeight="1" x14ac:dyDescent="0.4">
      <c r="A182" s="216"/>
      <c r="B182" s="65"/>
      <c r="C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</row>
    <row r="183" spans="1:23" ht="15.75" customHeight="1" x14ac:dyDescent="0.4">
      <c r="A183" s="216"/>
      <c r="B183" s="65"/>
      <c r="C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</row>
    <row r="184" spans="1:23" ht="15.75" customHeight="1" x14ac:dyDescent="0.4">
      <c r="A184" s="216"/>
      <c r="B184" s="65"/>
      <c r="C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</row>
    <row r="185" spans="1:23" ht="15.75" customHeight="1" x14ac:dyDescent="0.4">
      <c r="A185" s="216"/>
      <c r="B185" s="65"/>
      <c r="C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</row>
    <row r="186" spans="1:23" ht="15.75" customHeight="1" x14ac:dyDescent="0.4">
      <c r="A186" s="216"/>
      <c r="B186" s="65"/>
      <c r="C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</row>
    <row r="187" spans="1:23" ht="15.75" customHeight="1" x14ac:dyDescent="0.4">
      <c r="A187" s="216"/>
      <c r="B187" s="65"/>
      <c r="C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</row>
    <row r="188" spans="1:23" ht="15.75" customHeight="1" x14ac:dyDescent="0.4">
      <c r="A188" s="216"/>
      <c r="B188" s="65"/>
      <c r="C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</row>
    <row r="189" spans="1:23" ht="15.75" customHeight="1" x14ac:dyDescent="0.4">
      <c r="A189" s="216"/>
      <c r="B189" s="65"/>
      <c r="C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</row>
    <row r="190" spans="1:23" ht="15.75" customHeight="1" x14ac:dyDescent="0.4">
      <c r="A190" s="216"/>
      <c r="B190" s="65"/>
      <c r="C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</row>
    <row r="191" spans="1:23" ht="15.75" customHeight="1" x14ac:dyDescent="0.4">
      <c r="A191" s="216"/>
      <c r="B191" s="65"/>
      <c r="C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</row>
    <row r="192" spans="1:23" ht="15.75" customHeight="1" x14ac:dyDescent="0.4">
      <c r="A192" s="216"/>
      <c r="B192" s="65"/>
      <c r="C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</row>
    <row r="193" spans="1:23" ht="15.75" customHeight="1" x14ac:dyDescent="0.4">
      <c r="A193" s="216"/>
      <c r="B193" s="65"/>
      <c r="C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</row>
    <row r="194" spans="1:23" ht="15.75" customHeight="1" x14ac:dyDescent="0.4">
      <c r="A194" s="216"/>
      <c r="B194" s="65"/>
      <c r="C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</row>
    <row r="195" spans="1:23" ht="15.75" customHeight="1" x14ac:dyDescent="0.4">
      <c r="A195" s="216"/>
      <c r="B195" s="65"/>
      <c r="C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</row>
    <row r="196" spans="1:23" ht="15.75" customHeight="1" x14ac:dyDescent="0.4">
      <c r="A196" s="216"/>
      <c r="B196" s="65"/>
      <c r="C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</row>
    <row r="197" spans="1:23" ht="15.75" customHeight="1" x14ac:dyDescent="0.4">
      <c r="A197" s="216"/>
      <c r="B197" s="65"/>
      <c r="C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</row>
    <row r="198" spans="1:23" ht="15.75" customHeight="1" x14ac:dyDescent="0.4">
      <c r="A198" s="216"/>
      <c r="B198" s="65"/>
      <c r="C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</row>
    <row r="199" spans="1:23" ht="15.75" customHeight="1" x14ac:dyDescent="0.4">
      <c r="A199" s="216"/>
      <c r="B199" s="65"/>
      <c r="C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</row>
    <row r="200" spans="1:23" ht="15.75" customHeight="1" x14ac:dyDescent="0.4">
      <c r="A200" s="216"/>
      <c r="B200" s="65"/>
      <c r="C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</row>
    <row r="201" spans="1:23" ht="15.75" customHeight="1" x14ac:dyDescent="0.4">
      <c r="A201" s="216"/>
      <c r="B201" s="65"/>
      <c r="C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</row>
    <row r="202" spans="1:23" ht="15.75" customHeight="1" x14ac:dyDescent="0.4">
      <c r="A202" s="216"/>
      <c r="B202" s="65"/>
      <c r="C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</row>
    <row r="203" spans="1:23" ht="15.75" customHeight="1" x14ac:dyDescent="0.4">
      <c r="A203" s="216"/>
      <c r="B203" s="65"/>
      <c r="C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</row>
    <row r="204" spans="1:23" ht="15.75" customHeight="1" x14ac:dyDescent="0.4">
      <c r="A204" s="216"/>
      <c r="B204" s="65"/>
      <c r="C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</row>
    <row r="205" spans="1:23" ht="15.75" customHeight="1" x14ac:dyDescent="0.4">
      <c r="A205" s="216"/>
      <c r="B205" s="65"/>
      <c r="C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</row>
    <row r="206" spans="1:23" ht="15.75" customHeight="1" x14ac:dyDescent="0.4">
      <c r="A206" s="216"/>
      <c r="B206" s="65"/>
      <c r="C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</row>
    <row r="207" spans="1:23" ht="15.75" customHeight="1" x14ac:dyDescent="0.4">
      <c r="A207" s="216"/>
      <c r="B207" s="65"/>
      <c r="C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</row>
    <row r="208" spans="1:23" ht="15.75" customHeight="1" x14ac:dyDescent="0.4">
      <c r="A208" s="216"/>
      <c r="B208" s="65"/>
      <c r="C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</row>
    <row r="209" spans="1:23" ht="15.75" customHeight="1" x14ac:dyDescent="0.4">
      <c r="A209" s="216"/>
      <c r="B209" s="65"/>
      <c r="C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</row>
    <row r="210" spans="1:23" ht="15.75" customHeight="1" x14ac:dyDescent="0.4">
      <c r="A210" s="216"/>
      <c r="B210" s="65"/>
      <c r="C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</row>
    <row r="211" spans="1:23" ht="15.75" customHeight="1" x14ac:dyDescent="0.4">
      <c r="A211" s="216"/>
      <c r="B211" s="65"/>
      <c r="C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</row>
    <row r="212" spans="1:23" ht="15.75" customHeight="1" x14ac:dyDescent="0.4">
      <c r="A212" s="216"/>
      <c r="B212" s="65"/>
      <c r="C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</row>
    <row r="213" spans="1:23" ht="15.75" customHeight="1" x14ac:dyDescent="0.4">
      <c r="A213" s="216"/>
      <c r="B213" s="65"/>
      <c r="C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</row>
    <row r="214" spans="1:23" ht="15.75" customHeight="1" x14ac:dyDescent="0.4">
      <c r="A214" s="216"/>
      <c r="B214" s="65"/>
      <c r="C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</row>
    <row r="215" spans="1:23" ht="15.75" customHeight="1" x14ac:dyDescent="0.4">
      <c r="A215" s="216"/>
      <c r="B215" s="65"/>
      <c r="C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</row>
    <row r="216" spans="1:23" ht="15.75" customHeight="1" x14ac:dyDescent="0.4">
      <c r="A216" s="216"/>
      <c r="B216" s="65"/>
      <c r="C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</row>
    <row r="217" spans="1:23" ht="15.75" customHeight="1" x14ac:dyDescent="0.4">
      <c r="A217" s="216"/>
      <c r="B217" s="65"/>
      <c r="C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</row>
    <row r="218" spans="1:23" ht="15.75" customHeight="1" x14ac:dyDescent="0.4">
      <c r="A218" s="216"/>
      <c r="B218" s="65"/>
      <c r="C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</row>
    <row r="219" spans="1:23" ht="15.75" customHeight="1" x14ac:dyDescent="0.4">
      <c r="A219" s="216"/>
      <c r="B219" s="65"/>
      <c r="C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</row>
    <row r="220" spans="1:23" ht="15.75" customHeight="1" x14ac:dyDescent="0.4">
      <c r="A220" s="216"/>
      <c r="B220" s="65"/>
      <c r="C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</row>
    <row r="221" spans="1:23" ht="15.75" customHeight="1" x14ac:dyDescent="0.4">
      <c r="A221" s="216"/>
      <c r="B221" s="65"/>
      <c r="C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</row>
    <row r="222" spans="1:23" ht="15.75" customHeight="1" x14ac:dyDescent="0.4">
      <c r="A222" s="216"/>
      <c r="B222" s="65"/>
      <c r="C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</row>
    <row r="223" spans="1:23" ht="15.75" customHeight="1" x14ac:dyDescent="0.4">
      <c r="A223" s="216"/>
      <c r="B223" s="65"/>
      <c r="C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</row>
    <row r="224" spans="1:23" ht="15.75" customHeight="1" x14ac:dyDescent="0.4">
      <c r="A224" s="216"/>
      <c r="B224" s="65"/>
      <c r="C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</row>
    <row r="225" spans="1:23" ht="15.75" customHeight="1" x14ac:dyDescent="0.4">
      <c r="A225" s="216"/>
      <c r="B225" s="65"/>
      <c r="C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</row>
    <row r="226" spans="1:23" ht="15.75" customHeight="1" x14ac:dyDescent="0.4">
      <c r="A226" s="216"/>
      <c r="B226" s="65"/>
      <c r="C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</row>
    <row r="227" spans="1:23" ht="15.75" customHeight="1" x14ac:dyDescent="0.4">
      <c r="A227" s="216"/>
      <c r="B227" s="65"/>
      <c r="C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</row>
    <row r="228" spans="1:23" ht="15.75" customHeight="1" x14ac:dyDescent="0.4">
      <c r="A228" s="216"/>
      <c r="B228" s="65"/>
      <c r="C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</row>
    <row r="229" spans="1:23" ht="15.75" customHeight="1" x14ac:dyDescent="0.4">
      <c r="A229" s="216"/>
      <c r="B229" s="65"/>
      <c r="C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</row>
    <row r="230" spans="1:23" ht="15.75" customHeight="1" x14ac:dyDescent="0.4">
      <c r="A230" s="216"/>
      <c r="B230" s="65"/>
      <c r="C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</row>
    <row r="231" spans="1:23" ht="15.75" customHeight="1" x14ac:dyDescent="0.4">
      <c r="A231" s="216"/>
      <c r="B231" s="65"/>
      <c r="C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</row>
    <row r="232" spans="1:23" ht="15.75" customHeight="1" x14ac:dyDescent="0.4">
      <c r="A232" s="216"/>
      <c r="B232" s="65"/>
      <c r="C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</row>
    <row r="233" spans="1:23" ht="15.75" customHeight="1" x14ac:dyDescent="0.4">
      <c r="A233" s="216"/>
      <c r="B233" s="65"/>
      <c r="C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</row>
    <row r="234" spans="1:23" ht="15.75" customHeight="1" x14ac:dyDescent="0.4">
      <c r="A234" s="216"/>
      <c r="B234" s="65"/>
      <c r="C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</row>
    <row r="235" spans="1:23" ht="15.75" customHeight="1" x14ac:dyDescent="0.4">
      <c r="A235" s="216"/>
      <c r="B235" s="65"/>
      <c r="C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</row>
    <row r="236" spans="1:23" ht="15.75" customHeight="1" x14ac:dyDescent="0.4">
      <c r="A236" s="216"/>
      <c r="B236" s="65"/>
      <c r="C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</row>
    <row r="237" spans="1:23" ht="15.75" customHeight="1" x14ac:dyDescent="0.4">
      <c r="A237" s="216"/>
      <c r="B237" s="65"/>
      <c r="C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</row>
    <row r="238" spans="1:23" ht="15.75" customHeight="1" x14ac:dyDescent="0.4">
      <c r="A238" s="216"/>
      <c r="B238" s="65"/>
      <c r="C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</row>
    <row r="239" spans="1:23" ht="15.75" customHeight="1" x14ac:dyDescent="0.4">
      <c r="A239" s="216"/>
      <c r="B239" s="65"/>
      <c r="C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</row>
    <row r="240" spans="1:23" ht="15.75" customHeight="1" x14ac:dyDescent="0.4">
      <c r="A240" s="216"/>
      <c r="B240" s="65"/>
      <c r="C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</row>
    <row r="241" spans="1:23" ht="15.75" customHeight="1" x14ac:dyDescent="0.4">
      <c r="A241" s="216"/>
      <c r="B241" s="65"/>
      <c r="C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</row>
    <row r="242" spans="1:23" ht="15.75" customHeight="1" x14ac:dyDescent="0.4">
      <c r="A242" s="216"/>
      <c r="B242" s="65"/>
      <c r="C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</row>
    <row r="243" spans="1:23" ht="15.75" customHeight="1" x14ac:dyDescent="0.4">
      <c r="A243" s="216"/>
      <c r="B243" s="65"/>
      <c r="C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</row>
    <row r="244" spans="1:23" ht="15.75" customHeight="1" x14ac:dyDescent="0.4">
      <c r="A244" s="216"/>
      <c r="B244" s="65"/>
      <c r="C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</row>
    <row r="245" spans="1:23" ht="15.75" customHeight="1" x14ac:dyDescent="0.4">
      <c r="A245" s="216"/>
      <c r="B245" s="65"/>
      <c r="C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</row>
    <row r="246" spans="1:23" ht="15.75" customHeight="1" x14ac:dyDescent="0.4">
      <c r="A246" s="216"/>
      <c r="B246" s="65"/>
      <c r="C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</row>
    <row r="247" spans="1:23" ht="15.75" customHeight="1" x14ac:dyDescent="0.4">
      <c r="A247" s="216"/>
      <c r="B247" s="65"/>
      <c r="C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</row>
    <row r="248" spans="1:23" ht="15.75" customHeight="1" x14ac:dyDescent="0.4">
      <c r="A248" s="216"/>
      <c r="B248" s="65"/>
      <c r="C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</row>
    <row r="249" spans="1:23" ht="15.75" customHeight="1" x14ac:dyDescent="0.4">
      <c r="A249" s="216"/>
      <c r="B249" s="65"/>
      <c r="C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</row>
    <row r="250" spans="1:23" ht="15.75" customHeight="1" x14ac:dyDescent="0.4">
      <c r="A250" s="216"/>
      <c r="B250" s="65"/>
      <c r="C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</row>
    <row r="251" spans="1:23" ht="15.75" customHeight="1" x14ac:dyDescent="0.4">
      <c r="A251" s="216"/>
      <c r="B251" s="65"/>
      <c r="C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</row>
    <row r="252" spans="1:23" ht="15.75" customHeight="1" x14ac:dyDescent="0.4">
      <c r="A252" s="216"/>
      <c r="B252" s="65"/>
      <c r="C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</row>
    <row r="253" spans="1:23" ht="15.75" customHeight="1" x14ac:dyDescent="0.4">
      <c r="A253" s="216"/>
      <c r="B253" s="65"/>
      <c r="C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</row>
    <row r="254" spans="1:23" ht="15.75" customHeight="1" x14ac:dyDescent="0.4">
      <c r="A254" s="216"/>
      <c r="B254" s="65"/>
      <c r="C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</row>
    <row r="255" spans="1:23" ht="15.75" customHeight="1" x14ac:dyDescent="0.4">
      <c r="A255" s="216"/>
      <c r="B255" s="65"/>
      <c r="C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</row>
    <row r="256" spans="1:23" ht="15.75" customHeight="1" x14ac:dyDescent="0.4">
      <c r="A256" s="216"/>
      <c r="B256" s="65"/>
      <c r="C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</row>
    <row r="257" spans="1:23" ht="15.75" customHeight="1" x14ac:dyDescent="0.4">
      <c r="A257" s="216"/>
      <c r="B257" s="65"/>
      <c r="C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</row>
    <row r="258" spans="1:23" ht="15.75" customHeight="1" x14ac:dyDescent="0.4">
      <c r="A258" s="216"/>
      <c r="B258" s="65"/>
      <c r="C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</row>
    <row r="259" spans="1:23" ht="15.75" customHeight="1" x14ac:dyDescent="0.4">
      <c r="A259" s="216"/>
      <c r="B259" s="65"/>
      <c r="C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</row>
    <row r="260" spans="1:23" ht="15.75" customHeight="1" x14ac:dyDescent="0.4">
      <c r="A260" s="216"/>
      <c r="B260" s="65"/>
      <c r="C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</row>
    <row r="261" spans="1:23" ht="15.75" customHeight="1" x14ac:dyDescent="0.4">
      <c r="A261" s="216"/>
      <c r="B261" s="65"/>
      <c r="C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</row>
    <row r="262" spans="1:23" ht="15.75" customHeight="1" x14ac:dyDescent="0.4">
      <c r="A262" s="216"/>
      <c r="B262" s="65"/>
      <c r="C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</row>
    <row r="263" spans="1:23" ht="15.75" customHeight="1" x14ac:dyDescent="0.4">
      <c r="A263" s="216"/>
      <c r="B263" s="65"/>
      <c r="C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</row>
    <row r="264" spans="1:23" ht="15.75" customHeight="1" x14ac:dyDescent="0.4">
      <c r="A264" s="216"/>
      <c r="B264" s="65"/>
      <c r="C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</row>
    <row r="265" spans="1:23" ht="15.75" customHeight="1" x14ac:dyDescent="0.4">
      <c r="A265" s="216"/>
      <c r="B265" s="65"/>
      <c r="C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</row>
    <row r="266" spans="1:23" ht="15.75" customHeight="1" x14ac:dyDescent="0.4">
      <c r="A266" s="216"/>
      <c r="B266" s="65"/>
      <c r="C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</row>
    <row r="267" spans="1:23" ht="15.75" customHeight="1" x14ac:dyDescent="0.4">
      <c r="A267" s="216"/>
      <c r="B267" s="65"/>
      <c r="C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</row>
    <row r="268" spans="1:23" ht="15.75" customHeight="1" x14ac:dyDescent="0.4">
      <c r="A268" s="216"/>
      <c r="B268" s="65"/>
      <c r="C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</row>
    <row r="269" spans="1:23" ht="15.75" customHeight="1" x14ac:dyDescent="0.4">
      <c r="A269" s="216"/>
      <c r="B269" s="65"/>
      <c r="C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</row>
    <row r="270" spans="1:23" ht="15.75" customHeight="1" x14ac:dyDescent="0.4">
      <c r="A270" s="216"/>
      <c r="B270" s="65"/>
      <c r="C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</row>
    <row r="271" spans="1:23" ht="15.75" customHeight="1" x14ac:dyDescent="0.4">
      <c r="A271" s="216"/>
      <c r="B271" s="65"/>
      <c r="C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</row>
    <row r="272" spans="1:23" ht="15.75" customHeight="1" x14ac:dyDescent="0.4">
      <c r="A272" s="216"/>
      <c r="B272" s="65"/>
      <c r="C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</row>
    <row r="273" spans="1:23" ht="15.75" customHeight="1" x14ac:dyDescent="0.4">
      <c r="A273" s="216"/>
      <c r="B273" s="65"/>
      <c r="C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</row>
    <row r="274" spans="1:23" ht="15.75" customHeight="1" x14ac:dyDescent="0.4">
      <c r="A274" s="216"/>
      <c r="B274" s="65"/>
      <c r="C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</row>
    <row r="275" spans="1:23" ht="15.75" customHeight="1" x14ac:dyDescent="0.4">
      <c r="A275" s="216"/>
      <c r="B275" s="65"/>
      <c r="C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</row>
    <row r="276" spans="1:23" ht="15.75" customHeight="1" x14ac:dyDescent="0.4">
      <c r="A276" s="216"/>
      <c r="B276" s="65"/>
      <c r="C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</row>
    <row r="277" spans="1:23" ht="15.75" customHeight="1" x14ac:dyDescent="0.4">
      <c r="A277" s="216"/>
      <c r="B277" s="65"/>
      <c r="C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</row>
    <row r="278" spans="1:23" ht="15.75" customHeight="1" x14ac:dyDescent="0.4">
      <c r="A278" s="216"/>
      <c r="B278" s="65"/>
      <c r="C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</row>
    <row r="279" spans="1:23" ht="15.75" customHeight="1" x14ac:dyDescent="0.4">
      <c r="A279" s="216"/>
      <c r="B279" s="65"/>
      <c r="C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</row>
    <row r="280" spans="1:23" ht="15.75" customHeight="1" x14ac:dyDescent="0.4">
      <c r="A280" s="216"/>
      <c r="B280" s="65"/>
      <c r="C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</row>
    <row r="281" spans="1:23" ht="15.75" customHeight="1" x14ac:dyDescent="0.4">
      <c r="A281" s="216"/>
      <c r="B281" s="65"/>
      <c r="C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</row>
    <row r="282" spans="1:23" ht="15.75" customHeight="1" x14ac:dyDescent="0.4">
      <c r="A282" s="216"/>
      <c r="B282" s="65"/>
      <c r="C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</row>
    <row r="283" spans="1:23" ht="15.75" customHeight="1" x14ac:dyDescent="0.4">
      <c r="A283" s="216"/>
      <c r="B283" s="65"/>
      <c r="C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</row>
    <row r="284" spans="1:23" ht="15.75" customHeight="1" x14ac:dyDescent="0.4">
      <c r="A284" s="216"/>
      <c r="B284" s="65"/>
      <c r="C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</row>
    <row r="285" spans="1:23" ht="15.75" customHeight="1" x14ac:dyDescent="0.4">
      <c r="A285" s="216"/>
      <c r="B285" s="65"/>
      <c r="C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</row>
    <row r="286" spans="1:23" ht="15.75" customHeight="1" x14ac:dyDescent="0.4">
      <c r="A286" s="216"/>
      <c r="B286" s="65"/>
      <c r="C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</row>
    <row r="287" spans="1:23" ht="15.75" customHeight="1" x14ac:dyDescent="0.4">
      <c r="A287" s="216"/>
      <c r="B287" s="65"/>
      <c r="C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</row>
    <row r="288" spans="1:23" ht="15.75" customHeight="1" x14ac:dyDescent="0.4">
      <c r="A288" s="216"/>
      <c r="B288" s="65"/>
      <c r="C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</row>
    <row r="289" spans="1:23" ht="15.75" customHeight="1" x14ac:dyDescent="0.4">
      <c r="A289" s="216"/>
      <c r="B289" s="65"/>
      <c r="C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</row>
    <row r="290" spans="1:23" ht="15.75" customHeight="1" x14ac:dyDescent="0.4">
      <c r="A290" s="216"/>
      <c r="B290" s="65"/>
      <c r="C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</row>
    <row r="291" spans="1:23" ht="15.75" customHeight="1" x14ac:dyDescent="0.4">
      <c r="A291" s="216"/>
      <c r="B291" s="65"/>
      <c r="C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</row>
    <row r="292" spans="1:23" ht="15.75" customHeight="1" x14ac:dyDescent="0.4">
      <c r="A292" s="216"/>
      <c r="B292" s="65"/>
      <c r="C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</row>
    <row r="293" spans="1:23" ht="15.75" customHeight="1" x14ac:dyDescent="0.4">
      <c r="A293" s="216"/>
      <c r="B293" s="65"/>
      <c r="C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</row>
    <row r="294" spans="1:23" ht="15.75" customHeight="1" x14ac:dyDescent="0.4">
      <c r="A294" s="216"/>
      <c r="B294" s="65"/>
      <c r="C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</row>
    <row r="295" spans="1:23" ht="15.75" customHeight="1" x14ac:dyDescent="0.4">
      <c r="A295" s="216"/>
      <c r="B295" s="65"/>
      <c r="C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</row>
    <row r="296" spans="1:23" ht="15.75" customHeight="1" x14ac:dyDescent="0.4">
      <c r="A296" s="216"/>
      <c r="B296" s="65"/>
      <c r="C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</row>
    <row r="297" spans="1:23" ht="15.75" customHeight="1" x14ac:dyDescent="0.4">
      <c r="A297" s="216"/>
      <c r="B297" s="65"/>
      <c r="C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</row>
    <row r="298" spans="1:23" ht="15.75" customHeight="1" x14ac:dyDescent="0.4">
      <c r="A298" s="216"/>
      <c r="B298" s="65"/>
      <c r="C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</row>
    <row r="299" spans="1:23" ht="15.75" customHeight="1" x14ac:dyDescent="0.4">
      <c r="A299" s="216"/>
      <c r="B299" s="65"/>
      <c r="C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</row>
    <row r="300" spans="1:23" ht="15.75" customHeight="1" x14ac:dyDescent="0.4">
      <c r="A300" s="216"/>
      <c r="B300" s="65"/>
      <c r="C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</row>
    <row r="301" spans="1:23" ht="15.75" customHeight="1" x14ac:dyDescent="0.4">
      <c r="A301" s="216"/>
      <c r="B301" s="65"/>
      <c r="C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</row>
    <row r="302" spans="1:23" ht="15.75" customHeight="1" x14ac:dyDescent="0.4">
      <c r="A302" s="216"/>
      <c r="B302" s="65"/>
      <c r="C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</row>
    <row r="303" spans="1:23" ht="15.75" customHeight="1" x14ac:dyDescent="0.4">
      <c r="A303" s="216"/>
      <c r="B303" s="65"/>
      <c r="C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</row>
    <row r="304" spans="1:23" ht="15.75" customHeight="1" x14ac:dyDescent="0.4">
      <c r="A304" s="216"/>
      <c r="B304" s="65"/>
      <c r="C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</row>
    <row r="305" spans="1:23" ht="15.75" customHeight="1" x14ac:dyDescent="0.4">
      <c r="A305" s="216"/>
      <c r="B305" s="65"/>
      <c r="C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</row>
    <row r="306" spans="1:23" ht="15.75" customHeight="1" x14ac:dyDescent="0.4">
      <c r="A306" s="216"/>
      <c r="B306" s="65"/>
      <c r="C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</row>
    <row r="307" spans="1:23" ht="15.75" customHeight="1" x14ac:dyDescent="0.4">
      <c r="A307" s="216"/>
      <c r="B307" s="65"/>
      <c r="C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</row>
    <row r="308" spans="1:23" ht="15.75" customHeight="1" x14ac:dyDescent="0.4">
      <c r="A308" s="216"/>
      <c r="B308" s="65"/>
      <c r="C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</row>
    <row r="309" spans="1:23" ht="15.75" customHeight="1" x14ac:dyDescent="0.4">
      <c r="A309" s="216"/>
      <c r="B309" s="65"/>
      <c r="C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</row>
    <row r="310" spans="1:23" ht="15.75" customHeight="1" x14ac:dyDescent="0.4">
      <c r="A310" s="216"/>
      <c r="B310" s="65"/>
      <c r="C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</row>
    <row r="311" spans="1:23" ht="15.75" customHeight="1" x14ac:dyDescent="0.4">
      <c r="A311" s="216"/>
      <c r="B311" s="65"/>
      <c r="C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</row>
    <row r="312" spans="1:23" ht="15.75" customHeight="1" x14ac:dyDescent="0.4">
      <c r="A312" s="216"/>
      <c r="B312" s="65"/>
      <c r="C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</row>
    <row r="313" spans="1:23" ht="15.75" customHeight="1" x14ac:dyDescent="0.4">
      <c r="A313" s="216"/>
      <c r="B313" s="65"/>
      <c r="C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</row>
    <row r="314" spans="1:23" ht="15.75" customHeight="1" x14ac:dyDescent="0.4">
      <c r="A314" s="216"/>
      <c r="B314" s="65"/>
      <c r="C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</row>
    <row r="315" spans="1:23" ht="15.75" customHeight="1" x14ac:dyDescent="0.4">
      <c r="A315" s="216"/>
      <c r="B315" s="65"/>
      <c r="C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</row>
    <row r="316" spans="1:23" ht="15.75" customHeight="1" x14ac:dyDescent="0.4">
      <c r="A316" s="216"/>
      <c r="B316" s="65"/>
      <c r="C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</row>
    <row r="317" spans="1:23" ht="15.75" customHeight="1" x14ac:dyDescent="0.4">
      <c r="A317" s="216"/>
      <c r="B317" s="65"/>
      <c r="C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</row>
    <row r="318" spans="1:23" ht="15.75" customHeight="1" x14ac:dyDescent="0.4">
      <c r="A318" s="216"/>
      <c r="B318" s="65"/>
      <c r="C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</row>
    <row r="319" spans="1:23" ht="15.75" customHeight="1" x14ac:dyDescent="0.4">
      <c r="A319" s="216"/>
      <c r="B319" s="65"/>
      <c r="C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</row>
    <row r="320" spans="1:23" ht="15.75" customHeight="1" x14ac:dyDescent="0.4">
      <c r="A320" s="216"/>
      <c r="B320" s="65"/>
      <c r="C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</row>
    <row r="321" spans="1:23" ht="15.75" customHeight="1" x14ac:dyDescent="0.4">
      <c r="A321" s="216"/>
      <c r="B321" s="65"/>
      <c r="C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</row>
    <row r="322" spans="1:23" ht="15.75" customHeight="1" x14ac:dyDescent="0.4">
      <c r="A322" s="216"/>
      <c r="B322" s="65"/>
      <c r="C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</row>
    <row r="323" spans="1:23" ht="15.75" customHeight="1" x14ac:dyDescent="0.4">
      <c r="A323" s="216"/>
      <c r="B323" s="65"/>
      <c r="C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</row>
    <row r="324" spans="1:23" ht="15.75" customHeight="1" x14ac:dyDescent="0.4">
      <c r="A324" s="216"/>
      <c r="B324" s="65"/>
      <c r="C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</row>
    <row r="325" spans="1:23" ht="15.75" customHeight="1" x14ac:dyDescent="0.4">
      <c r="A325" s="216"/>
      <c r="B325" s="65"/>
      <c r="C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</row>
    <row r="326" spans="1:23" ht="15.75" customHeight="1" x14ac:dyDescent="0.4">
      <c r="A326" s="216"/>
      <c r="B326" s="65"/>
      <c r="C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</row>
    <row r="327" spans="1:23" ht="15.75" customHeight="1" x14ac:dyDescent="0.4">
      <c r="A327" s="216"/>
      <c r="B327" s="65"/>
      <c r="C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</row>
    <row r="328" spans="1:23" ht="15.75" customHeight="1" x14ac:dyDescent="0.4">
      <c r="A328" s="216"/>
      <c r="B328" s="65"/>
      <c r="C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</row>
    <row r="329" spans="1:23" ht="15.75" customHeight="1" x14ac:dyDescent="0.4">
      <c r="A329" s="216"/>
      <c r="B329" s="65"/>
      <c r="C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</row>
    <row r="330" spans="1:23" ht="15.75" customHeight="1" x14ac:dyDescent="0.4">
      <c r="A330" s="216"/>
      <c r="B330" s="65"/>
      <c r="C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</row>
    <row r="331" spans="1:23" ht="15.75" customHeight="1" x14ac:dyDescent="0.4">
      <c r="A331" s="216"/>
      <c r="B331" s="65"/>
      <c r="C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</row>
    <row r="332" spans="1:23" ht="15.75" customHeight="1" x14ac:dyDescent="0.4">
      <c r="A332" s="216"/>
      <c r="B332" s="65"/>
      <c r="C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</row>
    <row r="333" spans="1:23" ht="15.75" customHeight="1" x14ac:dyDescent="0.4">
      <c r="A333" s="216"/>
      <c r="B333" s="65"/>
      <c r="C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</row>
    <row r="334" spans="1:23" ht="15.75" customHeight="1" x14ac:dyDescent="0.4">
      <c r="A334" s="216"/>
      <c r="B334" s="65"/>
      <c r="C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</row>
    <row r="335" spans="1:23" ht="15.75" customHeight="1" x14ac:dyDescent="0.4">
      <c r="A335" s="216"/>
      <c r="B335" s="65"/>
      <c r="C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</row>
    <row r="336" spans="1:23" ht="15.75" customHeight="1" x14ac:dyDescent="0.4">
      <c r="A336" s="216"/>
      <c r="B336" s="65"/>
      <c r="C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</row>
    <row r="337" spans="1:23" ht="15.75" customHeight="1" x14ac:dyDescent="0.4">
      <c r="A337" s="216"/>
      <c r="B337" s="65"/>
      <c r="C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</row>
    <row r="338" spans="1:23" ht="15.75" customHeight="1" x14ac:dyDescent="0.4">
      <c r="A338" s="216"/>
      <c r="B338" s="65"/>
      <c r="C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</row>
    <row r="339" spans="1:23" ht="15.75" customHeight="1" x14ac:dyDescent="0.4">
      <c r="A339" s="216"/>
      <c r="B339" s="65"/>
      <c r="C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</row>
    <row r="340" spans="1:23" ht="15.75" customHeight="1" x14ac:dyDescent="0.4">
      <c r="A340" s="216"/>
      <c r="B340" s="65"/>
      <c r="C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</row>
    <row r="341" spans="1:23" ht="15.75" customHeight="1" x14ac:dyDescent="0.4">
      <c r="A341" s="216"/>
      <c r="B341" s="65"/>
      <c r="C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</row>
    <row r="342" spans="1:23" ht="15.75" customHeight="1" x14ac:dyDescent="0.4">
      <c r="A342" s="216"/>
      <c r="B342" s="65"/>
      <c r="C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</row>
    <row r="343" spans="1:23" ht="15.75" customHeight="1" x14ac:dyDescent="0.4">
      <c r="A343" s="216"/>
      <c r="B343" s="65"/>
      <c r="C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</row>
    <row r="344" spans="1:23" ht="15.75" customHeight="1" x14ac:dyDescent="0.4">
      <c r="A344" s="216"/>
      <c r="B344" s="65"/>
      <c r="C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</row>
    <row r="345" spans="1:23" ht="15.75" customHeight="1" x14ac:dyDescent="0.4">
      <c r="A345" s="216"/>
      <c r="B345" s="65"/>
      <c r="C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</row>
    <row r="346" spans="1:23" ht="15.75" customHeight="1" x14ac:dyDescent="0.4">
      <c r="A346" s="216"/>
      <c r="B346" s="65"/>
      <c r="C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</row>
    <row r="347" spans="1:23" ht="15.75" customHeight="1" x14ac:dyDescent="0.4">
      <c r="A347" s="216"/>
      <c r="B347" s="65"/>
      <c r="C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</row>
    <row r="348" spans="1:23" ht="15.75" customHeight="1" x14ac:dyDescent="0.4">
      <c r="A348" s="216"/>
      <c r="B348" s="65"/>
      <c r="C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</row>
    <row r="349" spans="1:23" ht="15.75" customHeight="1" x14ac:dyDescent="0.4">
      <c r="A349" s="216"/>
      <c r="B349" s="65"/>
      <c r="C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</row>
    <row r="350" spans="1:23" ht="15.75" customHeight="1" x14ac:dyDescent="0.4">
      <c r="A350" s="216"/>
      <c r="B350" s="65"/>
      <c r="C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</row>
    <row r="351" spans="1:23" ht="15.75" customHeight="1" x14ac:dyDescent="0.4">
      <c r="A351" s="216"/>
      <c r="B351" s="65"/>
      <c r="C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</row>
    <row r="352" spans="1:23" ht="15.75" customHeight="1" x14ac:dyDescent="0.4">
      <c r="A352" s="216"/>
      <c r="B352" s="65"/>
      <c r="C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</row>
    <row r="353" spans="1:23" ht="15.75" customHeight="1" x14ac:dyDescent="0.4">
      <c r="A353" s="216"/>
      <c r="B353" s="65"/>
      <c r="C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</row>
    <row r="354" spans="1:23" ht="15.75" customHeight="1" x14ac:dyDescent="0.4">
      <c r="A354" s="216"/>
      <c r="B354" s="65"/>
      <c r="C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</row>
    <row r="355" spans="1:23" ht="15.75" customHeight="1" x14ac:dyDescent="0.4">
      <c r="A355" s="216"/>
      <c r="B355" s="65"/>
      <c r="C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</row>
    <row r="356" spans="1:23" ht="15.75" customHeight="1" x14ac:dyDescent="0.4">
      <c r="A356" s="216"/>
      <c r="B356" s="65"/>
      <c r="C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</row>
    <row r="357" spans="1:23" ht="15.75" customHeight="1" x14ac:dyDescent="0.4">
      <c r="A357" s="216"/>
      <c r="B357" s="65"/>
      <c r="C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</row>
    <row r="358" spans="1:23" ht="15.75" customHeight="1" x14ac:dyDescent="0.4">
      <c r="A358" s="216"/>
      <c r="B358" s="65"/>
      <c r="C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</row>
    <row r="359" spans="1:23" ht="15.75" customHeight="1" x14ac:dyDescent="0.4">
      <c r="A359" s="216"/>
      <c r="B359" s="65"/>
      <c r="C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</row>
    <row r="360" spans="1:23" ht="15.75" customHeight="1" x14ac:dyDescent="0.4">
      <c r="A360" s="216"/>
      <c r="B360" s="65"/>
      <c r="C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</row>
    <row r="361" spans="1:23" ht="15.75" customHeight="1" x14ac:dyDescent="0.4">
      <c r="A361" s="216"/>
      <c r="B361" s="65"/>
      <c r="C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</row>
    <row r="362" spans="1:23" ht="15.75" customHeight="1" x14ac:dyDescent="0.4">
      <c r="A362" s="216"/>
      <c r="B362" s="65"/>
      <c r="C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</row>
    <row r="363" spans="1:23" ht="15.75" customHeight="1" x14ac:dyDescent="0.4">
      <c r="A363" s="216"/>
      <c r="B363" s="65"/>
      <c r="C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</row>
    <row r="364" spans="1:23" ht="15.75" customHeight="1" x14ac:dyDescent="0.4">
      <c r="A364" s="216"/>
      <c r="B364" s="65"/>
      <c r="C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</row>
    <row r="365" spans="1:23" ht="15.75" customHeight="1" x14ac:dyDescent="0.4">
      <c r="A365" s="216"/>
      <c r="B365" s="65"/>
      <c r="C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</row>
    <row r="366" spans="1:23" ht="15.75" customHeight="1" x14ac:dyDescent="0.4">
      <c r="A366" s="216"/>
      <c r="B366" s="65"/>
      <c r="C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</row>
    <row r="367" spans="1:23" ht="15.75" customHeight="1" x14ac:dyDescent="0.4">
      <c r="A367" s="216"/>
      <c r="B367" s="65"/>
      <c r="C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</row>
    <row r="368" spans="1:23" ht="15.75" customHeight="1" x14ac:dyDescent="0.4">
      <c r="A368" s="216"/>
      <c r="B368" s="65"/>
      <c r="C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</row>
    <row r="369" spans="1:23" ht="15.75" customHeight="1" x14ac:dyDescent="0.4">
      <c r="A369" s="216"/>
      <c r="B369" s="65"/>
      <c r="C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</row>
    <row r="370" spans="1:23" ht="15.75" customHeight="1" x14ac:dyDescent="0.4">
      <c r="A370" s="216"/>
      <c r="B370" s="65"/>
      <c r="C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</row>
    <row r="371" spans="1:23" ht="15.75" customHeight="1" x14ac:dyDescent="0.4">
      <c r="A371" s="216"/>
      <c r="B371" s="65"/>
      <c r="C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</row>
    <row r="372" spans="1:23" ht="15.75" customHeight="1" x14ac:dyDescent="0.4">
      <c r="A372" s="216"/>
      <c r="B372" s="65"/>
      <c r="C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</row>
    <row r="373" spans="1:23" ht="15.75" customHeight="1" x14ac:dyDescent="0.4">
      <c r="A373" s="216"/>
      <c r="B373" s="65"/>
      <c r="C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</row>
    <row r="374" spans="1:23" ht="15.75" customHeight="1" x14ac:dyDescent="0.4">
      <c r="A374" s="216"/>
      <c r="B374" s="65"/>
      <c r="C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</row>
    <row r="375" spans="1:23" ht="15.75" customHeight="1" x14ac:dyDescent="0.4">
      <c r="A375" s="216"/>
      <c r="B375" s="65"/>
      <c r="C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</row>
    <row r="376" spans="1:23" ht="15.75" customHeight="1" x14ac:dyDescent="0.4">
      <c r="A376" s="216"/>
      <c r="B376" s="65"/>
      <c r="C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</row>
    <row r="377" spans="1:23" ht="15.75" customHeight="1" x14ac:dyDescent="0.4">
      <c r="A377" s="216"/>
      <c r="B377" s="65"/>
      <c r="C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</row>
    <row r="378" spans="1:23" ht="15.75" customHeight="1" x14ac:dyDescent="0.4">
      <c r="A378" s="216"/>
      <c r="B378" s="65"/>
      <c r="C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</row>
    <row r="379" spans="1:23" ht="15.75" customHeight="1" x14ac:dyDescent="0.4">
      <c r="A379" s="216"/>
      <c r="B379" s="65"/>
      <c r="C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</row>
    <row r="380" spans="1:23" ht="15.75" customHeight="1" x14ac:dyDescent="0.4">
      <c r="A380" s="216"/>
      <c r="B380" s="65"/>
      <c r="C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</row>
    <row r="381" spans="1:23" ht="15.75" customHeight="1" x14ac:dyDescent="0.4">
      <c r="A381" s="216"/>
      <c r="B381" s="65"/>
      <c r="C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</row>
    <row r="382" spans="1:23" ht="15.75" customHeight="1" x14ac:dyDescent="0.4">
      <c r="A382" s="216"/>
      <c r="B382" s="65"/>
      <c r="C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</row>
    <row r="383" spans="1:23" ht="15.75" customHeight="1" x14ac:dyDescent="0.4">
      <c r="A383" s="216"/>
      <c r="B383" s="65"/>
      <c r="C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</row>
    <row r="384" spans="1:23" ht="15.75" customHeight="1" x14ac:dyDescent="0.4">
      <c r="A384" s="216"/>
      <c r="B384" s="65"/>
      <c r="C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</row>
    <row r="385" spans="1:23" ht="15.75" customHeight="1" x14ac:dyDescent="0.4">
      <c r="A385" s="216"/>
      <c r="B385" s="65"/>
      <c r="C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</row>
    <row r="386" spans="1:23" ht="15.75" customHeight="1" x14ac:dyDescent="0.4">
      <c r="A386" s="216"/>
      <c r="B386" s="65"/>
      <c r="C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</row>
    <row r="387" spans="1:23" ht="15.75" customHeight="1" x14ac:dyDescent="0.4">
      <c r="A387" s="216"/>
      <c r="B387" s="65"/>
      <c r="C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</row>
    <row r="388" spans="1:23" ht="15.75" customHeight="1" x14ac:dyDescent="0.4">
      <c r="A388" s="216"/>
      <c r="B388" s="65"/>
      <c r="C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</row>
    <row r="389" spans="1:23" ht="15.75" customHeight="1" x14ac:dyDescent="0.4">
      <c r="A389" s="216"/>
      <c r="B389" s="65"/>
      <c r="C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</row>
    <row r="390" spans="1:23" ht="15.75" customHeight="1" x14ac:dyDescent="0.4">
      <c r="A390" s="216"/>
      <c r="B390" s="65"/>
      <c r="C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</row>
    <row r="391" spans="1:23" ht="15.75" customHeight="1" x14ac:dyDescent="0.4">
      <c r="A391" s="216"/>
      <c r="B391" s="65"/>
      <c r="C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</row>
    <row r="392" spans="1:23" ht="15.75" customHeight="1" x14ac:dyDescent="0.4">
      <c r="A392" s="216"/>
      <c r="B392" s="65"/>
      <c r="C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</row>
    <row r="393" spans="1:23" ht="15.75" customHeight="1" x14ac:dyDescent="0.4">
      <c r="A393" s="216"/>
      <c r="B393" s="65"/>
      <c r="C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</row>
    <row r="394" spans="1:23" ht="15.75" customHeight="1" x14ac:dyDescent="0.4">
      <c r="A394" s="216"/>
      <c r="B394" s="65"/>
      <c r="C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</row>
    <row r="395" spans="1:23" ht="15.75" customHeight="1" x14ac:dyDescent="0.4">
      <c r="A395" s="216"/>
      <c r="B395" s="65"/>
      <c r="C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</row>
    <row r="396" spans="1:23" ht="15.75" customHeight="1" x14ac:dyDescent="0.4">
      <c r="A396" s="216"/>
      <c r="B396" s="65"/>
      <c r="C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</row>
    <row r="397" spans="1:23" ht="15.75" customHeight="1" x14ac:dyDescent="0.4">
      <c r="A397" s="216"/>
      <c r="B397" s="65"/>
      <c r="C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</row>
    <row r="398" spans="1:23" ht="15.75" customHeight="1" x14ac:dyDescent="0.4">
      <c r="A398" s="216"/>
      <c r="B398" s="65"/>
      <c r="C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</row>
    <row r="399" spans="1:23" ht="15.75" customHeight="1" x14ac:dyDescent="0.4">
      <c r="A399" s="216"/>
      <c r="B399" s="65"/>
      <c r="C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</row>
    <row r="400" spans="1:23" ht="15.75" customHeight="1" x14ac:dyDescent="0.4">
      <c r="A400" s="216"/>
      <c r="B400" s="65"/>
      <c r="C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</row>
    <row r="401" spans="1:23" ht="15.75" customHeight="1" x14ac:dyDescent="0.4">
      <c r="A401" s="216"/>
      <c r="B401" s="65"/>
      <c r="C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</row>
    <row r="402" spans="1:23" ht="15.75" customHeight="1" x14ac:dyDescent="0.4">
      <c r="A402" s="216"/>
      <c r="B402" s="65"/>
      <c r="C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</row>
    <row r="403" spans="1:23" ht="15.75" customHeight="1" x14ac:dyDescent="0.4">
      <c r="A403" s="216"/>
      <c r="B403" s="65"/>
      <c r="C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</row>
    <row r="404" spans="1:23" ht="15.75" customHeight="1" x14ac:dyDescent="0.4">
      <c r="A404" s="216"/>
      <c r="B404" s="65"/>
      <c r="C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</row>
    <row r="405" spans="1:23" ht="15.75" customHeight="1" x14ac:dyDescent="0.4">
      <c r="A405" s="216"/>
      <c r="B405" s="65"/>
      <c r="C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</row>
    <row r="406" spans="1:23" ht="15.75" customHeight="1" x14ac:dyDescent="0.4">
      <c r="A406" s="216"/>
      <c r="B406" s="65"/>
      <c r="C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</row>
    <row r="407" spans="1:23" ht="15.75" customHeight="1" x14ac:dyDescent="0.4">
      <c r="A407" s="216"/>
      <c r="B407" s="65"/>
      <c r="C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</row>
    <row r="408" spans="1:23" ht="15.75" customHeight="1" x14ac:dyDescent="0.4">
      <c r="A408" s="216"/>
      <c r="B408" s="65"/>
      <c r="C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</row>
    <row r="409" spans="1:23" ht="15.75" customHeight="1" x14ac:dyDescent="0.4">
      <c r="A409" s="216"/>
      <c r="B409" s="65"/>
      <c r="C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</row>
    <row r="410" spans="1:23" ht="15.75" customHeight="1" x14ac:dyDescent="0.4">
      <c r="A410" s="216"/>
      <c r="B410" s="65"/>
      <c r="C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</row>
    <row r="411" spans="1:23" ht="15.75" customHeight="1" x14ac:dyDescent="0.4">
      <c r="A411" s="216"/>
      <c r="B411" s="65"/>
      <c r="C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</row>
    <row r="412" spans="1:23" ht="15.75" customHeight="1" x14ac:dyDescent="0.4">
      <c r="A412" s="216"/>
      <c r="B412" s="65"/>
      <c r="C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</row>
    <row r="413" spans="1:23" ht="15.75" customHeight="1" x14ac:dyDescent="0.4">
      <c r="A413" s="216"/>
      <c r="B413" s="65"/>
      <c r="C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</row>
    <row r="414" spans="1:23" ht="15.75" customHeight="1" x14ac:dyDescent="0.4">
      <c r="A414" s="216"/>
      <c r="B414" s="65"/>
      <c r="C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</row>
    <row r="415" spans="1:23" ht="15.75" customHeight="1" x14ac:dyDescent="0.4">
      <c r="A415" s="216"/>
      <c r="B415" s="65"/>
      <c r="C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</row>
    <row r="416" spans="1:23" ht="15.75" customHeight="1" x14ac:dyDescent="0.4">
      <c r="A416" s="216"/>
      <c r="B416" s="65"/>
      <c r="C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</row>
    <row r="417" spans="1:23" ht="15.75" customHeight="1" x14ac:dyDescent="0.4">
      <c r="A417" s="216"/>
      <c r="B417" s="65"/>
      <c r="C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</row>
    <row r="418" spans="1:23" ht="15.75" customHeight="1" x14ac:dyDescent="0.4">
      <c r="A418" s="216"/>
      <c r="B418" s="65"/>
      <c r="C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</row>
    <row r="419" spans="1:23" ht="15.75" customHeight="1" x14ac:dyDescent="0.4">
      <c r="A419" s="216"/>
      <c r="B419" s="65"/>
      <c r="C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</row>
    <row r="420" spans="1:23" ht="15.75" customHeight="1" x14ac:dyDescent="0.4">
      <c r="A420" s="216"/>
      <c r="B420" s="65"/>
      <c r="C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</row>
    <row r="421" spans="1:23" ht="15.75" customHeight="1" x14ac:dyDescent="0.4">
      <c r="A421" s="216"/>
      <c r="B421" s="65"/>
      <c r="C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</row>
    <row r="422" spans="1:23" ht="15.75" customHeight="1" x14ac:dyDescent="0.4">
      <c r="A422" s="216"/>
      <c r="B422" s="65"/>
      <c r="C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</row>
    <row r="423" spans="1:23" ht="15.75" customHeight="1" x14ac:dyDescent="0.4">
      <c r="A423" s="216"/>
      <c r="B423" s="65"/>
      <c r="C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</row>
    <row r="424" spans="1:23" ht="15.75" customHeight="1" x14ac:dyDescent="0.4">
      <c r="A424" s="216"/>
      <c r="B424" s="65"/>
      <c r="C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</row>
    <row r="425" spans="1:23" ht="15.75" customHeight="1" x14ac:dyDescent="0.4">
      <c r="A425" s="216"/>
      <c r="B425" s="65"/>
      <c r="C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</row>
    <row r="426" spans="1:23" ht="15.75" customHeight="1" x14ac:dyDescent="0.4">
      <c r="A426" s="216"/>
      <c r="B426" s="65"/>
      <c r="C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</row>
    <row r="427" spans="1:23" ht="15.75" customHeight="1" x14ac:dyDescent="0.4">
      <c r="A427" s="216"/>
      <c r="B427" s="65"/>
      <c r="C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</row>
    <row r="428" spans="1:23" ht="15.75" customHeight="1" x14ac:dyDescent="0.4">
      <c r="A428" s="216"/>
      <c r="B428" s="65"/>
      <c r="C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</row>
    <row r="429" spans="1:23" ht="15.75" customHeight="1" x14ac:dyDescent="0.4">
      <c r="A429" s="216"/>
      <c r="B429" s="65"/>
      <c r="C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</row>
    <row r="430" spans="1:23" ht="15.75" customHeight="1" x14ac:dyDescent="0.4">
      <c r="A430" s="216"/>
      <c r="B430" s="65"/>
      <c r="C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</row>
    <row r="431" spans="1:23" ht="15.75" customHeight="1" x14ac:dyDescent="0.4">
      <c r="A431" s="216"/>
      <c r="B431" s="65"/>
      <c r="C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</row>
    <row r="432" spans="1:23" ht="15.75" customHeight="1" x14ac:dyDescent="0.4">
      <c r="A432" s="216"/>
      <c r="B432" s="65"/>
      <c r="C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</row>
    <row r="433" spans="1:23" ht="15.75" customHeight="1" x14ac:dyDescent="0.4">
      <c r="A433" s="216"/>
      <c r="B433" s="65"/>
      <c r="C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</row>
    <row r="434" spans="1:23" ht="15.75" customHeight="1" x14ac:dyDescent="0.4">
      <c r="A434" s="216"/>
      <c r="B434" s="65"/>
      <c r="C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</row>
    <row r="435" spans="1:23" ht="15.75" customHeight="1" x14ac:dyDescent="0.4">
      <c r="A435" s="216"/>
      <c r="B435" s="65"/>
      <c r="C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</row>
    <row r="436" spans="1:23" ht="15.75" customHeight="1" x14ac:dyDescent="0.4">
      <c r="A436" s="216"/>
      <c r="B436" s="65"/>
      <c r="C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</row>
    <row r="437" spans="1:23" ht="15.75" customHeight="1" x14ac:dyDescent="0.4">
      <c r="A437" s="216"/>
      <c r="B437" s="65"/>
      <c r="C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</row>
    <row r="438" spans="1:23" ht="15.75" customHeight="1" x14ac:dyDescent="0.4">
      <c r="A438" s="216"/>
      <c r="B438" s="65"/>
      <c r="C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</row>
    <row r="439" spans="1:23" ht="15.75" customHeight="1" x14ac:dyDescent="0.4">
      <c r="A439" s="216"/>
      <c r="B439" s="65"/>
      <c r="C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</row>
    <row r="440" spans="1:23" ht="15.75" customHeight="1" x14ac:dyDescent="0.4">
      <c r="A440" s="216"/>
      <c r="B440" s="65"/>
      <c r="C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</row>
    <row r="441" spans="1:23" ht="15.75" customHeight="1" x14ac:dyDescent="0.4">
      <c r="A441" s="216"/>
      <c r="B441" s="65"/>
      <c r="C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</row>
    <row r="442" spans="1:23" ht="15.75" customHeight="1" x14ac:dyDescent="0.4">
      <c r="A442" s="216"/>
      <c r="B442" s="65"/>
      <c r="C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</row>
    <row r="443" spans="1:23" ht="15.75" customHeight="1" x14ac:dyDescent="0.4">
      <c r="A443" s="216"/>
      <c r="B443" s="65"/>
      <c r="C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</row>
    <row r="444" spans="1:23" ht="15.75" customHeight="1" x14ac:dyDescent="0.4">
      <c r="A444" s="216"/>
      <c r="B444" s="65"/>
      <c r="C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</row>
    <row r="445" spans="1:23" ht="15.75" customHeight="1" x14ac:dyDescent="0.4">
      <c r="A445" s="216"/>
      <c r="B445" s="65"/>
      <c r="C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</row>
    <row r="446" spans="1:23" ht="15.75" customHeight="1" x14ac:dyDescent="0.4">
      <c r="A446" s="216"/>
      <c r="B446" s="65"/>
      <c r="C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</row>
    <row r="447" spans="1:23" ht="15.75" customHeight="1" x14ac:dyDescent="0.4">
      <c r="A447" s="216"/>
      <c r="B447" s="65"/>
      <c r="C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</row>
    <row r="448" spans="1:23" ht="15.75" customHeight="1" x14ac:dyDescent="0.4">
      <c r="A448" s="216"/>
      <c r="B448" s="65"/>
      <c r="C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</row>
    <row r="449" spans="1:23" ht="15.75" customHeight="1" x14ac:dyDescent="0.4">
      <c r="A449" s="216"/>
      <c r="B449" s="65"/>
      <c r="C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</row>
    <row r="450" spans="1:23" ht="15.75" customHeight="1" x14ac:dyDescent="0.4">
      <c r="A450" s="216"/>
      <c r="B450" s="65"/>
      <c r="C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</row>
    <row r="451" spans="1:23" ht="15.75" customHeight="1" x14ac:dyDescent="0.4">
      <c r="A451" s="216"/>
      <c r="B451" s="65"/>
      <c r="C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</row>
    <row r="452" spans="1:23" ht="15.75" customHeight="1" x14ac:dyDescent="0.4">
      <c r="A452" s="216"/>
      <c r="B452" s="65"/>
      <c r="C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</row>
    <row r="453" spans="1:23" ht="15.75" customHeight="1" x14ac:dyDescent="0.4">
      <c r="A453" s="216"/>
      <c r="B453" s="65"/>
      <c r="C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</row>
    <row r="454" spans="1:23" ht="15.75" customHeight="1" x14ac:dyDescent="0.4">
      <c r="A454" s="216"/>
      <c r="B454" s="65"/>
      <c r="C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</row>
    <row r="455" spans="1:23" ht="15.75" customHeight="1" x14ac:dyDescent="0.4">
      <c r="A455" s="216"/>
      <c r="B455" s="65"/>
      <c r="C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</row>
    <row r="456" spans="1:23" ht="15.75" customHeight="1" x14ac:dyDescent="0.4">
      <c r="A456" s="216"/>
      <c r="B456" s="65"/>
      <c r="C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</row>
    <row r="457" spans="1:23" ht="15.75" customHeight="1" x14ac:dyDescent="0.4">
      <c r="A457" s="216"/>
      <c r="B457" s="65"/>
      <c r="C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</row>
    <row r="458" spans="1:23" ht="15.75" customHeight="1" x14ac:dyDescent="0.4">
      <c r="A458" s="216"/>
      <c r="B458" s="65"/>
      <c r="C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</row>
    <row r="459" spans="1:23" ht="15.75" customHeight="1" x14ac:dyDescent="0.4">
      <c r="A459" s="216"/>
      <c r="B459" s="65"/>
      <c r="C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</row>
    <row r="460" spans="1:23" ht="15.75" customHeight="1" x14ac:dyDescent="0.4">
      <c r="A460" s="216"/>
      <c r="B460" s="65"/>
      <c r="C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</row>
    <row r="461" spans="1:23" ht="15.75" customHeight="1" x14ac:dyDescent="0.4">
      <c r="A461" s="216"/>
      <c r="B461" s="65"/>
      <c r="C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</row>
    <row r="462" spans="1:23" ht="15.75" customHeight="1" x14ac:dyDescent="0.4">
      <c r="A462" s="216"/>
      <c r="B462" s="65"/>
      <c r="C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</row>
    <row r="463" spans="1:23" ht="15.75" customHeight="1" x14ac:dyDescent="0.4">
      <c r="A463" s="216"/>
      <c r="B463" s="65"/>
      <c r="C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</row>
    <row r="464" spans="1:23" ht="15.75" customHeight="1" x14ac:dyDescent="0.4">
      <c r="A464" s="216"/>
      <c r="B464" s="65"/>
      <c r="C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</row>
    <row r="465" spans="1:23" ht="15.75" customHeight="1" x14ac:dyDescent="0.4">
      <c r="A465" s="216"/>
      <c r="B465" s="65"/>
      <c r="C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</row>
    <row r="466" spans="1:23" ht="15.75" customHeight="1" x14ac:dyDescent="0.4">
      <c r="A466" s="216"/>
      <c r="B466" s="65"/>
      <c r="C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</row>
    <row r="467" spans="1:23" ht="15.75" customHeight="1" x14ac:dyDescent="0.4">
      <c r="A467" s="216"/>
      <c r="B467" s="65"/>
      <c r="C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</row>
    <row r="468" spans="1:23" ht="15.75" customHeight="1" x14ac:dyDescent="0.4">
      <c r="A468" s="216"/>
      <c r="B468" s="65"/>
      <c r="C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</row>
    <row r="469" spans="1:23" ht="15.75" customHeight="1" x14ac:dyDescent="0.4">
      <c r="A469" s="216"/>
      <c r="B469" s="65"/>
      <c r="C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</row>
    <row r="470" spans="1:23" ht="15.75" customHeight="1" x14ac:dyDescent="0.4">
      <c r="A470" s="216"/>
      <c r="B470" s="65"/>
      <c r="C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</row>
    <row r="471" spans="1:23" ht="15.75" customHeight="1" x14ac:dyDescent="0.4">
      <c r="A471" s="216"/>
      <c r="B471" s="65"/>
      <c r="C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</row>
    <row r="472" spans="1:23" ht="15.75" customHeight="1" x14ac:dyDescent="0.4">
      <c r="A472" s="216"/>
      <c r="B472" s="65"/>
      <c r="C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</row>
    <row r="473" spans="1:23" ht="15.75" customHeight="1" x14ac:dyDescent="0.4">
      <c r="A473" s="216"/>
      <c r="B473" s="65"/>
      <c r="C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</row>
    <row r="474" spans="1:23" ht="15.75" customHeight="1" x14ac:dyDescent="0.4">
      <c r="A474" s="216"/>
      <c r="B474" s="65"/>
      <c r="C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</row>
    <row r="475" spans="1:23" ht="15.75" customHeight="1" x14ac:dyDescent="0.4">
      <c r="A475" s="216"/>
      <c r="B475" s="65"/>
      <c r="C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</row>
    <row r="476" spans="1:23" ht="15.75" customHeight="1" x14ac:dyDescent="0.4">
      <c r="A476" s="216"/>
      <c r="B476" s="65"/>
      <c r="C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</row>
    <row r="477" spans="1:23" ht="15.75" customHeight="1" x14ac:dyDescent="0.4">
      <c r="A477" s="216"/>
      <c r="B477" s="65"/>
      <c r="C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</row>
    <row r="478" spans="1:23" ht="15.75" customHeight="1" x14ac:dyDescent="0.4">
      <c r="A478" s="216"/>
      <c r="B478" s="65"/>
      <c r="C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</row>
    <row r="479" spans="1:23" ht="15.75" customHeight="1" x14ac:dyDescent="0.4">
      <c r="A479" s="216"/>
      <c r="B479" s="65"/>
      <c r="C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</row>
    <row r="480" spans="1:23" ht="15.75" customHeight="1" x14ac:dyDescent="0.4">
      <c r="A480" s="216"/>
      <c r="B480" s="65"/>
      <c r="C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</row>
    <row r="481" spans="1:23" ht="15.75" customHeight="1" x14ac:dyDescent="0.4">
      <c r="A481" s="216"/>
      <c r="B481" s="65"/>
      <c r="C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</row>
    <row r="482" spans="1:23" ht="15.75" customHeight="1" x14ac:dyDescent="0.4">
      <c r="A482" s="216"/>
      <c r="B482" s="65"/>
      <c r="C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</row>
    <row r="483" spans="1:23" ht="15.75" customHeight="1" x14ac:dyDescent="0.4">
      <c r="A483" s="216"/>
      <c r="B483" s="65"/>
      <c r="C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</row>
    <row r="484" spans="1:23" ht="15.75" customHeight="1" x14ac:dyDescent="0.4">
      <c r="A484" s="216"/>
      <c r="B484" s="65"/>
      <c r="C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</row>
    <row r="485" spans="1:23" ht="15.75" customHeight="1" x14ac:dyDescent="0.4">
      <c r="A485" s="216"/>
      <c r="B485" s="65"/>
      <c r="C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</row>
    <row r="486" spans="1:23" ht="15.75" customHeight="1" x14ac:dyDescent="0.4">
      <c r="A486" s="216"/>
      <c r="B486" s="65"/>
      <c r="C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</row>
    <row r="487" spans="1:23" ht="15.75" customHeight="1" x14ac:dyDescent="0.4">
      <c r="A487" s="216"/>
      <c r="B487" s="65"/>
      <c r="C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</row>
    <row r="488" spans="1:23" ht="15.75" customHeight="1" x14ac:dyDescent="0.4">
      <c r="A488" s="216"/>
      <c r="B488" s="65"/>
      <c r="C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</row>
    <row r="489" spans="1:23" ht="15.75" customHeight="1" x14ac:dyDescent="0.4">
      <c r="A489" s="216"/>
      <c r="B489" s="65"/>
      <c r="C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</row>
    <row r="490" spans="1:23" ht="15.75" customHeight="1" x14ac:dyDescent="0.4">
      <c r="A490" s="216"/>
      <c r="B490" s="65"/>
      <c r="C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</row>
    <row r="491" spans="1:23" ht="15.75" customHeight="1" x14ac:dyDescent="0.4">
      <c r="A491" s="216"/>
      <c r="B491" s="65"/>
      <c r="C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</row>
    <row r="492" spans="1:23" ht="15.75" customHeight="1" x14ac:dyDescent="0.4">
      <c r="A492" s="216"/>
      <c r="B492" s="65"/>
      <c r="C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</row>
    <row r="493" spans="1:23" ht="15.75" customHeight="1" x14ac:dyDescent="0.4">
      <c r="A493" s="216"/>
      <c r="B493" s="65"/>
      <c r="C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</row>
    <row r="494" spans="1:23" ht="15.75" customHeight="1" x14ac:dyDescent="0.4">
      <c r="A494" s="216"/>
      <c r="B494" s="65"/>
      <c r="C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</row>
    <row r="495" spans="1:23" ht="15.75" customHeight="1" x14ac:dyDescent="0.4">
      <c r="A495" s="216"/>
      <c r="B495" s="65"/>
      <c r="C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</row>
    <row r="496" spans="1:23" ht="15.75" customHeight="1" x14ac:dyDescent="0.4">
      <c r="A496" s="216"/>
      <c r="B496" s="65"/>
      <c r="C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</row>
    <row r="497" spans="1:23" ht="15.75" customHeight="1" x14ac:dyDescent="0.4">
      <c r="A497" s="216"/>
      <c r="B497" s="65"/>
      <c r="C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</row>
    <row r="498" spans="1:23" ht="15.75" customHeight="1" x14ac:dyDescent="0.4">
      <c r="A498" s="216"/>
      <c r="B498" s="65"/>
      <c r="C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</row>
    <row r="499" spans="1:23" ht="15.75" customHeight="1" x14ac:dyDescent="0.4">
      <c r="A499" s="216"/>
      <c r="B499" s="65"/>
      <c r="C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</row>
    <row r="500" spans="1:23" ht="15.75" customHeight="1" x14ac:dyDescent="0.4">
      <c r="A500" s="216"/>
      <c r="B500" s="65"/>
      <c r="C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</row>
    <row r="501" spans="1:23" ht="15.75" customHeight="1" x14ac:dyDescent="0.4">
      <c r="A501" s="216"/>
      <c r="B501" s="65"/>
      <c r="C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</row>
    <row r="502" spans="1:23" ht="15.75" customHeight="1" x14ac:dyDescent="0.4">
      <c r="A502" s="216"/>
      <c r="B502" s="65"/>
      <c r="C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</row>
    <row r="503" spans="1:23" ht="15.75" customHeight="1" x14ac:dyDescent="0.4">
      <c r="A503" s="216"/>
      <c r="B503" s="65"/>
      <c r="C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</row>
    <row r="504" spans="1:23" ht="15.75" customHeight="1" x14ac:dyDescent="0.4">
      <c r="A504" s="216"/>
      <c r="B504" s="65"/>
      <c r="C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</row>
    <row r="505" spans="1:23" ht="15.75" customHeight="1" x14ac:dyDescent="0.4">
      <c r="A505" s="216"/>
      <c r="B505" s="65"/>
      <c r="C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</row>
    <row r="506" spans="1:23" ht="15.75" customHeight="1" x14ac:dyDescent="0.4">
      <c r="A506" s="216"/>
      <c r="B506" s="65"/>
      <c r="C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</row>
    <row r="507" spans="1:23" ht="15.75" customHeight="1" x14ac:dyDescent="0.4">
      <c r="A507" s="216"/>
      <c r="B507" s="65"/>
      <c r="C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</row>
    <row r="508" spans="1:23" ht="15.75" customHeight="1" x14ac:dyDescent="0.4">
      <c r="A508" s="216"/>
      <c r="B508" s="65"/>
      <c r="C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</row>
    <row r="509" spans="1:23" ht="15.75" customHeight="1" x14ac:dyDescent="0.4">
      <c r="A509" s="216"/>
      <c r="B509" s="65"/>
      <c r="C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</row>
    <row r="510" spans="1:23" ht="15.75" customHeight="1" x14ac:dyDescent="0.4">
      <c r="A510" s="216"/>
      <c r="B510" s="65"/>
      <c r="C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</row>
    <row r="511" spans="1:23" ht="15.75" customHeight="1" x14ac:dyDescent="0.4">
      <c r="A511" s="216"/>
      <c r="B511" s="65"/>
      <c r="C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</row>
    <row r="512" spans="1:23" ht="15.75" customHeight="1" x14ac:dyDescent="0.4">
      <c r="A512" s="216"/>
      <c r="B512" s="65"/>
      <c r="C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</row>
    <row r="513" spans="1:23" ht="15.75" customHeight="1" x14ac:dyDescent="0.4">
      <c r="A513" s="216"/>
      <c r="B513" s="65"/>
      <c r="C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</row>
    <row r="514" spans="1:23" ht="15.75" customHeight="1" x14ac:dyDescent="0.4">
      <c r="A514" s="216"/>
      <c r="B514" s="65"/>
      <c r="C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</row>
    <row r="515" spans="1:23" ht="15.75" customHeight="1" x14ac:dyDescent="0.4">
      <c r="A515" s="216"/>
      <c r="B515" s="65"/>
      <c r="C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</row>
    <row r="516" spans="1:23" ht="15.75" customHeight="1" x14ac:dyDescent="0.4">
      <c r="A516" s="216"/>
      <c r="B516" s="65"/>
      <c r="C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</row>
    <row r="517" spans="1:23" ht="15.75" customHeight="1" x14ac:dyDescent="0.4">
      <c r="A517" s="216"/>
      <c r="B517" s="65"/>
      <c r="C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</row>
    <row r="518" spans="1:23" ht="15.75" customHeight="1" x14ac:dyDescent="0.4">
      <c r="A518" s="216"/>
      <c r="B518" s="65"/>
      <c r="C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</row>
    <row r="519" spans="1:23" ht="15.75" customHeight="1" x14ac:dyDescent="0.4">
      <c r="A519" s="216"/>
      <c r="B519" s="65"/>
      <c r="C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</row>
    <row r="520" spans="1:23" ht="15.75" customHeight="1" x14ac:dyDescent="0.4">
      <c r="A520" s="216"/>
      <c r="B520" s="65"/>
      <c r="C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</row>
    <row r="521" spans="1:23" ht="15.75" customHeight="1" x14ac:dyDescent="0.4">
      <c r="A521" s="216"/>
      <c r="B521" s="65"/>
      <c r="C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</row>
    <row r="522" spans="1:23" ht="15.75" customHeight="1" x14ac:dyDescent="0.4">
      <c r="A522" s="216"/>
      <c r="B522" s="65"/>
      <c r="C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</row>
    <row r="523" spans="1:23" ht="15.75" customHeight="1" x14ac:dyDescent="0.4">
      <c r="A523" s="216"/>
      <c r="B523" s="65"/>
      <c r="C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</row>
    <row r="524" spans="1:23" ht="15.75" customHeight="1" x14ac:dyDescent="0.4">
      <c r="A524" s="216"/>
      <c r="B524" s="65"/>
      <c r="C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</row>
    <row r="525" spans="1:23" ht="15.75" customHeight="1" x14ac:dyDescent="0.4">
      <c r="A525" s="216"/>
      <c r="B525" s="65"/>
      <c r="C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</row>
    <row r="526" spans="1:23" ht="15.75" customHeight="1" x14ac:dyDescent="0.4">
      <c r="A526" s="216"/>
      <c r="B526" s="65"/>
      <c r="C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</row>
    <row r="527" spans="1:23" ht="15.75" customHeight="1" x14ac:dyDescent="0.4">
      <c r="A527" s="216"/>
      <c r="B527" s="65"/>
      <c r="C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</row>
    <row r="528" spans="1:23" ht="15.75" customHeight="1" x14ac:dyDescent="0.4">
      <c r="A528" s="216"/>
      <c r="B528" s="65"/>
      <c r="C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</row>
    <row r="529" spans="1:23" ht="15.75" customHeight="1" x14ac:dyDescent="0.4">
      <c r="A529" s="216"/>
      <c r="B529" s="65"/>
      <c r="C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</row>
    <row r="530" spans="1:23" ht="15.75" customHeight="1" x14ac:dyDescent="0.4">
      <c r="A530" s="216"/>
      <c r="B530" s="65"/>
      <c r="C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</row>
    <row r="531" spans="1:23" ht="15.75" customHeight="1" x14ac:dyDescent="0.4">
      <c r="A531" s="216"/>
      <c r="B531" s="65"/>
      <c r="C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</row>
    <row r="532" spans="1:23" ht="15.75" customHeight="1" x14ac:dyDescent="0.4">
      <c r="A532" s="216"/>
      <c r="B532" s="65"/>
      <c r="C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</row>
    <row r="533" spans="1:23" ht="15.75" customHeight="1" x14ac:dyDescent="0.4">
      <c r="A533" s="216"/>
      <c r="B533" s="65"/>
      <c r="C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</row>
    <row r="534" spans="1:23" ht="15.75" customHeight="1" x14ac:dyDescent="0.4">
      <c r="A534" s="216"/>
      <c r="B534" s="65"/>
      <c r="C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</row>
    <row r="535" spans="1:23" ht="15.75" customHeight="1" x14ac:dyDescent="0.4">
      <c r="A535" s="216"/>
      <c r="B535" s="65"/>
      <c r="C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</row>
    <row r="536" spans="1:23" ht="15.75" customHeight="1" x14ac:dyDescent="0.4">
      <c r="A536" s="216"/>
      <c r="B536" s="65"/>
      <c r="C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</row>
    <row r="537" spans="1:23" ht="15.75" customHeight="1" x14ac:dyDescent="0.4">
      <c r="A537" s="216"/>
      <c r="B537" s="65"/>
      <c r="C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</row>
    <row r="538" spans="1:23" ht="15.75" customHeight="1" x14ac:dyDescent="0.4">
      <c r="A538" s="216"/>
      <c r="B538" s="65"/>
      <c r="C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</row>
    <row r="539" spans="1:23" ht="15.75" customHeight="1" x14ac:dyDescent="0.4">
      <c r="A539" s="216"/>
      <c r="B539" s="65"/>
      <c r="C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</row>
    <row r="540" spans="1:23" ht="15.75" customHeight="1" x14ac:dyDescent="0.4">
      <c r="A540" s="216"/>
      <c r="B540" s="65"/>
      <c r="C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</row>
    <row r="541" spans="1:23" ht="15.75" customHeight="1" x14ac:dyDescent="0.4">
      <c r="A541" s="216"/>
      <c r="B541" s="65"/>
      <c r="C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</row>
    <row r="542" spans="1:23" ht="15.75" customHeight="1" x14ac:dyDescent="0.4">
      <c r="A542" s="216"/>
      <c r="B542" s="65"/>
      <c r="C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</row>
    <row r="543" spans="1:23" ht="15.75" customHeight="1" x14ac:dyDescent="0.4">
      <c r="A543" s="216"/>
      <c r="B543" s="65"/>
      <c r="C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</row>
    <row r="544" spans="1:23" ht="15.75" customHeight="1" x14ac:dyDescent="0.4">
      <c r="A544" s="216"/>
      <c r="B544" s="65"/>
      <c r="C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</row>
    <row r="545" spans="1:23" ht="15.75" customHeight="1" x14ac:dyDescent="0.4">
      <c r="A545" s="216"/>
      <c r="B545" s="65"/>
      <c r="C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</row>
    <row r="546" spans="1:23" ht="15.75" customHeight="1" x14ac:dyDescent="0.4">
      <c r="A546" s="216"/>
      <c r="B546" s="65"/>
      <c r="C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</row>
    <row r="547" spans="1:23" ht="15.75" customHeight="1" x14ac:dyDescent="0.4">
      <c r="A547" s="216"/>
      <c r="B547" s="65"/>
      <c r="C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</row>
    <row r="548" spans="1:23" ht="15.75" customHeight="1" x14ac:dyDescent="0.4">
      <c r="A548" s="216"/>
      <c r="B548" s="65"/>
      <c r="C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</row>
    <row r="549" spans="1:23" ht="15.75" customHeight="1" x14ac:dyDescent="0.4">
      <c r="A549" s="216"/>
      <c r="B549" s="65"/>
      <c r="C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</row>
    <row r="550" spans="1:23" ht="15.75" customHeight="1" x14ac:dyDescent="0.4">
      <c r="A550" s="216"/>
      <c r="B550" s="65"/>
      <c r="C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</row>
    <row r="551" spans="1:23" ht="15.75" customHeight="1" x14ac:dyDescent="0.4">
      <c r="A551" s="216"/>
      <c r="B551" s="65"/>
      <c r="C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</row>
    <row r="552" spans="1:23" ht="15.75" customHeight="1" x14ac:dyDescent="0.4">
      <c r="A552" s="216"/>
      <c r="B552" s="65"/>
      <c r="C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</row>
    <row r="553" spans="1:23" ht="15.75" customHeight="1" x14ac:dyDescent="0.4">
      <c r="A553" s="216"/>
      <c r="B553" s="65"/>
      <c r="C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</row>
    <row r="554" spans="1:23" ht="15.75" customHeight="1" x14ac:dyDescent="0.4">
      <c r="A554" s="216"/>
      <c r="B554" s="65"/>
      <c r="C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</row>
    <row r="555" spans="1:23" ht="15.75" customHeight="1" x14ac:dyDescent="0.4">
      <c r="A555" s="216"/>
      <c r="B555" s="65"/>
      <c r="C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</row>
    <row r="556" spans="1:23" ht="15.75" customHeight="1" x14ac:dyDescent="0.4">
      <c r="A556" s="216"/>
      <c r="B556" s="65"/>
      <c r="C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</row>
    <row r="557" spans="1:23" ht="15.75" customHeight="1" x14ac:dyDescent="0.4">
      <c r="A557" s="216"/>
      <c r="B557" s="65"/>
      <c r="C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</row>
    <row r="558" spans="1:23" ht="15.75" customHeight="1" x14ac:dyDescent="0.4">
      <c r="A558" s="216"/>
      <c r="B558" s="65"/>
      <c r="C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</row>
    <row r="559" spans="1:23" ht="15.75" customHeight="1" x14ac:dyDescent="0.4">
      <c r="A559" s="216"/>
      <c r="B559" s="65"/>
      <c r="C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</row>
    <row r="560" spans="1:23" ht="15.75" customHeight="1" x14ac:dyDescent="0.4">
      <c r="A560" s="216"/>
      <c r="B560" s="65"/>
      <c r="C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</row>
    <row r="561" spans="1:23" ht="15.75" customHeight="1" x14ac:dyDescent="0.4">
      <c r="A561" s="216"/>
      <c r="B561" s="65"/>
      <c r="C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</row>
    <row r="562" spans="1:23" ht="15.75" customHeight="1" x14ac:dyDescent="0.4">
      <c r="A562" s="216"/>
      <c r="B562" s="65"/>
      <c r="C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</row>
    <row r="563" spans="1:23" ht="15.75" customHeight="1" x14ac:dyDescent="0.4">
      <c r="A563" s="216"/>
      <c r="B563" s="65"/>
      <c r="C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</row>
    <row r="564" spans="1:23" ht="15.75" customHeight="1" x14ac:dyDescent="0.4">
      <c r="A564" s="216"/>
      <c r="B564" s="65"/>
      <c r="C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</row>
    <row r="565" spans="1:23" ht="15.75" customHeight="1" x14ac:dyDescent="0.4">
      <c r="A565" s="216"/>
      <c r="B565" s="65"/>
      <c r="C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</row>
    <row r="566" spans="1:23" ht="15.75" customHeight="1" x14ac:dyDescent="0.4">
      <c r="A566" s="216"/>
      <c r="B566" s="65"/>
      <c r="C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</row>
    <row r="567" spans="1:23" ht="15.75" customHeight="1" x14ac:dyDescent="0.4">
      <c r="A567" s="216"/>
      <c r="B567" s="65"/>
      <c r="C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</row>
    <row r="568" spans="1:23" ht="15.75" customHeight="1" x14ac:dyDescent="0.4">
      <c r="A568" s="216"/>
      <c r="B568" s="65"/>
      <c r="C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</row>
    <row r="569" spans="1:23" ht="15.75" customHeight="1" x14ac:dyDescent="0.4">
      <c r="A569" s="216"/>
      <c r="B569" s="65"/>
      <c r="C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</row>
    <row r="570" spans="1:23" ht="15.75" customHeight="1" x14ac:dyDescent="0.4">
      <c r="A570" s="216"/>
      <c r="B570" s="65"/>
      <c r="C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</row>
    <row r="571" spans="1:23" ht="15.75" customHeight="1" x14ac:dyDescent="0.4">
      <c r="A571" s="216"/>
      <c r="B571" s="65"/>
      <c r="C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</row>
    <row r="572" spans="1:23" ht="15.75" customHeight="1" x14ac:dyDescent="0.4">
      <c r="A572" s="216"/>
      <c r="B572" s="65"/>
      <c r="C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</row>
    <row r="573" spans="1:23" ht="15.75" customHeight="1" x14ac:dyDescent="0.4">
      <c r="A573" s="216"/>
      <c r="B573" s="65"/>
      <c r="C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</row>
    <row r="574" spans="1:23" ht="15.75" customHeight="1" x14ac:dyDescent="0.4">
      <c r="A574" s="216"/>
      <c r="B574" s="65"/>
      <c r="C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</row>
    <row r="575" spans="1:23" ht="15.75" customHeight="1" x14ac:dyDescent="0.4">
      <c r="A575" s="216"/>
      <c r="B575" s="65"/>
      <c r="C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</row>
    <row r="576" spans="1:23" ht="15.75" customHeight="1" x14ac:dyDescent="0.4">
      <c r="A576" s="216"/>
      <c r="B576" s="65"/>
      <c r="C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</row>
    <row r="577" spans="1:23" ht="15.75" customHeight="1" x14ac:dyDescent="0.4">
      <c r="A577" s="216"/>
      <c r="B577" s="65"/>
      <c r="C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</row>
    <row r="578" spans="1:23" ht="15.75" customHeight="1" x14ac:dyDescent="0.4">
      <c r="A578" s="216"/>
      <c r="B578" s="65"/>
      <c r="C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</row>
    <row r="579" spans="1:23" ht="15.75" customHeight="1" x14ac:dyDescent="0.4">
      <c r="A579" s="216"/>
      <c r="B579" s="65"/>
      <c r="C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</row>
    <row r="580" spans="1:23" ht="15.75" customHeight="1" x14ac:dyDescent="0.4">
      <c r="A580" s="216"/>
      <c r="B580" s="65"/>
      <c r="C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</row>
    <row r="581" spans="1:23" ht="15.75" customHeight="1" x14ac:dyDescent="0.4">
      <c r="A581" s="216"/>
      <c r="B581" s="65"/>
      <c r="C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</row>
    <row r="582" spans="1:23" ht="15.75" customHeight="1" x14ac:dyDescent="0.4">
      <c r="A582" s="216"/>
      <c r="B582" s="65"/>
      <c r="C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</row>
    <row r="583" spans="1:23" ht="15.75" customHeight="1" x14ac:dyDescent="0.4">
      <c r="A583" s="216"/>
      <c r="B583" s="65"/>
      <c r="C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</row>
    <row r="584" spans="1:23" ht="15.75" customHeight="1" x14ac:dyDescent="0.4">
      <c r="A584" s="216"/>
      <c r="B584" s="65"/>
      <c r="C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</row>
    <row r="585" spans="1:23" ht="15.75" customHeight="1" x14ac:dyDescent="0.4">
      <c r="A585" s="216"/>
      <c r="B585" s="65"/>
      <c r="C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</row>
    <row r="586" spans="1:23" ht="15.75" customHeight="1" x14ac:dyDescent="0.4">
      <c r="A586" s="216"/>
      <c r="B586" s="65"/>
      <c r="C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</row>
    <row r="587" spans="1:23" ht="15.75" customHeight="1" x14ac:dyDescent="0.4">
      <c r="A587" s="216"/>
      <c r="B587" s="65"/>
      <c r="C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</row>
    <row r="588" spans="1:23" ht="15.75" customHeight="1" x14ac:dyDescent="0.4">
      <c r="A588" s="216"/>
      <c r="B588" s="65"/>
      <c r="C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</row>
    <row r="589" spans="1:23" ht="15.75" customHeight="1" x14ac:dyDescent="0.4">
      <c r="A589" s="216"/>
      <c r="B589" s="65"/>
      <c r="C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</row>
    <row r="590" spans="1:23" ht="15.75" customHeight="1" x14ac:dyDescent="0.4">
      <c r="A590" s="216"/>
      <c r="B590" s="65"/>
      <c r="C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</row>
    <row r="591" spans="1:23" ht="15.75" customHeight="1" x14ac:dyDescent="0.4">
      <c r="A591" s="216"/>
      <c r="B591" s="65"/>
      <c r="C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</row>
    <row r="592" spans="1:23" ht="15.75" customHeight="1" x14ac:dyDescent="0.4">
      <c r="A592" s="216"/>
      <c r="B592" s="65"/>
      <c r="C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</row>
    <row r="593" spans="1:23" ht="15.75" customHeight="1" x14ac:dyDescent="0.4">
      <c r="A593" s="216"/>
      <c r="B593" s="65"/>
      <c r="C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</row>
    <row r="594" spans="1:23" ht="15.75" customHeight="1" x14ac:dyDescent="0.4">
      <c r="A594" s="216"/>
      <c r="B594" s="65"/>
      <c r="C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</row>
    <row r="595" spans="1:23" ht="15.75" customHeight="1" x14ac:dyDescent="0.4">
      <c r="A595" s="216"/>
      <c r="B595" s="65"/>
      <c r="C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</row>
    <row r="596" spans="1:23" ht="15.75" customHeight="1" x14ac:dyDescent="0.4">
      <c r="A596" s="216"/>
      <c r="B596" s="65"/>
      <c r="C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</row>
    <row r="597" spans="1:23" ht="15.75" customHeight="1" x14ac:dyDescent="0.4">
      <c r="A597" s="216"/>
      <c r="B597" s="65"/>
      <c r="C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</row>
    <row r="598" spans="1:23" ht="15.75" customHeight="1" x14ac:dyDescent="0.4">
      <c r="A598" s="216"/>
      <c r="B598" s="65"/>
      <c r="C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</row>
    <row r="599" spans="1:23" ht="15.75" customHeight="1" x14ac:dyDescent="0.4">
      <c r="A599" s="216"/>
      <c r="B599" s="65"/>
      <c r="C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</row>
    <row r="600" spans="1:23" ht="15.75" customHeight="1" x14ac:dyDescent="0.4">
      <c r="A600" s="216"/>
      <c r="B600" s="65"/>
      <c r="C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</row>
    <row r="601" spans="1:23" ht="15.75" customHeight="1" x14ac:dyDescent="0.4">
      <c r="A601" s="216"/>
      <c r="B601" s="65"/>
      <c r="C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</row>
    <row r="602" spans="1:23" ht="15.75" customHeight="1" x14ac:dyDescent="0.4">
      <c r="A602" s="216"/>
      <c r="B602" s="65"/>
      <c r="C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</row>
    <row r="603" spans="1:23" ht="15.75" customHeight="1" x14ac:dyDescent="0.4">
      <c r="A603" s="216"/>
      <c r="B603" s="65"/>
      <c r="C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</row>
    <row r="604" spans="1:23" ht="15.75" customHeight="1" x14ac:dyDescent="0.4">
      <c r="A604" s="216"/>
      <c r="B604" s="65"/>
      <c r="C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</row>
    <row r="605" spans="1:23" ht="15.75" customHeight="1" x14ac:dyDescent="0.4">
      <c r="A605" s="216"/>
      <c r="B605" s="65"/>
      <c r="C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</row>
    <row r="606" spans="1:23" ht="15.75" customHeight="1" x14ac:dyDescent="0.4">
      <c r="A606" s="216"/>
      <c r="B606" s="65"/>
      <c r="C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</row>
    <row r="607" spans="1:23" ht="15.75" customHeight="1" x14ac:dyDescent="0.4">
      <c r="A607" s="216"/>
      <c r="B607" s="65"/>
      <c r="C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</row>
    <row r="608" spans="1:23" ht="15.75" customHeight="1" x14ac:dyDescent="0.4">
      <c r="A608" s="216"/>
      <c r="B608" s="65"/>
      <c r="C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</row>
    <row r="609" spans="1:23" ht="15.75" customHeight="1" x14ac:dyDescent="0.4">
      <c r="A609" s="216"/>
      <c r="B609" s="65"/>
      <c r="C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</row>
    <row r="610" spans="1:23" ht="15.75" customHeight="1" x14ac:dyDescent="0.4">
      <c r="A610" s="216"/>
      <c r="B610" s="65"/>
      <c r="C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</row>
    <row r="611" spans="1:23" ht="15.75" customHeight="1" x14ac:dyDescent="0.4">
      <c r="A611" s="216"/>
      <c r="B611" s="65"/>
      <c r="C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</row>
    <row r="612" spans="1:23" ht="15.75" customHeight="1" x14ac:dyDescent="0.4">
      <c r="A612" s="216"/>
      <c r="B612" s="65"/>
      <c r="C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</row>
    <row r="613" spans="1:23" ht="15.75" customHeight="1" x14ac:dyDescent="0.4">
      <c r="A613" s="216"/>
      <c r="B613" s="65"/>
      <c r="C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</row>
    <row r="614" spans="1:23" ht="15.75" customHeight="1" x14ac:dyDescent="0.4">
      <c r="A614" s="216"/>
      <c r="B614" s="65"/>
      <c r="C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</row>
    <row r="615" spans="1:23" ht="15.75" customHeight="1" x14ac:dyDescent="0.4">
      <c r="A615" s="216"/>
      <c r="B615" s="65"/>
      <c r="C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</row>
    <row r="616" spans="1:23" ht="15.75" customHeight="1" x14ac:dyDescent="0.4">
      <c r="A616" s="216"/>
      <c r="B616" s="65"/>
      <c r="C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</row>
    <row r="617" spans="1:23" ht="15.75" customHeight="1" x14ac:dyDescent="0.4">
      <c r="A617" s="216"/>
      <c r="B617" s="65"/>
      <c r="C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</row>
    <row r="618" spans="1:23" ht="15.75" customHeight="1" x14ac:dyDescent="0.4">
      <c r="A618" s="216"/>
      <c r="B618" s="65"/>
      <c r="C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</row>
    <row r="619" spans="1:23" ht="15.75" customHeight="1" x14ac:dyDescent="0.4">
      <c r="A619" s="216"/>
      <c r="B619" s="65"/>
      <c r="C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</row>
    <row r="620" spans="1:23" ht="15.75" customHeight="1" x14ac:dyDescent="0.4">
      <c r="A620" s="216"/>
      <c r="B620" s="65"/>
      <c r="C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</row>
    <row r="621" spans="1:23" ht="15.75" customHeight="1" x14ac:dyDescent="0.4">
      <c r="A621" s="216"/>
      <c r="B621" s="65"/>
      <c r="C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</row>
    <row r="622" spans="1:23" ht="15.75" customHeight="1" x14ac:dyDescent="0.4">
      <c r="A622" s="216"/>
      <c r="B622" s="65"/>
      <c r="C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</row>
    <row r="623" spans="1:23" ht="15.75" customHeight="1" x14ac:dyDescent="0.4">
      <c r="A623" s="216"/>
      <c r="B623" s="65"/>
      <c r="C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</row>
    <row r="624" spans="1:23" ht="15.75" customHeight="1" x14ac:dyDescent="0.4">
      <c r="A624" s="216"/>
      <c r="B624" s="65"/>
      <c r="C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</row>
    <row r="625" spans="1:23" ht="15.75" customHeight="1" x14ac:dyDescent="0.4">
      <c r="A625" s="216"/>
      <c r="B625" s="65"/>
      <c r="C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</row>
    <row r="626" spans="1:23" ht="15.75" customHeight="1" x14ac:dyDescent="0.4">
      <c r="A626" s="216"/>
      <c r="B626" s="65"/>
      <c r="C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</row>
    <row r="627" spans="1:23" ht="15.75" customHeight="1" x14ac:dyDescent="0.4">
      <c r="A627" s="216"/>
      <c r="B627" s="65"/>
      <c r="C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</row>
    <row r="628" spans="1:23" ht="15.75" customHeight="1" x14ac:dyDescent="0.4">
      <c r="A628" s="216"/>
      <c r="B628" s="65"/>
      <c r="C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</row>
    <row r="629" spans="1:23" ht="15.75" customHeight="1" x14ac:dyDescent="0.4">
      <c r="A629" s="216"/>
      <c r="B629" s="65"/>
      <c r="C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</row>
    <row r="630" spans="1:23" ht="15.75" customHeight="1" x14ac:dyDescent="0.4">
      <c r="A630" s="216"/>
      <c r="B630" s="65"/>
      <c r="C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</row>
    <row r="631" spans="1:23" ht="15.75" customHeight="1" x14ac:dyDescent="0.4">
      <c r="A631" s="216"/>
      <c r="B631" s="65"/>
      <c r="C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</row>
    <row r="632" spans="1:23" ht="15.75" customHeight="1" x14ac:dyDescent="0.4">
      <c r="A632" s="216"/>
      <c r="B632" s="65"/>
      <c r="C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</row>
    <row r="633" spans="1:23" ht="15.75" customHeight="1" x14ac:dyDescent="0.4">
      <c r="A633" s="216"/>
      <c r="B633" s="65"/>
      <c r="C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</row>
    <row r="634" spans="1:23" ht="15.75" customHeight="1" x14ac:dyDescent="0.4">
      <c r="A634" s="216"/>
      <c r="B634" s="65"/>
      <c r="C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</row>
    <row r="635" spans="1:23" ht="15.75" customHeight="1" x14ac:dyDescent="0.4">
      <c r="A635" s="216"/>
      <c r="B635" s="65"/>
      <c r="C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</row>
    <row r="636" spans="1:23" ht="15.75" customHeight="1" x14ac:dyDescent="0.4">
      <c r="A636" s="216"/>
      <c r="B636" s="65"/>
      <c r="C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</row>
    <row r="637" spans="1:23" ht="15.75" customHeight="1" x14ac:dyDescent="0.4">
      <c r="A637" s="216"/>
      <c r="B637" s="65"/>
      <c r="C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</row>
    <row r="638" spans="1:23" ht="15.75" customHeight="1" x14ac:dyDescent="0.4">
      <c r="A638" s="216"/>
      <c r="B638" s="65"/>
      <c r="C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</row>
    <row r="639" spans="1:23" ht="15.75" customHeight="1" x14ac:dyDescent="0.4">
      <c r="A639" s="216"/>
      <c r="B639" s="65"/>
      <c r="C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</row>
    <row r="640" spans="1:23" ht="15.75" customHeight="1" x14ac:dyDescent="0.4">
      <c r="A640" s="216"/>
      <c r="B640" s="65"/>
      <c r="C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</row>
    <row r="641" spans="1:23" ht="15.75" customHeight="1" x14ac:dyDescent="0.4">
      <c r="A641" s="216"/>
      <c r="B641" s="65"/>
      <c r="C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</row>
    <row r="642" spans="1:23" ht="15.75" customHeight="1" x14ac:dyDescent="0.4">
      <c r="A642" s="216"/>
      <c r="B642" s="65"/>
      <c r="C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</row>
    <row r="643" spans="1:23" ht="15.75" customHeight="1" x14ac:dyDescent="0.4">
      <c r="A643" s="216"/>
      <c r="B643" s="65"/>
      <c r="C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</row>
    <row r="644" spans="1:23" ht="15.75" customHeight="1" x14ac:dyDescent="0.4">
      <c r="A644" s="216"/>
      <c r="B644" s="65"/>
      <c r="C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</row>
    <row r="645" spans="1:23" ht="15.75" customHeight="1" x14ac:dyDescent="0.4">
      <c r="A645" s="216"/>
      <c r="B645" s="65"/>
      <c r="C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</row>
    <row r="646" spans="1:23" ht="15.75" customHeight="1" x14ac:dyDescent="0.4">
      <c r="A646" s="216"/>
      <c r="B646" s="65"/>
      <c r="C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</row>
    <row r="647" spans="1:23" ht="15.75" customHeight="1" x14ac:dyDescent="0.4">
      <c r="A647" s="216"/>
      <c r="B647" s="65"/>
      <c r="C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</row>
    <row r="648" spans="1:23" ht="15.75" customHeight="1" x14ac:dyDescent="0.4">
      <c r="A648" s="216"/>
      <c r="B648" s="65"/>
      <c r="C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</row>
    <row r="649" spans="1:23" ht="15.75" customHeight="1" x14ac:dyDescent="0.4">
      <c r="A649" s="216"/>
      <c r="B649" s="65"/>
      <c r="C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</row>
    <row r="650" spans="1:23" ht="15.75" customHeight="1" x14ac:dyDescent="0.4">
      <c r="A650" s="216"/>
      <c r="B650" s="65"/>
      <c r="C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</row>
    <row r="651" spans="1:23" ht="15.75" customHeight="1" x14ac:dyDescent="0.4">
      <c r="A651" s="216"/>
      <c r="B651" s="65"/>
      <c r="C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</row>
    <row r="652" spans="1:23" ht="15.75" customHeight="1" x14ac:dyDescent="0.4">
      <c r="A652" s="216"/>
      <c r="B652" s="65"/>
      <c r="C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</row>
    <row r="653" spans="1:23" ht="15.75" customHeight="1" x14ac:dyDescent="0.4">
      <c r="A653" s="216"/>
      <c r="B653" s="65"/>
      <c r="C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</row>
    <row r="654" spans="1:23" ht="15.75" customHeight="1" x14ac:dyDescent="0.4">
      <c r="A654" s="216"/>
      <c r="B654" s="65"/>
      <c r="C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</row>
    <row r="655" spans="1:23" ht="15.75" customHeight="1" x14ac:dyDescent="0.4">
      <c r="A655" s="216"/>
      <c r="B655" s="65"/>
      <c r="C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</row>
    <row r="656" spans="1:23" ht="15.75" customHeight="1" x14ac:dyDescent="0.4">
      <c r="A656" s="216"/>
      <c r="B656" s="65"/>
      <c r="C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</row>
    <row r="657" spans="1:23" ht="15.75" customHeight="1" x14ac:dyDescent="0.4">
      <c r="A657" s="216"/>
      <c r="B657" s="65"/>
      <c r="C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</row>
    <row r="658" spans="1:23" ht="15.75" customHeight="1" x14ac:dyDescent="0.4">
      <c r="A658" s="216"/>
      <c r="B658" s="65"/>
      <c r="C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</row>
    <row r="659" spans="1:23" ht="15.75" customHeight="1" x14ac:dyDescent="0.4">
      <c r="A659" s="216"/>
      <c r="B659" s="65"/>
      <c r="C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</row>
    <row r="660" spans="1:23" ht="15.75" customHeight="1" x14ac:dyDescent="0.4">
      <c r="A660" s="216"/>
      <c r="B660" s="65"/>
      <c r="C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</row>
    <row r="661" spans="1:23" ht="15.75" customHeight="1" x14ac:dyDescent="0.4">
      <c r="A661" s="216"/>
      <c r="B661" s="65"/>
      <c r="C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</row>
    <row r="662" spans="1:23" ht="15.75" customHeight="1" x14ac:dyDescent="0.4">
      <c r="A662" s="216"/>
      <c r="B662" s="65"/>
      <c r="C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</row>
    <row r="663" spans="1:23" ht="15.75" customHeight="1" x14ac:dyDescent="0.4">
      <c r="A663" s="216"/>
      <c r="B663" s="65"/>
      <c r="C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</row>
    <row r="664" spans="1:23" ht="15.75" customHeight="1" x14ac:dyDescent="0.4">
      <c r="A664" s="216"/>
      <c r="B664" s="65"/>
      <c r="C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</row>
    <row r="665" spans="1:23" ht="15.75" customHeight="1" x14ac:dyDescent="0.4">
      <c r="A665" s="216"/>
      <c r="B665" s="65"/>
      <c r="C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</row>
    <row r="666" spans="1:23" ht="15.75" customHeight="1" x14ac:dyDescent="0.4">
      <c r="A666" s="216"/>
      <c r="B666" s="65"/>
      <c r="C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</row>
    <row r="667" spans="1:23" ht="15.75" customHeight="1" x14ac:dyDescent="0.4">
      <c r="A667" s="216"/>
      <c r="B667" s="65"/>
      <c r="C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</row>
    <row r="668" spans="1:23" ht="15.75" customHeight="1" x14ac:dyDescent="0.4">
      <c r="A668" s="216"/>
      <c r="B668" s="65"/>
      <c r="C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</row>
    <row r="669" spans="1:23" ht="15.75" customHeight="1" x14ac:dyDescent="0.4">
      <c r="A669" s="216"/>
      <c r="B669" s="65"/>
      <c r="C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</row>
    <row r="670" spans="1:23" ht="15.75" customHeight="1" x14ac:dyDescent="0.4">
      <c r="A670" s="216"/>
      <c r="B670" s="65"/>
      <c r="C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</row>
    <row r="671" spans="1:23" ht="15.75" customHeight="1" x14ac:dyDescent="0.4">
      <c r="A671" s="216"/>
      <c r="B671" s="65"/>
      <c r="C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</row>
    <row r="672" spans="1:23" ht="15.75" customHeight="1" x14ac:dyDescent="0.4">
      <c r="A672" s="216"/>
      <c r="B672" s="65"/>
      <c r="C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</row>
    <row r="673" spans="1:23" ht="15.75" customHeight="1" x14ac:dyDescent="0.4">
      <c r="A673" s="216"/>
      <c r="B673" s="65"/>
      <c r="C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</row>
    <row r="674" spans="1:23" ht="15.75" customHeight="1" x14ac:dyDescent="0.4">
      <c r="A674" s="216"/>
      <c r="B674" s="65"/>
      <c r="C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</row>
    <row r="675" spans="1:23" ht="15.75" customHeight="1" x14ac:dyDescent="0.4">
      <c r="A675" s="216"/>
      <c r="B675" s="65"/>
      <c r="C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</row>
    <row r="676" spans="1:23" ht="15.75" customHeight="1" x14ac:dyDescent="0.4">
      <c r="A676" s="216"/>
      <c r="B676" s="65"/>
      <c r="C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</row>
    <row r="677" spans="1:23" ht="15.75" customHeight="1" x14ac:dyDescent="0.4">
      <c r="A677" s="216"/>
      <c r="B677" s="65"/>
      <c r="C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</row>
    <row r="678" spans="1:23" ht="15.75" customHeight="1" x14ac:dyDescent="0.4">
      <c r="A678" s="216"/>
      <c r="B678" s="65"/>
      <c r="C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</row>
    <row r="679" spans="1:23" ht="15.75" customHeight="1" x14ac:dyDescent="0.4">
      <c r="A679" s="216"/>
      <c r="B679" s="65"/>
      <c r="C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</row>
    <row r="680" spans="1:23" ht="15.75" customHeight="1" x14ac:dyDescent="0.4">
      <c r="A680" s="216"/>
      <c r="B680" s="65"/>
      <c r="C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</row>
    <row r="681" spans="1:23" ht="15.75" customHeight="1" x14ac:dyDescent="0.4">
      <c r="A681" s="216"/>
      <c r="B681" s="65"/>
      <c r="C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</row>
    <row r="682" spans="1:23" ht="15.75" customHeight="1" x14ac:dyDescent="0.4">
      <c r="A682" s="216"/>
      <c r="B682" s="65"/>
      <c r="C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</row>
    <row r="683" spans="1:23" ht="15.75" customHeight="1" x14ac:dyDescent="0.4">
      <c r="A683" s="216"/>
      <c r="B683" s="65"/>
      <c r="C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</row>
    <row r="684" spans="1:23" ht="15.75" customHeight="1" x14ac:dyDescent="0.4">
      <c r="A684" s="216"/>
      <c r="B684" s="65"/>
      <c r="C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</row>
    <row r="685" spans="1:23" ht="15.75" customHeight="1" x14ac:dyDescent="0.4">
      <c r="A685" s="216"/>
      <c r="B685" s="65"/>
      <c r="C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</row>
    <row r="686" spans="1:23" ht="15.75" customHeight="1" x14ac:dyDescent="0.4">
      <c r="A686" s="216"/>
      <c r="B686" s="65"/>
      <c r="C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</row>
    <row r="687" spans="1:23" ht="15.75" customHeight="1" x14ac:dyDescent="0.4">
      <c r="A687" s="216"/>
      <c r="B687" s="65"/>
      <c r="C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</row>
    <row r="688" spans="1:23" ht="15.75" customHeight="1" x14ac:dyDescent="0.4">
      <c r="A688" s="216"/>
      <c r="B688" s="65"/>
      <c r="C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</row>
    <row r="689" spans="1:23" ht="15.75" customHeight="1" x14ac:dyDescent="0.4">
      <c r="A689" s="216"/>
      <c r="B689" s="65"/>
      <c r="C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</row>
    <row r="690" spans="1:23" ht="15.75" customHeight="1" x14ac:dyDescent="0.4">
      <c r="A690" s="216"/>
      <c r="B690" s="65"/>
      <c r="C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</row>
    <row r="691" spans="1:23" ht="15.75" customHeight="1" x14ac:dyDescent="0.4">
      <c r="A691" s="216"/>
      <c r="B691" s="65"/>
      <c r="C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</row>
    <row r="692" spans="1:23" ht="15.75" customHeight="1" x14ac:dyDescent="0.4">
      <c r="A692" s="216"/>
      <c r="B692" s="65"/>
      <c r="C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</row>
    <row r="693" spans="1:23" ht="15.75" customHeight="1" x14ac:dyDescent="0.4">
      <c r="A693" s="216"/>
      <c r="B693" s="65"/>
      <c r="C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</row>
    <row r="694" spans="1:23" ht="15.75" customHeight="1" x14ac:dyDescent="0.4">
      <c r="A694" s="216"/>
      <c r="B694" s="65"/>
      <c r="C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</row>
    <row r="695" spans="1:23" ht="15.75" customHeight="1" x14ac:dyDescent="0.4">
      <c r="A695" s="216"/>
      <c r="B695" s="65"/>
      <c r="C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</row>
    <row r="696" spans="1:23" ht="15.75" customHeight="1" x14ac:dyDescent="0.4">
      <c r="A696" s="216"/>
      <c r="B696" s="65"/>
      <c r="C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</row>
    <row r="697" spans="1:23" ht="15.75" customHeight="1" x14ac:dyDescent="0.4">
      <c r="A697" s="216"/>
      <c r="B697" s="65"/>
      <c r="C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</row>
    <row r="698" spans="1:23" ht="15.75" customHeight="1" x14ac:dyDescent="0.4">
      <c r="A698" s="216"/>
      <c r="B698" s="65"/>
      <c r="C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</row>
    <row r="699" spans="1:23" ht="15.75" customHeight="1" x14ac:dyDescent="0.4">
      <c r="A699" s="216"/>
      <c r="B699" s="65"/>
      <c r="C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</row>
    <row r="700" spans="1:23" ht="15.75" customHeight="1" x14ac:dyDescent="0.4">
      <c r="A700" s="216"/>
      <c r="B700" s="65"/>
      <c r="C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</row>
    <row r="701" spans="1:23" ht="15.75" customHeight="1" x14ac:dyDescent="0.4">
      <c r="A701" s="216"/>
      <c r="B701" s="65"/>
      <c r="C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</row>
    <row r="702" spans="1:23" ht="15.75" customHeight="1" x14ac:dyDescent="0.4">
      <c r="A702" s="216"/>
      <c r="B702" s="65"/>
      <c r="C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</row>
    <row r="703" spans="1:23" ht="15.75" customHeight="1" x14ac:dyDescent="0.4">
      <c r="A703" s="216"/>
      <c r="B703" s="65"/>
      <c r="C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</row>
    <row r="704" spans="1:23" ht="15.75" customHeight="1" x14ac:dyDescent="0.4">
      <c r="A704" s="216"/>
      <c r="B704" s="65"/>
      <c r="C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</row>
    <row r="705" spans="1:23" ht="15.75" customHeight="1" x14ac:dyDescent="0.4">
      <c r="A705" s="216"/>
      <c r="B705" s="65"/>
      <c r="C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</row>
    <row r="706" spans="1:23" ht="15.75" customHeight="1" x14ac:dyDescent="0.4">
      <c r="A706" s="216"/>
      <c r="B706" s="65"/>
      <c r="C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</row>
    <row r="707" spans="1:23" ht="15.75" customHeight="1" x14ac:dyDescent="0.4">
      <c r="A707" s="216"/>
      <c r="B707" s="65"/>
      <c r="C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</row>
    <row r="708" spans="1:23" ht="15.75" customHeight="1" x14ac:dyDescent="0.4">
      <c r="A708" s="216"/>
      <c r="B708" s="65"/>
      <c r="C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</row>
    <row r="709" spans="1:23" ht="15.75" customHeight="1" x14ac:dyDescent="0.4">
      <c r="A709" s="216"/>
      <c r="B709" s="65"/>
      <c r="C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</row>
    <row r="710" spans="1:23" ht="15.75" customHeight="1" x14ac:dyDescent="0.4">
      <c r="A710" s="216"/>
      <c r="B710" s="65"/>
      <c r="C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</row>
    <row r="711" spans="1:23" ht="15.75" customHeight="1" x14ac:dyDescent="0.4">
      <c r="A711" s="216"/>
      <c r="B711" s="65"/>
      <c r="C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</row>
    <row r="712" spans="1:23" ht="15.75" customHeight="1" x14ac:dyDescent="0.4">
      <c r="A712" s="216"/>
      <c r="B712" s="65"/>
      <c r="C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</row>
    <row r="713" spans="1:23" ht="15.75" customHeight="1" x14ac:dyDescent="0.4">
      <c r="A713" s="216"/>
      <c r="B713" s="65"/>
      <c r="C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</row>
    <row r="714" spans="1:23" ht="15.75" customHeight="1" x14ac:dyDescent="0.4">
      <c r="A714" s="216"/>
      <c r="B714" s="65"/>
      <c r="C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</row>
    <row r="715" spans="1:23" ht="15.75" customHeight="1" x14ac:dyDescent="0.4">
      <c r="A715" s="216"/>
      <c r="B715" s="65"/>
      <c r="C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</row>
    <row r="716" spans="1:23" ht="15.75" customHeight="1" x14ac:dyDescent="0.4">
      <c r="A716" s="216"/>
      <c r="B716" s="65"/>
      <c r="C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</row>
    <row r="717" spans="1:23" ht="15.75" customHeight="1" x14ac:dyDescent="0.4">
      <c r="A717" s="216"/>
      <c r="B717" s="65"/>
      <c r="C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</row>
    <row r="718" spans="1:23" ht="15.75" customHeight="1" x14ac:dyDescent="0.4">
      <c r="A718" s="216"/>
      <c r="B718" s="65"/>
      <c r="C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</row>
    <row r="719" spans="1:23" ht="15.75" customHeight="1" x14ac:dyDescent="0.4">
      <c r="A719" s="216"/>
      <c r="B719" s="65"/>
      <c r="C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</row>
    <row r="720" spans="1:23" ht="15.75" customHeight="1" x14ac:dyDescent="0.4">
      <c r="A720" s="216"/>
      <c r="B720" s="65"/>
      <c r="C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</row>
    <row r="721" spans="1:23" ht="15.75" customHeight="1" x14ac:dyDescent="0.4">
      <c r="A721" s="216"/>
      <c r="B721" s="65"/>
      <c r="C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</row>
    <row r="722" spans="1:23" ht="15.75" customHeight="1" x14ac:dyDescent="0.4">
      <c r="A722" s="216"/>
      <c r="B722" s="65"/>
      <c r="C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</row>
    <row r="723" spans="1:23" ht="15.75" customHeight="1" x14ac:dyDescent="0.4">
      <c r="A723" s="216"/>
      <c r="B723" s="65"/>
      <c r="C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</row>
    <row r="724" spans="1:23" ht="15.75" customHeight="1" x14ac:dyDescent="0.4">
      <c r="A724" s="216"/>
      <c r="B724" s="65"/>
      <c r="C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</row>
    <row r="725" spans="1:23" ht="15.75" customHeight="1" x14ac:dyDescent="0.4">
      <c r="A725" s="216"/>
      <c r="B725" s="65"/>
      <c r="C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</row>
    <row r="726" spans="1:23" ht="15.75" customHeight="1" x14ac:dyDescent="0.4">
      <c r="A726" s="216"/>
      <c r="B726" s="65"/>
      <c r="C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</row>
    <row r="727" spans="1:23" ht="15.75" customHeight="1" x14ac:dyDescent="0.4">
      <c r="A727" s="216"/>
      <c r="B727" s="65"/>
      <c r="C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</row>
    <row r="728" spans="1:23" ht="15.75" customHeight="1" x14ac:dyDescent="0.4">
      <c r="A728" s="216"/>
      <c r="B728" s="65"/>
      <c r="C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</row>
    <row r="729" spans="1:23" ht="15.75" customHeight="1" x14ac:dyDescent="0.4">
      <c r="A729" s="216"/>
      <c r="B729" s="65"/>
      <c r="C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</row>
    <row r="730" spans="1:23" ht="15.75" customHeight="1" x14ac:dyDescent="0.4">
      <c r="A730" s="216"/>
      <c r="B730" s="65"/>
      <c r="C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</row>
    <row r="731" spans="1:23" ht="15.75" customHeight="1" x14ac:dyDescent="0.4">
      <c r="A731" s="216"/>
      <c r="B731" s="65"/>
      <c r="C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</row>
    <row r="732" spans="1:23" ht="15.75" customHeight="1" x14ac:dyDescent="0.4">
      <c r="A732" s="216"/>
      <c r="B732" s="65"/>
      <c r="C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</row>
    <row r="733" spans="1:23" ht="15.75" customHeight="1" x14ac:dyDescent="0.4">
      <c r="A733" s="216"/>
      <c r="B733" s="65"/>
      <c r="C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</row>
    <row r="734" spans="1:23" ht="15.75" customHeight="1" x14ac:dyDescent="0.4">
      <c r="A734" s="216"/>
      <c r="B734" s="65"/>
      <c r="C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</row>
    <row r="735" spans="1:23" ht="15.75" customHeight="1" x14ac:dyDescent="0.4">
      <c r="A735" s="216"/>
      <c r="B735" s="65"/>
      <c r="C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</row>
    <row r="736" spans="1:23" ht="15.75" customHeight="1" x14ac:dyDescent="0.4">
      <c r="A736" s="216"/>
      <c r="B736" s="65"/>
      <c r="C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</row>
    <row r="737" spans="1:23" ht="15.75" customHeight="1" x14ac:dyDescent="0.4">
      <c r="A737" s="216"/>
      <c r="B737" s="65"/>
      <c r="C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</row>
    <row r="738" spans="1:23" ht="15.75" customHeight="1" x14ac:dyDescent="0.4">
      <c r="A738" s="216"/>
      <c r="B738" s="65"/>
      <c r="C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</row>
    <row r="739" spans="1:23" ht="15.75" customHeight="1" x14ac:dyDescent="0.4">
      <c r="A739" s="216"/>
      <c r="B739" s="65"/>
      <c r="C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</row>
    <row r="740" spans="1:23" ht="15.75" customHeight="1" x14ac:dyDescent="0.4">
      <c r="A740" s="216"/>
      <c r="B740" s="65"/>
      <c r="C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</row>
    <row r="741" spans="1:23" ht="15.75" customHeight="1" x14ac:dyDescent="0.4">
      <c r="A741" s="216"/>
      <c r="B741" s="65"/>
      <c r="C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</row>
    <row r="742" spans="1:23" ht="15.75" customHeight="1" x14ac:dyDescent="0.4">
      <c r="A742" s="216"/>
      <c r="B742" s="65"/>
      <c r="C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</row>
    <row r="743" spans="1:23" ht="15.75" customHeight="1" x14ac:dyDescent="0.4">
      <c r="A743" s="216"/>
      <c r="B743" s="65"/>
      <c r="C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</row>
    <row r="744" spans="1:23" ht="15.75" customHeight="1" x14ac:dyDescent="0.4">
      <c r="A744" s="216"/>
      <c r="B744" s="65"/>
      <c r="C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</row>
    <row r="745" spans="1:23" ht="15.75" customHeight="1" x14ac:dyDescent="0.4">
      <c r="A745" s="216"/>
      <c r="B745" s="65"/>
      <c r="C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</row>
    <row r="746" spans="1:23" ht="15.75" customHeight="1" x14ac:dyDescent="0.4">
      <c r="A746" s="216"/>
      <c r="B746" s="65"/>
      <c r="C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</row>
    <row r="747" spans="1:23" ht="15.75" customHeight="1" x14ac:dyDescent="0.4">
      <c r="A747" s="216"/>
      <c r="B747" s="65"/>
      <c r="C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</row>
    <row r="748" spans="1:23" ht="15.75" customHeight="1" x14ac:dyDescent="0.4">
      <c r="A748" s="216"/>
      <c r="B748" s="65"/>
      <c r="C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</row>
    <row r="749" spans="1:23" ht="15.75" customHeight="1" x14ac:dyDescent="0.4">
      <c r="A749" s="216"/>
      <c r="B749" s="65"/>
      <c r="C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</row>
    <row r="750" spans="1:23" ht="15.75" customHeight="1" x14ac:dyDescent="0.4">
      <c r="A750" s="216"/>
      <c r="B750" s="65"/>
      <c r="C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</row>
    <row r="751" spans="1:23" ht="15.75" customHeight="1" x14ac:dyDescent="0.4">
      <c r="A751" s="216"/>
      <c r="B751" s="65"/>
      <c r="C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</row>
    <row r="752" spans="1:23" ht="15.75" customHeight="1" x14ac:dyDescent="0.4">
      <c r="A752" s="216"/>
      <c r="B752" s="65"/>
      <c r="C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</row>
    <row r="753" spans="1:23" ht="15.75" customHeight="1" x14ac:dyDescent="0.4">
      <c r="A753" s="216"/>
      <c r="B753" s="65"/>
      <c r="C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</row>
    <row r="754" spans="1:23" ht="15.75" customHeight="1" x14ac:dyDescent="0.4">
      <c r="A754" s="216"/>
      <c r="B754" s="65"/>
      <c r="C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</row>
    <row r="755" spans="1:23" ht="15.75" customHeight="1" x14ac:dyDescent="0.4">
      <c r="A755" s="216"/>
      <c r="B755" s="65"/>
      <c r="C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</row>
    <row r="756" spans="1:23" ht="15.75" customHeight="1" x14ac:dyDescent="0.4">
      <c r="A756" s="216"/>
      <c r="B756" s="65"/>
      <c r="C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</row>
    <row r="757" spans="1:23" ht="15.75" customHeight="1" x14ac:dyDescent="0.4">
      <c r="A757" s="216"/>
      <c r="B757" s="65"/>
      <c r="C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</row>
    <row r="758" spans="1:23" ht="15.75" customHeight="1" x14ac:dyDescent="0.4">
      <c r="A758" s="216"/>
      <c r="B758" s="65"/>
      <c r="C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</row>
    <row r="759" spans="1:23" ht="15.75" customHeight="1" x14ac:dyDescent="0.4">
      <c r="A759" s="216"/>
      <c r="B759" s="65"/>
      <c r="C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</row>
    <row r="760" spans="1:23" ht="15.75" customHeight="1" x14ac:dyDescent="0.4">
      <c r="A760" s="216"/>
      <c r="B760" s="65"/>
      <c r="C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</row>
    <row r="761" spans="1:23" ht="15.75" customHeight="1" x14ac:dyDescent="0.4">
      <c r="A761" s="216"/>
      <c r="B761" s="65"/>
      <c r="C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</row>
    <row r="762" spans="1:23" ht="15.75" customHeight="1" x14ac:dyDescent="0.4">
      <c r="A762" s="216"/>
      <c r="B762" s="65"/>
      <c r="C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</row>
    <row r="763" spans="1:23" ht="15.75" customHeight="1" x14ac:dyDescent="0.4">
      <c r="A763" s="216"/>
      <c r="B763" s="65"/>
      <c r="C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</row>
    <row r="764" spans="1:23" ht="15.75" customHeight="1" x14ac:dyDescent="0.4">
      <c r="A764" s="216"/>
      <c r="B764" s="65"/>
      <c r="C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</row>
    <row r="765" spans="1:23" ht="15.75" customHeight="1" x14ac:dyDescent="0.4">
      <c r="A765" s="216"/>
      <c r="B765" s="65"/>
      <c r="C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</row>
    <row r="766" spans="1:23" ht="15.75" customHeight="1" x14ac:dyDescent="0.4">
      <c r="A766" s="216"/>
      <c r="B766" s="65"/>
      <c r="C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</row>
    <row r="767" spans="1:23" ht="15.75" customHeight="1" x14ac:dyDescent="0.4">
      <c r="A767" s="216"/>
      <c r="B767" s="65"/>
      <c r="C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</row>
    <row r="768" spans="1:23" ht="15.75" customHeight="1" x14ac:dyDescent="0.4">
      <c r="A768" s="216"/>
      <c r="B768" s="65"/>
      <c r="C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</row>
    <row r="769" spans="1:23" ht="15.75" customHeight="1" x14ac:dyDescent="0.4">
      <c r="A769" s="216"/>
      <c r="B769" s="65"/>
      <c r="C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</row>
    <row r="770" spans="1:23" ht="15.75" customHeight="1" x14ac:dyDescent="0.4">
      <c r="A770" s="216"/>
      <c r="B770" s="65"/>
      <c r="C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</row>
    <row r="771" spans="1:23" ht="15.75" customHeight="1" x14ac:dyDescent="0.4">
      <c r="A771" s="216"/>
      <c r="B771" s="65"/>
      <c r="C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</row>
    <row r="772" spans="1:23" ht="15.75" customHeight="1" x14ac:dyDescent="0.4">
      <c r="A772" s="216"/>
      <c r="B772" s="65"/>
      <c r="C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</row>
    <row r="773" spans="1:23" ht="15.75" customHeight="1" x14ac:dyDescent="0.4">
      <c r="A773" s="216"/>
      <c r="B773" s="65"/>
      <c r="C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</row>
    <row r="774" spans="1:23" ht="15.75" customHeight="1" x14ac:dyDescent="0.4">
      <c r="A774" s="216"/>
      <c r="B774" s="65"/>
      <c r="C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</row>
    <row r="775" spans="1:23" ht="15.75" customHeight="1" x14ac:dyDescent="0.4">
      <c r="A775" s="216"/>
      <c r="B775" s="65"/>
      <c r="C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</row>
    <row r="776" spans="1:23" ht="15.75" customHeight="1" x14ac:dyDescent="0.4">
      <c r="A776" s="216"/>
      <c r="B776" s="65"/>
      <c r="C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</row>
    <row r="777" spans="1:23" ht="15.75" customHeight="1" x14ac:dyDescent="0.4">
      <c r="A777" s="216"/>
      <c r="B777" s="65"/>
      <c r="C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</row>
    <row r="778" spans="1:23" ht="15.75" customHeight="1" x14ac:dyDescent="0.4">
      <c r="A778" s="216"/>
      <c r="B778" s="65"/>
      <c r="C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</row>
    <row r="779" spans="1:23" ht="15.75" customHeight="1" x14ac:dyDescent="0.4">
      <c r="A779" s="216"/>
      <c r="B779" s="65"/>
      <c r="C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</row>
    <row r="780" spans="1:23" ht="15.75" customHeight="1" x14ac:dyDescent="0.4">
      <c r="A780" s="216"/>
      <c r="B780" s="65"/>
      <c r="C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</row>
    <row r="781" spans="1:23" ht="15.75" customHeight="1" x14ac:dyDescent="0.4">
      <c r="A781" s="216"/>
      <c r="B781" s="65"/>
      <c r="C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</row>
    <row r="782" spans="1:23" ht="15.75" customHeight="1" x14ac:dyDescent="0.4">
      <c r="A782" s="216"/>
      <c r="B782" s="65"/>
      <c r="C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</row>
    <row r="783" spans="1:23" ht="15.75" customHeight="1" x14ac:dyDescent="0.4">
      <c r="A783" s="216"/>
      <c r="B783" s="65"/>
      <c r="C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</row>
    <row r="784" spans="1:23" ht="15.75" customHeight="1" x14ac:dyDescent="0.4">
      <c r="A784" s="216"/>
      <c r="B784" s="65"/>
      <c r="C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</row>
    <row r="785" spans="1:23" ht="15.75" customHeight="1" x14ac:dyDescent="0.4">
      <c r="A785" s="216"/>
      <c r="B785" s="65"/>
      <c r="C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</row>
    <row r="786" spans="1:23" ht="15.75" customHeight="1" x14ac:dyDescent="0.4">
      <c r="A786" s="216"/>
      <c r="B786" s="65"/>
      <c r="C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</row>
    <row r="787" spans="1:23" ht="15.75" customHeight="1" x14ac:dyDescent="0.4">
      <c r="A787" s="216"/>
      <c r="B787" s="65"/>
      <c r="C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</row>
    <row r="788" spans="1:23" ht="15.75" customHeight="1" x14ac:dyDescent="0.4">
      <c r="A788" s="216"/>
      <c r="B788" s="65"/>
      <c r="C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</row>
    <row r="789" spans="1:23" ht="15.75" customHeight="1" x14ac:dyDescent="0.4">
      <c r="A789" s="216"/>
      <c r="B789" s="65"/>
      <c r="C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</row>
    <row r="790" spans="1:23" ht="15.75" customHeight="1" x14ac:dyDescent="0.4">
      <c r="A790" s="216"/>
      <c r="B790" s="65"/>
      <c r="C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</row>
    <row r="791" spans="1:23" ht="15.75" customHeight="1" x14ac:dyDescent="0.4">
      <c r="A791" s="216"/>
      <c r="B791" s="65"/>
      <c r="C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</row>
    <row r="792" spans="1:23" ht="15.75" customHeight="1" x14ac:dyDescent="0.4">
      <c r="A792" s="216"/>
      <c r="B792" s="65"/>
      <c r="C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</row>
    <row r="793" spans="1:23" ht="15.75" customHeight="1" x14ac:dyDescent="0.4">
      <c r="A793" s="216"/>
      <c r="B793" s="65"/>
      <c r="C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</row>
    <row r="794" spans="1:23" ht="15.75" customHeight="1" x14ac:dyDescent="0.4">
      <c r="A794" s="216"/>
      <c r="B794" s="65"/>
      <c r="C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</row>
    <row r="795" spans="1:23" ht="15.75" customHeight="1" x14ac:dyDescent="0.4">
      <c r="A795" s="216"/>
      <c r="B795" s="65"/>
      <c r="C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</row>
    <row r="796" spans="1:23" ht="15.75" customHeight="1" x14ac:dyDescent="0.4">
      <c r="A796" s="216"/>
      <c r="B796" s="65"/>
      <c r="C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</row>
    <row r="797" spans="1:23" ht="15.75" customHeight="1" x14ac:dyDescent="0.4">
      <c r="A797" s="216"/>
      <c r="B797" s="65"/>
      <c r="C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</row>
    <row r="798" spans="1:23" ht="15.75" customHeight="1" x14ac:dyDescent="0.4">
      <c r="A798" s="216"/>
      <c r="B798" s="65"/>
      <c r="C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</row>
    <row r="799" spans="1:23" ht="15.75" customHeight="1" x14ac:dyDescent="0.4">
      <c r="A799" s="216"/>
      <c r="B799" s="65"/>
      <c r="C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</row>
    <row r="800" spans="1:23" ht="15.75" customHeight="1" x14ac:dyDescent="0.4">
      <c r="A800" s="216"/>
      <c r="B800" s="65"/>
      <c r="C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</row>
    <row r="801" spans="1:23" ht="15.75" customHeight="1" x14ac:dyDescent="0.4">
      <c r="A801" s="216"/>
      <c r="B801" s="65"/>
      <c r="C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</row>
    <row r="802" spans="1:23" ht="15.75" customHeight="1" x14ac:dyDescent="0.4">
      <c r="A802" s="216"/>
      <c r="B802" s="65"/>
      <c r="C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</row>
    <row r="803" spans="1:23" ht="15.75" customHeight="1" x14ac:dyDescent="0.4">
      <c r="A803" s="216"/>
      <c r="B803" s="65"/>
      <c r="C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</row>
    <row r="804" spans="1:23" ht="15.75" customHeight="1" x14ac:dyDescent="0.4">
      <c r="A804" s="216"/>
      <c r="B804" s="65"/>
      <c r="C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</row>
    <row r="805" spans="1:23" ht="15.75" customHeight="1" x14ac:dyDescent="0.4">
      <c r="A805" s="216"/>
      <c r="B805" s="65"/>
      <c r="C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</row>
    <row r="806" spans="1:23" ht="15.75" customHeight="1" x14ac:dyDescent="0.4">
      <c r="A806" s="216"/>
      <c r="B806" s="65"/>
      <c r="C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</row>
    <row r="807" spans="1:23" ht="15.75" customHeight="1" x14ac:dyDescent="0.4">
      <c r="A807" s="216"/>
      <c r="B807" s="65"/>
      <c r="C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</row>
    <row r="808" spans="1:23" ht="15.75" customHeight="1" x14ac:dyDescent="0.4">
      <c r="A808" s="216"/>
      <c r="B808" s="65"/>
      <c r="C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</row>
    <row r="809" spans="1:23" ht="15.75" customHeight="1" x14ac:dyDescent="0.4">
      <c r="A809" s="216"/>
      <c r="B809" s="65"/>
      <c r="C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</row>
    <row r="810" spans="1:23" ht="15.75" customHeight="1" x14ac:dyDescent="0.4">
      <c r="A810" s="216"/>
      <c r="B810" s="65"/>
      <c r="C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</row>
    <row r="811" spans="1:23" ht="15.75" customHeight="1" x14ac:dyDescent="0.4">
      <c r="A811" s="216"/>
      <c r="B811" s="65"/>
      <c r="C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</row>
    <row r="812" spans="1:23" ht="15.75" customHeight="1" x14ac:dyDescent="0.4">
      <c r="A812" s="216"/>
      <c r="B812" s="65"/>
      <c r="C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</row>
    <row r="813" spans="1:23" ht="15.75" customHeight="1" x14ac:dyDescent="0.4">
      <c r="A813" s="216"/>
      <c r="B813" s="65"/>
      <c r="C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</row>
    <row r="814" spans="1:23" ht="15.75" customHeight="1" x14ac:dyDescent="0.4">
      <c r="A814" s="216"/>
      <c r="B814" s="65"/>
      <c r="C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</row>
    <row r="815" spans="1:23" ht="15.75" customHeight="1" x14ac:dyDescent="0.4">
      <c r="A815" s="216"/>
      <c r="B815" s="65"/>
      <c r="C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</row>
    <row r="816" spans="1:23" ht="15.75" customHeight="1" x14ac:dyDescent="0.4">
      <c r="A816" s="216"/>
      <c r="B816" s="65"/>
      <c r="C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</row>
    <row r="817" spans="1:23" ht="15.75" customHeight="1" x14ac:dyDescent="0.4">
      <c r="A817" s="216"/>
      <c r="B817" s="65"/>
      <c r="C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</row>
    <row r="818" spans="1:23" ht="15.75" customHeight="1" x14ac:dyDescent="0.4">
      <c r="A818" s="216"/>
      <c r="B818" s="65"/>
      <c r="C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</row>
    <row r="819" spans="1:23" ht="15.75" customHeight="1" x14ac:dyDescent="0.4">
      <c r="A819" s="216"/>
      <c r="B819" s="65"/>
      <c r="C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</row>
    <row r="820" spans="1:23" ht="15.75" customHeight="1" x14ac:dyDescent="0.4">
      <c r="A820" s="216"/>
      <c r="B820" s="65"/>
      <c r="C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</row>
    <row r="821" spans="1:23" ht="15.75" customHeight="1" x14ac:dyDescent="0.4">
      <c r="A821" s="216"/>
      <c r="B821" s="65"/>
      <c r="C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</row>
    <row r="822" spans="1:23" ht="15.75" customHeight="1" x14ac:dyDescent="0.4">
      <c r="A822" s="216"/>
      <c r="B822" s="65"/>
      <c r="C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</row>
    <row r="823" spans="1:23" ht="15.75" customHeight="1" x14ac:dyDescent="0.4">
      <c r="A823" s="216"/>
      <c r="B823" s="65"/>
      <c r="C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</row>
    <row r="824" spans="1:23" ht="15.75" customHeight="1" x14ac:dyDescent="0.4">
      <c r="A824" s="216"/>
      <c r="B824" s="65"/>
      <c r="C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</row>
    <row r="825" spans="1:23" ht="15.75" customHeight="1" x14ac:dyDescent="0.4">
      <c r="A825" s="216"/>
      <c r="B825" s="65"/>
      <c r="C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</row>
    <row r="826" spans="1:23" ht="15.75" customHeight="1" x14ac:dyDescent="0.4">
      <c r="A826" s="216"/>
      <c r="B826" s="65"/>
      <c r="C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</row>
    <row r="827" spans="1:23" ht="15.75" customHeight="1" x14ac:dyDescent="0.4">
      <c r="A827" s="216"/>
      <c r="B827" s="65"/>
      <c r="C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</row>
    <row r="828" spans="1:23" ht="15.75" customHeight="1" x14ac:dyDescent="0.4">
      <c r="A828" s="216"/>
      <c r="B828" s="65"/>
      <c r="C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</row>
    <row r="829" spans="1:23" ht="15.75" customHeight="1" x14ac:dyDescent="0.4">
      <c r="A829" s="216"/>
      <c r="B829" s="65"/>
      <c r="C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</row>
    <row r="830" spans="1:23" ht="15.75" customHeight="1" x14ac:dyDescent="0.4">
      <c r="A830" s="216"/>
      <c r="B830" s="65"/>
      <c r="C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</row>
    <row r="831" spans="1:23" ht="15.75" customHeight="1" x14ac:dyDescent="0.4">
      <c r="A831" s="216"/>
      <c r="B831" s="65"/>
      <c r="C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</row>
    <row r="832" spans="1:23" ht="15.75" customHeight="1" x14ac:dyDescent="0.4">
      <c r="A832" s="216"/>
      <c r="B832" s="65"/>
      <c r="C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</row>
    <row r="833" spans="1:23" ht="15.75" customHeight="1" x14ac:dyDescent="0.4">
      <c r="A833" s="216"/>
      <c r="B833" s="65"/>
      <c r="C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</row>
    <row r="834" spans="1:23" ht="15.75" customHeight="1" x14ac:dyDescent="0.4">
      <c r="A834" s="216"/>
      <c r="B834" s="65"/>
      <c r="C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</row>
    <row r="835" spans="1:23" ht="15.75" customHeight="1" x14ac:dyDescent="0.4">
      <c r="A835" s="216"/>
      <c r="B835" s="65"/>
      <c r="C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</row>
    <row r="836" spans="1:23" ht="15.75" customHeight="1" x14ac:dyDescent="0.4">
      <c r="A836" s="216"/>
      <c r="B836" s="65"/>
      <c r="C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</row>
    <row r="837" spans="1:23" ht="15.75" customHeight="1" x14ac:dyDescent="0.4">
      <c r="A837" s="216"/>
      <c r="B837" s="65"/>
      <c r="C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</row>
    <row r="838" spans="1:23" ht="15.75" customHeight="1" x14ac:dyDescent="0.4">
      <c r="A838" s="216"/>
      <c r="B838" s="65"/>
      <c r="C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</row>
    <row r="839" spans="1:23" ht="15.75" customHeight="1" x14ac:dyDescent="0.4">
      <c r="A839" s="216"/>
      <c r="B839" s="65"/>
      <c r="C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</row>
    <row r="840" spans="1:23" ht="15.75" customHeight="1" x14ac:dyDescent="0.4">
      <c r="A840" s="216"/>
      <c r="B840" s="65"/>
      <c r="C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</row>
    <row r="841" spans="1:23" ht="15.75" customHeight="1" x14ac:dyDescent="0.4">
      <c r="A841" s="216"/>
      <c r="B841" s="65"/>
      <c r="C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</row>
    <row r="842" spans="1:23" ht="15.75" customHeight="1" x14ac:dyDescent="0.4">
      <c r="A842" s="216"/>
      <c r="B842" s="65"/>
      <c r="C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</row>
    <row r="843" spans="1:23" ht="15.75" customHeight="1" x14ac:dyDescent="0.4">
      <c r="A843" s="216"/>
      <c r="B843" s="65"/>
      <c r="C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</row>
    <row r="844" spans="1:23" ht="15.75" customHeight="1" x14ac:dyDescent="0.4">
      <c r="A844" s="216"/>
      <c r="B844" s="65"/>
      <c r="C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</row>
    <row r="845" spans="1:23" ht="15.75" customHeight="1" x14ac:dyDescent="0.4">
      <c r="A845" s="216"/>
      <c r="B845" s="65"/>
      <c r="C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</row>
    <row r="846" spans="1:23" ht="15.75" customHeight="1" x14ac:dyDescent="0.4">
      <c r="A846" s="216"/>
      <c r="B846" s="65"/>
      <c r="C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</row>
    <row r="847" spans="1:23" ht="15.75" customHeight="1" x14ac:dyDescent="0.4">
      <c r="A847" s="216"/>
      <c r="B847" s="65"/>
      <c r="C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</row>
    <row r="848" spans="1:23" ht="15.75" customHeight="1" x14ac:dyDescent="0.4">
      <c r="A848" s="216"/>
      <c r="B848" s="65"/>
      <c r="C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</row>
    <row r="849" spans="1:23" ht="15.75" customHeight="1" x14ac:dyDescent="0.4">
      <c r="A849" s="216"/>
      <c r="B849" s="65"/>
      <c r="C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</row>
    <row r="850" spans="1:23" ht="15.75" customHeight="1" x14ac:dyDescent="0.4">
      <c r="A850" s="216"/>
      <c r="B850" s="65"/>
      <c r="C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</row>
    <row r="851" spans="1:23" ht="15.75" customHeight="1" x14ac:dyDescent="0.4">
      <c r="A851" s="216"/>
      <c r="B851" s="65"/>
      <c r="C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</row>
    <row r="852" spans="1:23" ht="15.75" customHeight="1" x14ac:dyDescent="0.4">
      <c r="A852" s="216"/>
      <c r="B852" s="65"/>
      <c r="C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</row>
    <row r="853" spans="1:23" ht="15.75" customHeight="1" x14ac:dyDescent="0.4">
      <c r="A853" s="216"/>
      <c r="B853" s="65"/>
      <c r="C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</row>
    <row r="854" spans="1:23" ht="15.75" customHeight="1" x14ac:dyDescent="0.4">
      <c r="A854" s="216"/>
      <c r="B854" s="65"/>
      <c r="C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</row>
    <row r="855" spans="1:23" ht="15.75" customHeight="1" x14ac:dyDescent="0.4">
      <c r="A855" s="216"/>
      <c r="B855" s="65"/>
      <c r="C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</row>
    <row r="856" spans="1:23" ht="15.75" customHeight="1" x14ac:dyDescent="0.4">
      <c r="A856" s="216"/>
      <c r="B856" s="65"/>
      <c r="C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</row>
    <row r="857" spans="1:23" ht="15.75" customHeight="1" x14ac:dyDescent="0.4">
      <c r="A857" s="216"/>
      <c r="B857" s="65"/>
      <c r="C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</row>
    <row r="858" spans="1:23" ht="15.75" customHeight="1" x14ac:dyDescent="0.4">
      <c r="A858" s="216"/>
      <c r="B858" s="65"/>
      <c r="C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</row>
    <row r="859" spans="1:23" ht="15.75" customHeight="1" x14ac:dyDescent="0.4">
      <c r="A859" s="216"/>
      <c r="B859" s="65"/>
      <c r="C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</row>
    <row r="860" spans="1:23" ht="15.75" customHeight="1" x14ac:dyDescent="0.4">
      <c r="A860" s="216"/>
      <c r="B860" s="65"/>
      <c r="C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</row>
    <row r="861" spans="1:23" ht="15.75" customHeight="1" x14ac:dyDescent="0.4">
      <c r="A861" s="216"/>
      <c r="B861" s="65"/>
      <c r="C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</row>
    <row r="862" spans="1:23" ht="15.75" customHeight="1" x14ac:dyDescent="0.4">
      <c r="A862" s="216"/>
      <c r="B862" s="65"/>
      <c r="C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</row>
    <row r="863" spans="1:23" ht="15.75" customHeight="1" x14ac:dyDescent="0.4">
      <c r="A863" s="216"/>
      <c r="B863" s="65"/>
      <c r="C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</row>
    <row r="864" spans="1:23" ht="15.75" customHeight="1" x14ac:dyDescent="0.4">
      <c r="A864" s="216"/>
      <c r="B864" s="65"/>
      <c r="C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</row>
    <row r="865" spans="1:23" ht="15.75" customHeight="1" x14ac:dyDescent="0.4">
      <c r="A865" s="216"/>
      <c r="B865" s="65"/>
      <c r="C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</row>
    <row r="866" spans="1:23" ht="15.75" customHeight="1" x14ac:dyDescent="0.4">
      <c r="A866" s="216"/>
      <c r="B866" s="65"/>
      <c r="C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</row>
    <row r="867" spans="1:23" ht="15.75" customHeight="1" x14ac:dyDescent="0.4">
      <c r="A867" s="216"/>
      <c r="B867" s="65"/>
      <c r="C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</row>
    <row r="868" spans="1:23" ht="15.75" customHeight="1" x14ac:dyDescent="0.4">
      <c r="A868" s="216"/>
      <c r="B868" s="65"/>
      <c r="C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</row>
    <row r="869" spans="1:23" ht="15.75" customHeight="1" x14ac:dyDescent="0.4">
      <c r="A869" s="216"/>
      <c r="B869" s="65"/>
      <c r="C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</row>
    <row r="870" spans="1:23" ht="15.75" customHeight="1" x14ac:dyDescent="0.4">
      <c r="A870" s="216"/>
      <c r="B870" s="65"/>
      <c r="C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</row>
    <row r="871" spans="1:23" ht="15.75" customHeight="1" x14ac:dyDescent="0.4">
      <c r="A871" s="216"/>
      <c r="B871" s="65"/>
      <c r="C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</row>
    <row r="872" spans="1:23" ht="15.75" customHeight="1" x14ac:dyDescent="0.4">
      <c r="A872" s="216"/>
      <c r="B872" s="65"/>
      <c r="C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</row>
    <row r="873" spans="1:23" ht="15.75" customHeight="1" x14ac:dyDescent="0.4">
      <c r="A873" s="216"/>
      <c r="B873" s="65"/>
      <c r="C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</row>
    <row r="874" spans="1:23" ht="15.75" customHeight="1" x14ac:dyDescent="0.4">
      <c r="A874" s="216"/>
      <c r="B874" s="65"/>
      <c r="C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</row>
    <row r="875" spans="1:23" ht="15.75" customHeight="1" x14ac:dyDescent="0.4">
      <c r="A875" s="216"/>
      <c r="B875" s="65"/>
      <c r="C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</row>
    <row r="876" spans="1:23" ht="15.75" customHeight="1" x14ac:dyDescent="0.4">
      <c r="A876" s="216"/>
      <c r="B876" s="65"/>
      <c r="C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</row>
    <row r="877" spans="1:23" ht="15.75" customHeight="1" x14ac:dyDescent="0.4">
      <c r="A877" s="216"/>
      <c r="B877" s="65"/>
      <c r="C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</row>
    <row r="878" spans="1:23" ht="15.75" customHeight="1" x14ac:dyDescent="0.4">
      <c r="A878" s="216"/>
      <c r="B878" s="65"/>
      <c r="C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</row>
    <row r="879" spans="1:23" ht="15.75" customHeight="1" x14ac:dyDescent="0.4">
      <c r="A879" s="216"/>
      <c r="B879" s="65"/>
      <c r="C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</row>
    <row r="880" spans="1:23" ht="15.75" customHeight="1" x14ac:dyDescent="0.4">
      <c r="A880" s="216"/>
      <c r="B880" s="65"/>
      <c r="C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</row>
    <row r="881" spans="1:23" ht="15.75" customHeight="1" x14ac:dyDescent="0.4">
      <c r="A881" s="216"/>
      <c r="B881" s="65"/>
      <c r="C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</row>
    <row r="882" spans="1:23" ht="15.75" customHeight="1" x14ac:dyDescent="0.4">
      <c r="A882" s="216"/>
      <c r="B882" s="65"/>
      <c r="C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</row>
    <row r="883" spans="1:23" ht="15.75" customHeight="1" x14ac:dyDescent="0.4">
      <c r="A883" s="216"/>
      <c r="B883" s="65"/>
      <c r="C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</row>
    <row r="884" spans="1:23" ht="15.75" customHeight="1" x14ac:dyDescent="0.4">
      <c r="A884" s="216"/>
      <c r="B884" s="65"/>
      <c r="C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</row>
    <row r="885" spans="1:23" ht="15.75" customHeight="1" x14ac:dyDescent="0.4">
      <c r="A885" s="216"/>
      <c r="B885" s="65"/>
      <c r="C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</row>
    <row r="886" spans="1:23" ht="15.75" customHeight="1" x14ac:dyDescent="0.4">
      <c r="A886" s="216"/>
      <c r="B886" s="65"/>
      <c r="C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</row>
    <row r="887" spans="1:23" ht="15.75" customHeight="1" x14ac:dyDescent="0.4">
      <c r="A887" s="216"/>
      <c r="B887" s="65"/>
      <c r="C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</row>
    <row r="888" spans="1:23" ht="15.75" customHeight="1" x14ac:dyDescent="0.4">
      <c r="A888" s="216"/>
      <c r="B888" s="65"/>
      <c r="C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</row>
    <row r="889" spans="1:23" ht="15.75" customHeight="1" x14ac:dyDescent="0.4">
      <c r="A889" s="216"/>
      <c r="B889" s="65"/>
      <c r="C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</row>
    <row r="890" spans="1:23" ht="15.75" customHeight="1" x14ac:dyDescent="0.4">
      <c r="A890" s="216"/>
      <c r="B890" s="65"/>
      <c r="C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</row>
    <row r="891" spans="1:23" ht="15.75" customHeight="1" x14ac:dyDescent="0.4">
      <c r="A891" s="216"/>
      <c r="B891" s="65"/>
      <c r="C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</row>
    <row r="892" spans="1:23" ht="15.75" customHeight="1" x14ac:dyDescent="0.4">
      <c r="A892" s="216"/>
      <c r="B892" s="65"/>
      <c r="C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</row>
    <row r="893" spans="1:23" ht="15.75" customHeight="1" x14ac:dyDescent="0.4">
      <c r="A893" s="216"/>
      <c r="B893" s="65"/>
      <c r="C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</row>
    <row r="894" spans="1:23" ht="15.75" customHeight="1" x14ac:dyDescent="0.4">
      <c r="A894" s="216"/>
      <c r="B894" s="65"/>
      <c r="C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</row>
    <row r="895" spans="1:23" ht="15.75" customHeight="1" x14ac:dyDescent="0.4">
      <c r="A895" s="216"/>
      <c r="B895" s="65"/>
      <c r="C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</row>
    <row r="896" spans="1:23" ht="15.75" customHeight="1" x14ac:dyDescent="0.4">
      <c r="A896" s="216"/>
      <c r="B896" s="65"/>
      <c r="C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</row>
    <row r="897" spans="1:23" ht="15.75" customHeight="1" x14ac:dyDescent="0.4">
      <c r="A897" s="216"/>
      <c r="B897" s="65"/>
      <c r="C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</row>
    <row r="898" spans="1:23" ht="15.75" customHeight="1" x14ac:dyDescent="0.4">
      <c r="A898" s="216"/>
      <c r="B898" s="65"/>
      <c r="C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</row>
    <row r="899" spans="1:23" ht="15.75" customHeight="1" x14ac:dyDescent="0.4">
      <c r="A899" s="216"/>
      <c r="B899" s="65"/>
      <c r="C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</row>
    <row r="900" spans="1:23" ht="15.75" customHeight="1" x14ac:dyDescent="0.4">
      <c r="A900" s="216"/>
      <c r="B900" s="65"/>
      <c r="C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</row>
    <row r="901" spans="1:23" ht="15.75" customHeight="1" x14ac:dyDescent="0.4">
      <c r="A901" s="216"/>
      <c r="B901" s="65"/>
      <c r="C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</row>
    <row r="902" spans="1:23" ht="15.75" customHeight="1" x14ac:dyDescent="0.4">
      <c r="A902" s="216"/>
      <c r="B902" s="65"/>
      <c r="C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</row>
    <row r="903" spans="1:23" ht="15.75" customHeight="1" x14ac:dyDescent="0.4">
      <c r="A903" s="216"/>
      <c r="B903" s="65"/>
      <c r="C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</row>
    <row r="904" spans="1:23" ht="15.75" customHeight="1" x14ac:dyDescent="0.4">
      <c r="A904" s="216"/>
      <c r="B904" s="65"/>
      <c r="C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</row>
    <row r="905" spans="1:23" ht="15.75" customHeight="1" x14ac:dyDescent="0.4">
      <c r="A905" s="216"/>
      <c r="B905" s="65"/>
      <c r="C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</row>
    <row r="906" spans="1:23" ht="15.75" customHeight="1" x14ac:dyDescent="0.4">
      <c r="A906" s="216"/>
      <c r="B906" s="65"/>
      <c r="C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</row>
    <row r="907" spans="1:23" ht="15.75" customHeight="1" x14ac:dyDescent="0.4">
      <c r="A907" s="216"/>
      <c r="B907" s="65"/>
      <c r="C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</row>
    <row r="908" spans="1:23" ht="15.75" customHeight="1" x14ac:dyDescent="0.4">
      <c r="A908" s="216"/>
      <c r="B908" s="65"/>
      <c r="C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</row>
    <row r="909" spans="1:23" ht="15.75" customHeight="1" x14ac:dyDescent="0.4">
      <c r="A909" s="216"/>
      <c r="B909" s="65"/>
      <c r="C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</row>
    <row r="910" spans="1:23" ht="15.75" customHeight="1" x14ac:dyDescent="0.4">
      <c r="A910" s="216"/>
      <c r="B910" s="65"/>
      <c r="C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</row>
    <row r="911" spans="1:23" ht="15.75" customHeight="1" x14ac:dyDescent="0.4">
      <c r="A911" s="216"/>
      <c r="B911" s="65"/>
      <c r="C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</row>
    <row r="912" spans="1:23" ht="15.75" customHeight="1" x14ac:dyDescent="0.4">
      <c r="A912" s="216"/>
      <c r="B912" s="65"/>
      <c r="C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</row>
    <row r="913" spans="1:23" ht="15.75" customHeight="1" x14ac:dyDescent="0.4">
      <c r="A913" s="216"/>
      <c r="B913" s="65"/>
      <c r="C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</row>
    <row r="914" spans="1:23" ht="15.75" customHeight="1" x14ac:dyDescent="0.4">
      <c r="A914" s="216"/>
      <c r="B914" s="65"/>
      <c r="C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</row>
    <row r="915" spans="1:23" ht="15.75" customHeight="1" x14ac:dyDescent="0.4">
      <c r="A915" s="216"/>
      <c r="B915" s="65"/>
      <c r="C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</row>
    <row r="916" spans="1:23" ht="15.75" customHeight="1" x14ac:dyDescent="0.4">
      <c r="A916" s="216"/>
      <c r="B916" s="65"/>
      <c r="C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</row>
    <row r="917" spans="1:23" ht="15.75" customHeight="1" x14ac:dyDescent="0.4">
      <c r="A917" s="216"/>
      <c r="B917" s="65"/>
      <c r="C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</row>
    <row r="918" spans="1:23" ht="15.75" customHeight="1" x14ac:dyDescent="0.4">
      <c r="A918" s="216"/>
      <c r="B918" s="65"/>
      <c r="C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</row>
    <row r="919" spans="1:23" ht="15.75" customHeight="1" x14ac:dyDescent="0.4">
      <c r="A919" s="216"/>
      <c r="B919" s="65"/>
      <c r="C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</row>
    <row r="920" spans="1:23" ht="15.75" customHeight="1" x14ac:dyDescent="0.4">
      <c r="A920" s="216"/>
      <c r="B920" s="65"/>
      <c r="C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</row>
    <row r="921" spans="1:23" ht="15.75" customHeight="1" x14ac:dyDescent="0.4">
      <c r="A921" s="216"/>
      <c r="B921" s="65"/>
      <c r="C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</row>
    <row r="922" spans="1:23" ht="15.75" customHeight="1" x14ac:dyDescent="0.4">
      <c r="A922" s="216"/>
      <c r="B922" s="65"/>
      <c r="C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</row>
    <row r="923" spans="1:23" ht="15.75" customHeight="1" x14ac:dyDescent="0.4">
      <c r="A923" s="216"/>
      <c r="B923" s="65"/>
      <c r="C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</row>
    <row r="924" spans="1:23" ht="15.75" customHeight="1" x14ac:dyDescent="0.4">
      <c r="A924" s="216"/>
      <c r="B924" s="65"/>
      <c r="C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</row>
    <row r="925" spans="1:23" ht="15.75" customHeight="1" x14ac:dyDescent="0.4">
      <c r="A925" s="216"/>
      <c r="B925" s="65"/>
      <c r="C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</row>
    <row r="926" spans="1:23" ht="15.75" customHeight="1" x14ac:dyDescent="0.4">
      <c r="A926" s="216"/>
      <c r="B926" s="65"/>
      <c r="C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</row>
    <row r="927" spans="1:23" ht="15.75" customHeight="1" x14ac:dyDescent="0.4">
      <c r="A927" s="216"/>
      <c r="B927" s="65"/>
      <c r="C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</row>
    <row r="928" spans="1:23" ht="15.75" customHeight="1" x14ac:dyDescent="0.4">
      <c r="A928" s="216"/>
      <c r="B928" s="65"/>
      <c r="C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</row>
    <row r="929" spans="1:23" ht="15.75" customHeight="1" x14ac:dyDescent="0.4">
      <c r="A929" s="216"/>
      <c r="B929" s="65"/>
      <c r="C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</row>
    <row r="930" spans="1:23" ht="15.75" customHeight="1" x14ac:dyDescent="0.4">
      <c r="A930" s="216"/>
      <c r="B930" s="65"/>
      <c r="C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</row>
    <row r="931" spans="1:23" ht="15.75" customHeight="1" x14ac:dyDescent="0.4">
      <c r="A931" s="216"/>
      <c r="B931" s="65"/>
      <c r="C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</row>
    <row r="932" spans="1:23" ht="15.75" customHeight="1" x14ac:dyDescent="0.4">
      <c r="A932" s="216"/>
      <c r="B932" s="65"/>
      <c r="C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</row>
    <row r="933" spans="1:23" ht="15.75" customHeight="1" x14ac:dyDescent="0.4">
      <c r="A933" s="216"/>
      <c r="B933" s="65"/>
      <c r="C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</row>
    <row r="934" spans="1:23" ht="15.75" customHeight="1" x14ac:dyDescent="0.4">
      <c r="A934" s="216"/>
      <c r="B934" s="65"/>
      <c r="C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</row>
    <row r="935" spans="1:23" ht="15.75" customHeight="1" x14ac:dyDescent="0.4">
      <c r="A935" s="216"/>
      <c r="B935" s="65"/>
      <c r="C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</row>
    <row r="936" spans="1:23" ht="15.75" customHeight="1" x14ac:dyDescent="0.4">
      <c r="A936" s="216"/>
      <c r="B936" s="65"/>
      <c r="C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</row>
    <row r="937" spans="1:23" ht="15.75" customHeight="1" x14ac:dyDescent="0.4">
      <c r="A937" s="216"/>
      <c r="B937" s="65"/>
      <c r="C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</row>
    <row r="938" spans="1:23" ht="15.75" customHeight="1" x14ac:dyDescent="0.4">
      <c r="A938" s="216"/>
      <c r="B938" s="65"/>
      <c r="C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</row>
    <row r="939" spans="1:23" ht="15.75" customHeight="1" x14ac:dyDescent="0.4">
      <c r="A939" s="216"/>
      <c r="B939" s="65"/>
      <c r="C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</row>
    <row r="940" spans="1:23" ht="15.75" customHeight="1" x14ac:dyDescent="0.4">
      <c r="A940" s="216"/>
      <c r="B940" s="65"/>
      <c r="C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</row>
    <row r="941" spans="1:23" ht="15.75" customHeight="1" x14ac:dyDescent="0.4">
      <c r="A941" s="216"/>
      <c r="B941" s="65"/>
      <c r="C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</row>
    <row r="942" spans="1:23" ht="15.75" customHeight="1" x14ac:dyDescent="0.4">
      <c r="A942" s="216"/>
      <c r="B942" s="65"/>
      <c r="C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</row>
    <row r="943" spans="1:23" ht="15.75" customHeight="1" x14ac:dyDescent="0.4">
      <c r="A943" s="216"/>
      <c r="B943" s="65"/>
      <c r="C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</row>
    <row r="944" spans="1:23" ht="15.75" customHeight="1" x14ac:dyDescent="0.4">
      <c r="A944" s="216"/>
      <c r="B944" s="65"/>
      <c r="C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</row>
    <row r="945" spans="1:23" ht="15.75" customHeight="1" x14ac:dyDescent="0.4">
      <c r="A945" s="216"/>
      <c r="B945" s="65"/>
      <c r="C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</row>
    <row r="946" spans="1:23" ht="15.75" customHeight="1" x14ac:dyDescent="0.4">
      <c r="A946" s="216"/>
      <c r="B946" s="65"/>
      <c r="C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</row>
    <row r="947" spans="1:23" ht="15.75" customHeight="1" x14ac:dyDescent="0.4">
      <c r="A947" s="216"/>
      <c r="B947" s="65"/>
      <c r="C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</row>
    <row r="948" spans="1:23" ht="15.75" customHeight="1" x14ac:dyDescent="0.4">
      <c r="A948" s="216"/>
      <c r="B948" s="65"/>
      <c r="C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</row>
    <row r="949" spans="1:23" ht="15.75" customHeight="1" x14ac:dyDescent="0.4">
      <c r="A949" s="216"/>
      <c r="B949" s="65"/>
      <c r="C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</row>
    <row r="950" spans="1:23" ht="15.75" customHeight="1" x14ac:dyDescent="0.4">
      <c r="A950" s="216"/>
      <c r="B950" s="65"/>
      <c r="C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</row>
    <row r="951" spans="1:23" ht="15.75" customHeight="1" x14ac:dyDescent="0.4">
      <c r="A951" s="216"/>
      <c r="B951" s="65"/>
      <c r="C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</row>
    <row r="952" spans="1:23" ht="15.75" customHeight="1" x14ac:dyDescent="0.4">
      <c r="A952" s="216"/>
      <c r="B952" s="65"/>
      <c r="C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</row>
    <row r="953" spans="1:23" ht="15.75" customHeight="1" x14ac:dyDescent="0.4">
      <c r="A953" s="216"/>
      <c r="B953" s="65"/>
      <c r="C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</row>
    <row r="954" spans="1:23" ht="15.75" customHeight="1" x14ac:dyDescent="0.4">
      <c r="A954" s="216"/>
      <c r="B954" s="65"/>
      <c r="C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</row>
    <row r="955" spans="1:23" ht="15.75" customHeight="1" x14ac:dyDescent="0.4">
      <c r="A955" s="216"/>
      <c r="B955" s="65"/>
      <c r="C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</row>
    <row r="956" spans="1:23" ht="15.75" customHeight="1" x14ac:dyDescent="0.4">
      <c r="A956" s="216"/>
      <c r="B956" s="65"/>
      <c r="C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</row>
    <row r="957" spans="1:23" ht="15.75" customHeight="1" x14ac:dyDescent="0.4">
      <c r="A957" s="216"/>
      <c r="B957" s="65"/>
      <c r="C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</row>
    <row r="958" spans="1:23" ht="15.75" customHeight="1" x14ac:dyDescent="0.4">
      <c r="A958" s="216"/>
      <c r="B958" s="65"/>
      <c r="C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</row>
    <row r="959" spans="1:23" ht="15.75" customHeight="1" x14ac:dyDescent="0.4">
      <c r="A959" s="216"/>
      <c r="B959" s="65"/>
      <c r="C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</row>
    <row r="960" spans="1:23" ht="15.75" customHeight="1" x14ac:dyDescent="0.4">
      <c r="A960" s="216"/>
      <c r="B960" s="65"/>
      <c r="C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</row>
    <row r="961" spans="1:23" ht="15.75" customHeight="1" x14ac:dyDescent="0.4">
      <c r="A961" s="216"/>
      <c r="B961" s="65"/>
      <c r="C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</row>
    <row r="962" spans="1:23" ht="15.75" customHeight="1" x14ac:dyDescent="0.4">
      <c r="A962" s="216"/>
      <c r="B962" s="65"/>
      <c r="C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</row>
    <row r="963" spans="1:23" ht="15.75" customHeight="1" x14ac:dyDescent="0.4">
      <c r="A963" s="216"/>
      <c r="B963" s="65"/>
      <c r="C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</row>
    <row r="964" spans="1:23" ht="15.75" customHeight="1" x14ac:dyDescent="0.4">
      <c r="A964" s="216"/>
      <c r="B964" s="65"/>
      <c r="C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</row>
    <row r="965" spans="1:23" ht="15.75" customHeight="1" x14ac:dyDescent="0.4">
      <c r="A965" s="216"/>
      <c r="B965" s="65"/>
      <c r="C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</row>
    <row r="966" spans="1:23" ht="15.75" customHeight="1" x14ac:dyDescent="0.4">
      <c r="A966" s="216"/>
      <c r="B966" s="65"/>
      <c r="C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</row>
    <row r="967" spans="1:23" ht="15.75" customHeight="1" x14ac:dyDescent="0.4">
      <c r="A967" s="216"/>
      <c r="B967" s="65"/>
      <c r="C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</row>
    <row r="968" spans="1:23" ht="15.75" customHeight="1" x14ac:dyDescent="0.4">
      <c r="A968" s="216"/>
      <c r="B968" s="65"/>
      <c r="C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</row>
    <row r="969" spans="1:23" ht="15.75" customHeight="1" x14ac:dyDescent="0.4">
      <c r="A969" s="216"/>
      <c r="B969" s="65"/>
      <c r="C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</row>
    <row r="970" spans="1:23" ht="15.75" customHeight="1" x14ac:dyDescent="0.4">
      <c r="A970" s="216"/>
      <c r="B970" s="65"/>
      <c r="C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</row>
    <row r="971" spans="1:23" ht="15.75" customHeight="1" x14ac:dyDescent="0.4">
      <c r="A971" s="216"/>
      <c r="B971" s="65"/>
      <c r="C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</row>
    <row r="972" spans="1:23" ht="15.75" customHeight="1" x14ac:dyDescent="0.4">
      <c r="A972" s="216"/>
      <c r="B972" s="65"/>
      <c r="C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</row>
    <row r="973" spans="1:23" ht="15.75" customHeight="1" x14ac:dyDescent="0.4">
      <c r="A973" s="216"/>
      <c r="B973" s="65"/>
      <c r="C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</row>
    <row r="974" spans="1:23" ht="15.75" customHeight="1" x14ac:dyDescent="0.4">
      <c r="A974" s="216"/>
      <c r="B974" s="65"/>
      <c r="C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</row>
    <row r="975" spans="1:23" ht="15.75" customHeight="1" x14ac:dyDescent="0.4">
      <c r="A975" s="216"/>
      <c r="B975" s="65"/>
      <c r="C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</row>
    <row r="976" spans="1:23" ht="15.75" customHeight="1" x14ac:dyDescent="0.4">
      <c r="A976" s="216"/>
      <c r="B976" s="65"/>
      <c r="C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</row>
    <row r="977" spans="1:23" ht="15.75" customHeight="1" x14ac:dyDescent="0.4">
      <c r="A977" s="216"/>
      <c r="B977" s="65"/>
      <c r="C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</row>
  </sheetData>
  <dataConsolidate/>
  <pageMargins left="0.17" right="0.18" top="0.23" bottom="0.36" header="0.17" footer="0.31496062992125984"/>
  <pageSetup paperSize="9" scale="54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2026-06-02T07:33:50Z</cp:lastPrinted>
  <dcterms:created xsi:type="dcterms:W3CDTF">2020-02-24T10:22:08Z</dcterms:created>
  <dcterms:modified xsi:type="dcterms:W3CDTF">2026-06-19T13:58:31Z</dcterms:modified>
</cp:coreProperties>
</file>